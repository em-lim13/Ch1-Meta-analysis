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emlim/Documents/PhD/_repos/Ch1-Meta-analysis/Data/"/>
    </mc:Choice>
  </mc:AlternateContent>
  <xr:revisionPtr revIDLastSave="0" documentId="13_ncr:1_{CD248C8B-A41C-F841-BDD6-E6D16B0EC72E}" xr6:coauthVersionLast="47" xr6:coauthVersionMax="47" xr10:uidLastSave="{00000000-0000-0000-0000-000000000000}"/>
  <bookViews>
    <workbookView xWindow="0" yWindow="740" windowWidth="29400" windowHeight="18380" xr2:uid="{40EEFA15-B542-CE42-935C-BBE1E5D9457F}"/>
  </bookViews>
  <sheets>
    <sheet name="Include" sheetId="1" r:id="rId1"/>
    <sheet name="Graveyard rows" sheetId="21" r:id="rId2"/>
    <sheet name="Disturbance" sheetId="12" r:id="rId3"/>
    <sheet name="Can't use" sheetId="3" r:id="rId4"/>
    <sheet name="Reject" sheetId="18" r:id="rId5"/>
    <sheet name="Help" sheetId="2" r:id="rId6"/>
    <sheet name="Uthicke" sheetId="16" r:id="rId7"/>
    <sheet name="after - before" sheetId="4" r:id="rId8"/>
    <sheet name="SE from 95% CI" sheetId="9" r:id="rId9"/>
    <sheet name="AVG SE" sheetId="17" r:id="rId10"/>
    <sheet name="Chase" sheetId="15" r:id="rId11"/>
    <sheet name="Holbrook" sheetId="19" r:id="rId12"/>
    <sheet name="Sandoval" sheetId="5" r:id="rId13"/>
    <sheet name="Hepburn" sheetId="14" r:id="rId14"/>
    <sheet name="Bouchard" sheetId="6" r:id="rId15"/>
    <sheet name="Cherif" sheetId="20" r:id="rId16"/>
  </sheets>
  <definedNames>
    <definedName name="_xlnm._FilterDatabase" localSheetId="0" hidden="1">Include!$BE$1:$BE$299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2" i="4" l="1"/>
  <c r="M207" i="4"/>
  <c r="N207" i="4"/>
  <c r="M202" i="4"/>
  <c r="M197" i="4"/>
  <c r="N197" i="4"/>
  <c r="M192" i="4"/>
  <c r="M187" i="4"/>
  <c r="M182" i="4"/>
  <c r="N182" i="4"/>
  <c r="M177" i="4"/>
  <c r="N177" i="4"/>
  <c r="E148" i="4"/>
  <c r="F147" i="4"/>
  <c r="E147" i="4"/>
  <c r="E143" i="4"/>
  <c r="F142" i="4"/>
  <c r="E142" i="4"/>
  <c r="O243" i="4"/>
  <c r="N248" i="4"/>
  <c r="O247" i="4"/>
  <c r="N247" i="4"/>
  <c r="N244" i="4"/>
  <c r="N243" i="4"/>
  <c r="E137" i="4"/>
  <c r="E136" i="4"/>
  <c r="E132" i="4"/>
  <c r="E131" i="4"/>
  <c r="E127" i="4"/>
  <c r="E126" i="4"/>
  <c r="E122" i="4"/>
  <c r="E121" i="4"/>
  <c r="E117" i="4"/>
  <c r="E116" i="4"/>
  <c r="E112" i="4"/>
  <c r="E111" i="4"/>
  <c r="F154" i="4"/>
  <c r="E160" i="4"/>
  <c r="E159" i="4"/>
  <c r="E155" i="4"/>
  <c r="E154" i="4"/>
  <c r="F42" i="4"/>
  <c r="E42" i="4"/>
  <c r="E37" i="4"/>
  <c r="D37" i="4"/>
  <c r="F37" i="4" s="1"/>
  <c r="D42" i="4"/>
  <c r="L32" i="4"/>
  <c r="L33" i="4"/>
  <c r="L28" i="4"/>
  <c r="M27" i="4"/>
  <c r="L27" i="4"/>
  <c r="C18" i="20"/>
  <c r="C15" i="20"/>
  <c r="C12" i="20"/>
  <c r="C9" i="20"/>
  <c r="C6" i="20"/>
  <c r="G286" i="4"/>
  <c r="F286" i="4"/>
  <c r="G300" i="4"/>
  <c r="F300" i="4"/>
  <c r="G296" i="4"/>
  <c r="F296" i="4"/>
  <c r="E27" i="20"/>
  <c r="E39" i="20"/>
  <c r="E36" i="20"/>
  <c r="E33" i="20"/>
  <c r="E30" i="20"/>
  <c r="E18" i="20"/>
  <c r="E15" i="20"/>
  <c r="E12" i="20"/>
  <c r="E9" i="20"/>
  <c r="E6" i="20"/>
  <c r="K15" i="20"/>
  <c r="K39" i="20"/>
  <c r="K36" i="20"/>
  <c r="K33" i="20"/>
  <c r="K30" i="20"/>
  <c r="K27" i="20"/>
  <c r="K18" i="20"/>
  <c r="K12" i="20"/>
  <c r="K9" i="20"/>
  <c r="K6" i="20"/>
  <c r="G290" i="4"/>
  <c r="F290" i="4"/>
  <c r="J6" i="20"/>
  <c r="I6" i="20"/>
  <c r="D6" i="20"/>
  <c r="J27" i="20"/>
  <c r="I27" i="20"/>
  <c r="D27" i="20"/>
  <c r="C27" i="20"/>
  <c r="D30" i="20"/>
  <c r="J39" i="20"/>
  <c r="I39" i="20"/>
  <c r="D39" i="20"/>
  <c r="C39" i="20"/>
  <c r="J36" i="20"/>
  <c r="I36" i="20"/>
  <c r="D36" i="20"/>
  <c r="C36" i="20"/>
  <c r="J33" i="20"/>
  <c r="I33" i="20"/>
  <c r="D33" i="20"/>
  <c r="C33" i="20"/>
  <c r="J30" i="20"/>
  <c r="I30" i="20"/>
  <c r="C30" i="20"/>
  <c r="D18" i="20"/>
  <c r="D15" i="20"/>
  <c r="D12" i="20"/>
  <c r="D9" i="20"/>
  <c r="J18" i="20"/>
  <c r="J15" i="20"/>
  <c r="J12" i="20"/>
  <c r="J9" i="20"/>
  <c r="I18" i="20"/>
  <c r="I15" i="20"/>
  <c r="I12" i="20"/>
  <c r="I9" i="20"/>
  <c r="E280" i="4"/>
  <c r="F279" i="4"/>
  <c r="E276" i="4"/>
  <c r="F275" i="4"/>
  <c r="D53" i="4"/>
  <c r="E52" i="4"/>
  <c r="D52" i="4"/>
  <c r="D48" i="4"/>
  <c r="E47" i="4"/>
  <c r="D47" i="4"/>
  <c r="E59" i="4"/>
  <c r="F59" i="4"/>
  <c r="E60" i="4"/>
  <c r="F64" i="4"/>
  <c r="F212" i="4"/>
  <c r="E212" i="4"/>
  <c r="F202" i="4"/>
  <c r="E202" i="4"/>
  <c r="F197" i="4"/>
  <c r="E197" i="4"/>
  <c r="E269" i="4"/>
  <c r="F268" i="4"/>
  <c r="E268" i="4"/>
  <c r="E265" i="4"/>
  <c r="F264" i="4"/>
  <c r="E264" i="4"/>
  <c r="E257" i="4"/>
  <c r="F256" i="4"/>
  <c r="E256" i="4"/>
  <c r="E253" i="4"/>
  <c r="F252" i="4"/>
  <c r="E252" i="4"/>
  <c r="E246" i="4"/>
  <c r="F245" i="4"/>
  <c r="E245" i="4"/>
  <c r="F241" i="4"/>
  <c r="E242" i="4"/>
  <c r="E241" i="4"/>
  <c r="N212" i="4" l="1"/>
  <c r="N202" i="4"/>
  <c r="N192" i="4"/>
  <c r="N187" i="4"/>
  <c r="G147" i="4"/>
  <c r="G142" i="4"/>
  <c r="G59" i="4"/>
  <c r="P247" i="4"/>
  <c r="P243" i="4"/>
  <c r="F47" i="4"/>
  <c r="N27" i="4"/>
  <c r="F52" i="4"/>
  <c r="G241" i="4"/>
  <c r="G279" i="4"/>
  <c r="G275" i="4"/>
  <c r="G264" i="4"/>
  <c r="G268" i="4"/>
  <c r="G256" i="4"/>
  <c r="G252" i="4"/>
  <c r="G245" i="4"/>
  <c r="E223" i="4" l="1"/>
  <c r="F222" i="4"/>
  <c r="E222" i="4"/>
  <c r="E218" i="4"/>
  <c r="F217" i="4"/>
  <c r="E217" i="4"/>
  <c r="E213" i="4"/>
  <c r="E208" i="4"/>
  <c r="F207" i="4"/>
  <c r="E207" i="4"/>
  <c r="E203" i="4"/>
  <c r="G202" i="4" s="1"/>
  <c r="E198" i="4"/>
  <c r="E193" i="4"/>
  <c r="F192" i="4"/>
  <c r="E192" i="4"/>
  <c r="E188" i="4"/>
  <c r="F187" i="4"/>
  <c r="E187" i="4"/>
  <c r="E183" i="4"/>
  <c r="F182" i="4"/>
  <c r="E182" i="4"/>
  <c r="E178" i="4"/>
  <c r="F177" i="4"/>
  <c r="E177" i="4"/>
  <c r="G222" i="4" l="1"/>
  <c r="G197" i="4"/>
  <c r="G192" i="4"/>
  <c r="G217" i="4"/>
  <c r="G212" i="4"/>
  <c r="G207" i="4"/>
  <c r="G187" i="4"/>
  <c r="G182" i="4"/>
  <c r="G177" i="4"/>
  <c r="R46" i="17" l="1"/>
  <c r="K40" i="17" l="1"/>
  <c r="L40" i="17" s="1"/>
  <c r="I40" i="17"/>
  <c r="G40" i="17"/>
  <c r="F40" i="17"/>
  <c r="E40" i="17"/>
  <c r="H40" i="17" s="1"/>
  <c r="J40" i="17" s="1"/>
  <c r="G39" i="17"/>
  <c r="F39" i="17"/>
  <c r="E39" i="17"/>
  <c r="R38" i="17"/>
  <c r="K38" i="17"/>
  <c r="O40" i="17" s="1"/>
  <c r="I38" i="17"/>
  <c r="G38" i="17"/>
  <c r="F38" i="17"/>
  <c r="E38" i="17"/>
  <c r="G35" i="17"/>
  <c r="F35" i="17"/>
  <c r="E35" i="17"/>
  <c r="H35" i="17" s="1"/>
  <c r="M34" i="17"/>
  <c r="L34" i="17"/>
  <c r="K34" i="17"/>
  <c r="I34" i="17"/>
  <c r="G34" i="17"/>
  <c r="F34" i="17"/>
  <c r="E34" i="17"/>
  <c r="G33" i="17"/>
  <c r="F33" i="17"/>
  <c r="E33" i="17"/>
  <c r="H33" i="17" s="1"/>
  <c r="R32" i="17"/>
  <c r="M32" i="17"/>
  <c r="K32" i="17"/>
  <c r="O32" i="17" s="1"/>
  <c r="I32" i="17"/>
  <c r="G32" i="17"/>
  <c r="F32" i="17"/>
  <c r="E32" i="17"/>
  <c r="H32" i="17" s="1"/>
  <c r="G58" i="17"/>
  <c r="F58" i="17"/>
  <c r="E58" i="17"/>
  <c r="R57" i="17"/>
  <c r="K57" i="17"/>
  <c r="M57" i="17" s="1"/>
  <c r="I57" i="17"/>
  <c r="G57" i="17"/>
  <c r="F57" i="17"/>
  <c r="H57" i="17" s="1"/>
  <c r="E57" i="17"/>
  <c r="G55" i="17"/>
  <c r="F55" i="17"/>
  <c r="E55" i="17"/>
  <c r="R54" i="17"/>
  <c r="K54" i="17"/>
  <c r="L54" i="17" s="1"/>
  <c r="I54" i="17"/>
  <c r="G54" i="17"/>
  <c r="F54" i="17"/>
  <c r="E54" i="17"/>
  <c r="H54" i="17" s="1"/>
  <c r="R49" i="17"/>
  <c r="G50" i="17"/>
  <c r="F50" i="17"/>
  <c r="E50" i="17"/>
  <c r="H50" i="17" s="1"/>
  <c r="O49" i="17"/>
  <c r="M49" i="17"/>
  <c r="K49" i="17"/>
  <c r="L49" i="17" s="1"/>
  <c r="I49" i="17"/>
  <c r="G49" i="17"/>
  <c r="F49" i="17"/>
  <c r="E49" i="17"/>
  <c r="G47" i="17"/>
  <c r="F47" i="17"/>
  <c r="H47" i="17" s="1"/>
  <c r="E47" i="17"/>
  <c r="K46" i="17"/>
  <c r="L46" i="17" s="1"/>
  <c r="I46" i="17"/>
  <c r="G46" i="17"/>
  <c r="F46" i="17"/>
  <c r="E46" i="17"/>
  <c r="H46" i="17" s="1"/>
  <c r="O34" i="17" l="1"/>
  <c r="J46" i="17"/>
  <c r="H34" i="17"/>
  <c r="M38" i="17"/>
  <c r="L38" i="17"/>
  <c r="L32" i="17"/>
  <c r="H38" i="17"/>
  <c r="H39" i="17"/>
  <c r="J38" i="17" s="1"/>
  <c r="N38" i="17" s="1"/>
  <c r="M40" i="17"/>
  <c r="J32" i="17"/>
  <c r="J34" i="17"/>
  <c r="N34" i="17" s="1"/>
  <c r="N40" i="17"/>
  <c r="O38" i="17"/>
  <c r="H49" i="17"/>
  <c r="J49" i="17" s="1"/>
  <c r="H58" i="17"/>
  <c r="J57" i="17" s="1"/>
  <c r="O54" i="17"/>
  <c r="H55" i="17"/>
  <c r="J54" i="17" s="1"/>
  <c r="M54" i="17"/>
  <c r="O57" i="17"/>
  <c r="L57" i="17"/>
  <c r="N49" i="17"/>
  <c r="P49" i="17" s="1"/>
  <c r="M46" i="17"/>
  <c r="N46" i="17" s="1"/>
  <c r="O46" i="17"/>
  <c r="H13" i="19"/>
  <c r="H2" i="19"/>
  <c r="G2" i="19"/>
  <c r="G13" i="19"/>
  <c r="E4" i="19"/>
  <c r="E5" i="19"/>
  <c r="E6" i="19"/>
  <c r="E7" i="19"/>
  <c r="E8" i="19"/>
  <c r="E9" i="19"/>
  <c r="E12" i="19"/>
  <c r="E11" i="19"/>
  <c r="E10" i="19"/>
  <c r="E13" i="19"/>
  <c r="D7" i="19"/>
  <c r="D6" i="19"/>
  <c r="D5" i="19"/>
  <c r="D3" i="19"/>
  <c r="D4" i="19"/>
  <c r="D2" i="19"/>
  <c r="N32" i="17" l="1"/>
  <c r="P38" i="17"/>
  <c r="P32" i="17"/>
  <c r="N54" i="17"/>
  <c r="P54" i="17" s="1"/>
  <c r="N57" i="17"/>
  <c r="P57" i="17" s="1"/>
  <c r="P46" i="17"/>
  <c r="E235" i="4"/>
  <c r="F234" i="4"/>
  <c r="E234" i="4"/>
  <c r="E230" i="4"/>
  <c r="F229" i="4"/>
  <c r="E229" i="4"/>
  <c r="G234" i="4" l="1"/>
  <c r="G229" i="4"/>
  <c r="E172" i="4"/>
  <c r="F171" i="4"/>
  <c r="E171" i="4"/>
  <c r="E167" i="4"/>
  <c r="F166" i="4"/>
  <c r="E166" i="4"/>
  <c r="G171" i="4" l="1"/>
  <c r="G166" i="4"/>
  <c r="J68" i="9"/>
  <c r="F68" i="9"/>
  <c r="J67" i="9"/>
  <c r="J65" i="9"/>
  <c r="J64" i="9"/>
  <c r="J63" i="9"/>
  <c r="J62" i="9"/>
  <c r="J60" i="9"/>
  <c r="J59" i="9"/>
  <c r="J57" i="9"/>
  <c r="J56" i="9"/>
  <c r="J55" i="9"/>
  <c r="J54" i="9"/>
  <c r="F67" i="9"/>
  <c r="F65" i="9"/>
  <c r="F64" i="9"/>
  <c r="F63" i="9"/>
  <c r="F62" i="9"/>
  <c r="F60" i="9"/>
  <c r="F59" i="9"/>
  <c r="F57" i="9"/>
  <c r="F56" i="9"/>
  <c r="F55" i="9"/>
  <c r="F54" i="9"/>
  <c r="K28" i="17" l="1"/>
  <c r="L28" i="17" s="1"/>
  <c r="I28" i="17"/>
  <c r="G28" i="17"/>
  <c r="F28" i="17"/>
  <c r="E28" i="17"/>
  <c r="H28" i="17" s="1"/>
  <c r="J28" i="17" s="1"/>
  <c r="G27" i="17"/>
  <c r="F27" i="17"/>
  <c r="E27" i="17"/>
  <c r="K26" i="17"/>
  <c r="O28" i="17" s="1"/>
  <c r="I26" i="17"/>
  <c r="G26" i="17"/>
  <c r="F26" i="17"/>
  <c r="E26" i="17"/>
  <c r="L14" i="17"/>
  <c r="K14" i="17"/>
  <c r="I14" i="17"/>
  <c r="G14" i="17"/>
  <c r="F14" i="17"/>
  <c r="E14" i="17"/>
  <c r="H14" i="17" s="1"/>
  <c r="J14" i="17" s="1"/>
  <c r="G13" i="17"/>
  <c r="F13" i="17"/>
  <c r="E13" i="17"/>
  <c r="K12" i="17"/>
  <c r="O14" i="17" s="1"/>
  <c r="I12" i="17"/>
  <c r="G12" i="17"/>
  <c r="F12" i="17"/>
  <c r="E12" i="17"/>
  <c r="H12" i="17" s="1"/>
  <c r="G23" i="17"/>
  <c r="F23" i="17"/>
  <c r="E23" i="17"/>
  <c r="K22" i="17"/>
  <c r="L22" i="17" s="1"/>
  <c r="I22" i="17"/>
  <c r="G22" i="17"/>
  <c r="F22" i="17"/>
  <c r="E22" i="17"/>
  <c r="H22" i="17" s="1"/>
  <c r="G21" i="17"/>
  <c r="F21" i="17"/>
  <c r="E21" i="17"/>
  <c r="K20" i="17"/>
  <c r="O22" i="17" s="1"/>
  <c r="I20" i="17"/>
  <c r="G20" i="17"/>
  <c r="F20" i="17"/>
  <c r="E20" i="17"/>
  <c r="G9" i="17"/>
  <c r="G8" i="17"/>
  <c r="G7" i="17"/>
  <c r="G6" i="17"/>
  <c r="F9" i="17"/>
  <c r="F8" i="17"/>
  <c r="F7" i="17"/>
  <c r="F6" i="17"/>
  <c r="E6" i="17"/>
  <c r="K8" i="17"/>
  <c r="L8" i="17" s="1"/>
  <c r="K6" i="17"/>
  <c r="O8" i="17" s="1"/>
  <c r="E9" i="17"/>
  <c r="E8" i="17"/>
  <c r="E7" i="17"/>
  <c r="R26" i="17"/>
  <c r="R20" i="17"/>
  <c r="R12" i="17"/>
  <c r="R6" i="17"/>
  <c r="I8" i="17"/>
  <c r="I6" i="17"/>
  <c r="I14" i="16"/>
  <c r="I13" i="16"/>
  <c r="I12" i="16"/>
  <c r="I11" i="16"/>
  <c r="I10" i="16"/>
  <c r="I9" i="16"/>
  <c r="I8" i="16"/>
  <c r="I7" i="16"/>
  <c r="I6" i="16"/>
  <c r="I5" i="16"/>
  <c r="I4" i="16"/>
  <c r="I3" i="16"/>
  <c r="D14" i="16"/>
  <c r="D13" i="16"/>
  <c r="D12" i="16"/>
  <c r="D11" i="16"/>
  <c r="D10" i="16"/>
  <c r="D9" i="16"/>
  <c r="D8" i="16"/>
  <c r="D7" i="16"/>
  <c r="D6" i="16"/>
  <c r="D5" i="16"/>
  <c r="D4" i="16"/>
  <c r="D3" i="16"/>
  <c r="R6" i="15"/>
  <c r="R5" i="15"/>
  <c r="R4" i="15"/>
  <c r="R3" i="15"/>
  <c r="R2" i="15"/>
  <c r="R12" i="15"/>
  <c r="R11" i="15"/>
  <c r="R10" i="15"/>
  <c r="R9" i="15"/>
  <c r="R8" i="15"/>
  <c r="T12" i="15"/>
  <c r="S12" i="15"/>
  <c r="T11" i="15"/>
  <c r="S11" i="15"/>
  <c r="T10" i="15"/>
  <c r="S10" i="15"/>
  <c r="T9" i="15"/>
  <c r="S9" i="15"/>
  <c r="T8" i="15"/>
  <c r="S8" i="15"/>
  <c r="T6" i="15"/>
  <c r="S6" i="15"/>
  <c r="T5" i="15"/>
  <c r="S5" i="15"/>
  <c r="T4" i="15"/>
  <c r="S4" i="15"/>
  <c r="T3" i="15"/>
  <c r="S3" i="15"/>
  <c r="T2" i="15"/>
  <c r="S2" i="15"/>
  <c r="E11" i="14"/>
  <c r="E2" i="14"/>
  <c r="D11" i="14"/>
  <c r="D2" i="14"/>
  <c r="H6" i="17" l="1"/>
  <c r="H13" i="17"/>
  <c r="J12" i="17" s="1"/>
  <c r="H20" i="17"/>
  <c r="J20" i="17" s="1"/>
  <c r="H26" i="17"/>
  <c r="H9" i="17"/>
  <c r="J8" i="17" s="1"/>
  <c r="H7" i="17"/>
  <c r="J6" i="17" s="1"/>
  <c r="M20" i="17"/>
  <c r="L26" i="17"/>
  <c r="H8" i="17"/>
  <c r="H21" i="17"/>
  <c r="H23" i="17"/>
  <c r="J22" i="17" s="1"/>
  <c r="N22" i="17" s="1"/>
  <c r="L12" i="17"/>
  <c r="H27" i="17"/>
  <c r="M22" i="17"/>
  <c r="L6" i="17"/>
  <c r="L20" i="17"/>
  <c r="M12" i="17"/>
  <c r="M14" i="17"/>
  <c r="N14" i="17" s="1"/>
  <c r="M26" i="17"/>
  <c r="M28" i="17"/>
  <c r="N28" i="17" s="1"/>
  <c r="O26" i="17"/>
  <c r="O12" i="17"/>
  <c r="N20" i="17"/>
  <c r="O20" i="17"/>
  <c r="M6" i="17"/>
  <c r="O6" i="17"/>
  <c r="M8" i="17"/>
  <c r="F159" i="4"/>
  <c r="N106" i="4"/>
  <c r="O105" i="4"/>
  <c r="N105" i="4"/>
  <c r="N101" i="4"/>
  <c r="O100" i="4"/>
  <c r="N100" i="4"/>
  <c r="N96" i="4"/>
  <c r="O95" i="4"/>
  <c r="N95" i="4"/>
  <c r="N91" i="4"/>
  <c r="O90" i="4"/>
  <c r="N90" i="4"/>
  <c r="N86" i="4"/>
  <c r="O85" i="4"/>
  <c r="N85" i="4"/>
  <c r="N81" i="4"/>
  <c r="O80" i="4"/>
  <c r="N80" i="4"/>
  <c r="N76" i="4"/>
  <c r="O75" i="4"/>
  <c r="N75" i="4"/>
  <c r="N71" i="4"/>
  <c r="O70" i="4"/>
  <c r="N70" i="4"/>
  <c r="F136" i="4"/>
  <c r="F131" i="4"/>
  <c r="F126" i="4"/>
  <c r="F121" i="4"/>
  <c r="F116" i="4"/>
  <c r="F111" i="4"/>
  <c r="E106" i="4"/>
  <c r="F105" i="4"/>
  <c r="E105" i="4"/>
  <c r="E101" i="4"/>
  <c r="F100" i="4"/>
  <c r="E100" i="4"/>
  <c r="E96" i="4"/>
  <c r="F95" i="4"/>
  <c r="E95" i="4"/>
  <c r="E91" i="4"/>
  <c r="F90" i="4"/>
  <c r="E90" i="4"/>
  <c r="E86" i="4"/>
  <c r="E85" i="4"/>
  <c r="E81" i="4"/>
  <c r="E80" i="4"/>
  <c r="E76" i="4"/>
  <c r="E75" i="4"/>
  <c r="E64" i="4"/>
  <c r="F85" i="4"/>
  <c r="F80" i="4"/>
  <c r="F75" i="4"/>
  <c r="E71" i="4"/>
  <c r="F70" i="4"/>
  <c r="E70" i="4"/>
  <c r="E65" i="4"/>
  <c r="F47" i="9"/>
  <c r="G47" i="9" s="1"/>
  <c r="H47" i="9" s="1"/>
  <c r="F48" i="9"/>
  <c r="G48" i="9" s="1"/>
  <c r="H48" i="9" s="1"/>
  <c r="F49" i="9"/>
  <c r="G49" i="9" s="1"/>
  <c r="H49" i="9" s="1"/>
  <c r="G64" i="4" l="1"/>
  <c r="G105" i="4"/>
  <c r="N8" i="17"/>
  <c r="J26" i="17"/>
  <c r="N26" i="17" s="1"/>
  <c r="N12" i="17"/>
  <c r="N6" i="17"/>
  <c r="P6" i="17" s="1"/>
  <c r="G159" i="4"/>
  <c r="G75" i="4"/>
  <c r="G136" i="4"/>
  <c r="P70" i="4"/>
  <c r="P90" i="4"/>
  <c r="P85" i="4"/>
  <c r="P105" i="4"/>
  <c r="G111" i="4"/>
  <c r="G131" i="4"/>
  <c r="P26" i="17"/>
  <c r="P12" i="17"/>
  <c r="P20" i="17"/>
  <c r="G154" i="4"/>
  <c r="P100" i="4"/>
  <c r="G95" i="4"/>
  <c r="P95" i="4"/>
  <c r="P80" i="4"/>
  <c r="P75" i="4"/>
  <c r="G126" i="4"/>
  <c r="G121" i="4"/>
  <c r="G116" i="4"/>
  <c r="G100" i="4"/>
  <c r="G90" i="4"/>
  <c r="G70" i="4"/>
  <c r="G85" i="4"/>
  <c r="G80" i="4"/>
  <c r="F42" i="9"/>
  <c r="G42" i="9" s="1"/>
  <c r="H42" i="9" s="1"/>
  <c r="F41" i="9"/>
  <c r="G41" i="9" s="1"/>
  <c r="H41" i="9" s="1"/>
  <c r="F40" i="9"/>
  <c r="G40" i="9" s="1"/>
  <c r="H40" i="9" s="1"/>
  <c r="F38" i="9"/>
  <c r="G38" i="9" s="1"/>
  <c r="H38" i="9" s="1"/>
  <c r="F37" i="9"/>
  <c r="G37" i="9" s="1"/>
  <c r="H37" i="9" s="1"/>
  <c r="F36" i="9"/>
  <c r="G36" i="9" s="1"/>
  <c r="H36" i="9" s="1"/>
  <c r="F34" i="9"/>
  <c r="G34" i="9" s="1"/>
  <c r="H34" i="9" s="1"/>
  <c r="F33" i="9"/>
  <c r="G33" i="9" s="1"/>
  <c r="H33" i="9" s="1"/>
  <c r="F32" i="9"/>
  <c r="G32" i="9" s="1"/>
  <c r="H32" i="9" s="1"/>
  <c r="F30" i="9"/>
  <c r="G30" i="9" s="1"/>
  <c r="H30" i="9" s="1"/>
  <c r="F29" i="9"/>
  <c r="G29" i="9" s="1"/>
  <c r="H29" i="9" s="1"/>
  <c r="F28" i="9"/>
  <c r="G28" i="9" s="1"/>
  <c r="H28" i="9" s="1"/>
  <c r="F26" i="9"/>
  <c r="G26" i="9" s="1"/>
  <c r="H26" i="9" s="1"/>
  <c r="F25" i="9"/>
  <c r="G25" i="9" s="1"/>
  <c r="H25" i="9" s="1"/>
  <c r="F24" i="9"/>
  <c r="G24" i="9" s="1"/>
  <c r="H24" i="9" s="1"/>
  <c r="F22" i="9"/>
  <c r="G22" i="9" s="1"/>
  <c r="H22" i="9" s="1"/>
  <c r="F21" i="9"/>
  <c r="G21" i="9" s="1"/>
  <c r="H21" i="9" s="1"/>
  <c r="F20" i="9"/>
  <c r="G20" i="9" s="1"/>
  <c r="H20" i="9" s="1"/>
  <c r="F18" i="9"/>
  <c r="G18" i="9" s="1"/>
  <c r="H18" i="9" s="1"/>
  <c r="F17" i="9"/>
  <c r="G17" i="9" s="1"/>
  <c r="H17" i="9" s="1"/>
  <c r="F16" i="9"/>
  <c r="G16" i="9" s="1"/>
  <c r="H16" i="9" s="1"/>
  <c r="F14" i="9"/>
  <c r="G14" i="9" s="1"/>
  <c r="H14" i="9" s="1"/>
  <c r="F13" i="9"/>
  <c r="G13" i="9" s="1"/>
  <c r="H13" i="9" s="1"/>
  <c r="F12" i="9"/>
  <c r="G12" i="9" s="1"/>
  <c r="H12" i="9" s="1"/>
  <c r="F10" i="9"/>
  <c r="G10" i="9" s="1"/>
  <c r="H10" i="9" s="1"/>
  <c r="F9" i="9"/>
  <c r="G9" i="9" s="1"/>
  <c r="H9" i="9" s="1"/>
  <c r="F8" i="9"/>
  <c r="G8" i="9" s="1"/>
  <c r="H8" i="9" s="1"/>
  <c r="I11" i="6" l="1"/>
  <c r="I4" i="6"/>
  <c r="E11" i="6"/>
  <c r="E4" i="6"/>
  <c r="E13" i="5"/>
  <c r="E4" i="5"/>
  <c r="D13" i="5"/>
  <c r="D4" i="5"/>
</calcChain>
</file>

<file path=xl/sharedStrings.xml><?xml version="1.0" encoding="utf-8"?>
<sst xmlns="http://schemas.openxmlformats.org/spreadsheetml/2006/main" count="25570" uniqueCount="1906">
  <si>
    <t>paper_num</t>
  </si>
  <si>
    <t>obs_num</t>
  </si>
  <si>
    <t>title</t>
  </si>
  <si>
    <t>year</t>
  </si>
  <si>
    <t>journal</t>
  </si>
  <si>
    <t>climate_zone</t>
  </si>
  <si>
    <t>country</t>
  </si>
  <si>
    <t>pp_taxa</t>
  </si>
  <si>
    <t>pp_phyla</t>
  </si>
  <si>
    <t>pp_genus</t>
  </si>
  <si>
    <t>comments</t>
  </si>
  <si>
    <t>author</t>
  </si>
  <si>
    <t>Gonzalez-Duarte, Manuel M. and Megina, Cesar and Dulce Subida, Maria</t>
  </si>
  <si>
    <t>Anti-herbivory protection by mutualism in marine ecosystems: The case of kelps and hydroids</t>
  </si>
  <si>
    <t>ESTUARINE COASTAL AND SHELF SCIENCE</t>
  </si>
  <si>
    <t>Rice, Mallory M. and Maher, Rebecca L. and Thurber, Rebecca Vega and Burkepile, Deron E.</t>
  </si>
  <si>
    <t>Different nitrogen sources speed recovery from corallivory and uniquely alter the microbiome of a reef-building coral</t>
  </si>
  <si>
    <t>PEERJ</t>
  </si>
  <si>
    <t>Benkwitt, Cassandra E and Wilson, Shaun K and Graham, Nicholas A J</t>
  </si>
  <si>
    <t>Seabird nutrient subsidies alter patterns of algal abundance and fish biomass on coral reefs following a bleaching event</t>
  </si>
  <si>
    <t>Global Change Biology</t>
  </si>
  <si>
    <t>Savage, Candida</t>
  </si>
  <si>
    <t>Seabird nutrients are assimilated by corals and enhance coral growth rates</t>
  </si>
  <si>
    <t>SCIENTIFIC REPORTS</t>
  </si>
  <si>
    <t>Villger, Sbastien and Fouilland, Eric and Argenty, Jrmy and Bouvier, Corinne and Carr, Claire and Bouvier, Thierry</t>
  </si>
  <si>
    <t>Interspecific differences in the effect of fish on marine microbial plankton</t>
  </si>
  <si>
    <t>Aquatic Microbial Ecology</t>
  </si>
  <si>
    <t>Androuin, Thibault and Polerecky, Lubos and Decottignies, Priscilla and Dubois, Stanislas F and Dupuy, Christine and Hubas, Cdric and Jesus, Bruno and Le Gall, Erwan and Marzloff, Martin P and Carlier, Antoine</t>
  </si>
  <si>
    <t>Subtidal Microphytobenthos: A Secret Garden Stimulated by the Engineer Species Crepidula fornicata</t>
  </si>
  <si>
    <t>Frontiers in Marine Science</t>
  </si>
  <si>
    <t>Chase, T. J. and Pratchett, M. S. and Frank, G. E. and Hoogenboom, M. O.</t>
  </si>
  <si>
    <t>Coral-dwelling fish moderate bleaching susceptibility of coral hosts</t>
  </si>
  <si>
    <t>PLOS ONE</t>
  </si>
  <si>
    <t>Bracken, Matthew E S and Oates, Jill M and Badten, Alexander J and Bernatchez, Genevieve</t>
  </si>
  <si>
    <t>Predicting rates of consumer-mediated nutrient cycling by a diverse herbivore assemblage</t>
  </si>
  <si>
    <t>Marine Biology</t>
  </si>
  <si>
    <t>Allgeier, Jacob E. and Layman, Craig A. and Montana, Carmen G. and Hensel, Enie and Appaldo, Richard and Rosemond, Amy D.</t>
  </si>
  <si>
    <t>Anthropogenic versus fish-derived nutrient effects on seagrass community structure and function</t>
  </si>
  <si>
    <t>ECOLOGY</t>
  </si>
  <si>
    <t>Graham, Nicholas A. J. and Wilson, Shaun K. and Carr, Peter and Hoey, Andrew S. and Jennings, Simon and MacNeil, M. Aaron</t>
  </si>
  <si>
    <t>Seabirds enhance coral reef productivity and functioning in the absence of invasive rats</t>
  </si>
  <si>
    <t>NATURE</t>
  </si>
  <si>
    <t>Echappe, Caroline and Gernez, Pierre and Meleder, Vona and Jesus, Bruno and Cognie, Bruno and Decottignies, Priscilla and Sabbe, Koen and Barille, Laurent</t>
  </si>
  <si>
    <t>Satellite remote sensing reveals a positive impact of living oyster reefs on microalgal biofilm development</t>
  </si>
  <si>
    <t>BIOGEOSCIENCES</t>
  </si>
  <si>
    <t>Derksen-Hooijberg, Marlous and Angelini, Christine and Lamers, Leon P. M. and Borst, Annieke and Smolders, Alfons and Hoogveld, Jasper R. H. and de Paoli, Helene and van de Koppel, Johan and Silliman, Brian R. and van der Heide, Tjisse</t>
  </si>
  <si>
    <t>Mutualistic interactions amplify saltmarsh restoration success</t>
  </si>
  <si>
    <t>JOURNAL OF APPLIED ECOLOGY</t>
  </si>
  <si>
    <t>Garcia-Herrera, Nur and Ferse, Sebastian C. A. and Kunzmann, Andreas and Genin, Amatzia</t>
  </si>
  <si>
    <t>Mutualistic damselfish induce higher photosynthetic rates in their host coral</t>
  </si>
  <si>
    <t>JOURNAL OF EXPERIMENTAL BIOLOGY</t>
  </si>
  <si>
    <t>Gladstone-Gallagher, Rebecca V and Needham, Hazel R and Lohrer, Andrew M and Lundquist, Carolyn J and Pilditch, Conrad A</t>
  </si>
  <si>
    <t>Site-dependent effects of bioturbator-detritus interactions alter soft-sediment ecosystem function</t>
  </si>
  <si>
    <t>Marine Ecology Progress Series</t>
  </si>
  <si>
    <t>Marmen, Marieve Bouchard and Kenchington, Ellen and Ardyna, Mathieu and Archambault, Philippe</t>
  </si>
  <si>
    <t>Influence of seabird colonies and other environmental variables on benthic community structure, Lancaster Sound Region, Canadian Arctic</t>
  </si>
  <si>
    <t>JOURNAL OF MARINE SYSTEMS</t>
  </si>
  <si>
    <t>Sandoval-Gil, Jose and Alexandre, Ana and Santos, Rui and Camacho-Ibar, Victor F.</t>
  </si>
  <si>
    <t>Nitrogen Uptake and Internal Recycling in Zostera marina Exposed to Oyster Farming: Eelgrass Potential as a Natural Biofilter</t>
  </si>
  <si>
    <t>ESTUARIES AND COASTS</t>
  </si>
  <si>
    <t>Layman, Craig A. and Allgeier, Jacob E. and Montana, Carmen G.</t>
  </si>
  <si>
    <t>Mechanistic evidence of enhanced production on artificial reefs: A case study in a Bahamian seagrass ecosystem</t>
  </si>
  <si>
    <t>ECOLOGICAL ENGINEERING</t>
  </si>
  <si>
    <t>Cherif, Mehdi and Granados, Monica and Duffy, Sean and Robert, Pauline and Pequin, Berangere and Mohit, Vani and McKindsey, Christopher W. and Archambault, Philippe and Myrand, Bruno and Lovejoy, Connie and Tremblay, Rejean and Plourde, Stephane and Fussmann, Gregor F.</t>
  </si>
  <si>
    <t>Potential for Local Fertilization: A Benthocosm Test of Long-Term and Short-Term Effects of Mussel Excretion on the Plankton</t>
  </si>
  <si>
    <t>Shantz, Andrew A. and Ladd, Mark C. and Schrack, Elizabeth and Burkepile, Deron E.</t>
  </si>
  <si>
    <t>Fish-derived nutrient hotspots shape coral reef benthic communities</t>
  </si>
  <si>
    <t>ECOLOGICAL APPLICATIONS</t>
  </si>
  <si>
    <t>Miguel Sandoval-Gil, Jose and Camacho-Ibar, Victor F. and del Carmen Avila-Lopez, Maria and Hernandez-Lopez, Julieta and Zertuche-Gonzalez, Jose A. and Cabello-Pasini, Alejandro</t>
  </si>
  <si>
    <t>Dissolved inorganic nitrogen uptake kinetics and delta N-15 of Zostera marina L. (eelgrass) in a coastal lagoon with oyster aquaculture and upwelling influence</t>
  </si>
  <si>
    <t>JOURNAL OF EXPERIMENTAL MARINE BIOLOGY AND ECOLOGY</t>
  </si>
  <si>
    <t>Archer, Stephanie K. and Stoner, Elizabeth W. and Layman, Craig A.</t>
  </si>
  <si>
    <t>A complex interaction between a sponge (Halichondria melanadocia) and a seagrass (Thalassia testudinum) in a subtropical coastal ecosystem</t>
  </si>
  <si>
    <t>Chase, T J and Pratchett and Walker, SPW and Hoogenboom, MO</t>
  </si>
  <si>
    <t>Small-scale environmental variation influences whether coral-dwelling fish promote or impede coral growth</t>
  </si>
  <si>
    <t>Oecologia</t>
  </si>
  <si>
    <t>Pfister, Catherine A. and Altabet, Mark A. and Post, David</t>
  </si>
  <si>
    <t>Animal regeneration and microbial retention of nitrogen along coastal rocky shores</t>
  </si>
  <si>
    <t>Lapointe, Brian E and West, Lorin E and Sutton, Tracey T and Hu, Chuanmin</t>
  </si>
  <si>
    <t>Ryther revisited: nutrient excretions by fishes enhance productivity of pelagic Sargassum in the western North Atlantic Ocean</t>
  </si>
  <si>
    <t>Journal of Experimental Marine Biology and Ecology</t>
  </si>
  <si>
    <t>Allgeier, Jacob E. and Layman, Craig A. and Mumby, Peter J. and Rosemond, Amy D.</t>
  </si>
  <si>
    <t>Consistent nutrient storage and supply mediated by diverse fish communities in coral reef ecosystems</t>
  </si>
  <si>
    <t>GLOBAL CHANGE BIOLOGY</t>
  </si>
  <si>
    <t>Easson, Cole G. and Slattery, Marc and Baker, David M. and Gochfeld, Deborah J.</t>
  </si>
  <si>
    <t>Complex ecological associations: competition and facilitation in a sponge-algal interaction</t>
  </si>
  <si>
    <t>MARINE ECOLOGY PROGRESS SERIES</t>
  </si>
  <si>
    <t>Frojan, M. and Arbones, B. and Zuniga, D. and Castro, C. G. and Figueiras, F. G.</t>
  </si>
  <si>
    <t>Microbial plankton community in the Ria de Vigo ( NW Iberian upwelling system): impact of the culture of Mytilus galloprovincialis</t>
  </si>
  <si>
    <t>Brzezinski, Mark A. and Reed, Daniel C. and Harrer, Shannon and Rassweiler, Andrew and Melack, John M. and Goodridge, Blair M. and Dugan, Jenifer E.</t>
  </si>
  <si>
    <t>MULTIPLE SOURCES AND FORMS OF NITROGEN SUSTAIN YEAR-ROUND KELP GROWTH on the Inner Continental Shelf of the Santa Barbara Channel</t>
  </si>
  <si>
    <t>OCEANOGRAPHY</t>
  </si>
  <si>
    <t>Yarrington, Charles S. and Tyler, Anna Christina and Altieri, Andrew H.</t>
  </si>
  <si>
    <t>Do snails facilitate bloom-forming macroalgae in a eutrophic estuary?</t>
  </si>
  <si>
    <t>Burkepile, Deron E. and Allgeier, Jacob E. and Shantz, Andrew A. and Pritchard, Catharine E. and Lemoine, Nathan P. and Bhatti, Laura H. and Layman, Craig A.</t>
  </si>
  <si>
    <t>Nutrient supply from fishes facilitates macroalgae and suppresses corals in a Caribbean coral reef ecosystem</t>
  </si>
  <si>
    <t>Peterson, Bradley J and Valentine, John F and Heck, Kenneth L</t>
  </si>
  <si>
    <t>The snapper-grunt pump: Habitat modification and facilitation of the associated benthic plant communities by reef-resident fish</t>
  </si>
  <si>
    <t>Allgeier, Jacob E. and Yeager, Lauren A. and Layman, Craig A.</t>
  </si>
  <si>
    <t>Consumers regulate nutrient limitation regimes and primary production in seagrass ecosystems</t>
  </si>
  <si>
    <t>Slattery, Marc and Gochfeld, Deborah J. and Easson, Cole G. and O'Donahue, Lindsay R. K.</t>
  </si>
  <si>
    <t>Facilitation of coral reef biodiversity and health by cave sponge communities</t>
  </si>
  <si>
    <t>Hepburn, Christopher D and Frew, Russell D and Hurd, Catriona L</t>
  </si>
  <si>
    <t>Uptake and transport of nitrogen derived from sessile epifauna in the giant kelp Macrocystis pyrifera</t>
  </si>
  <si>
    <t>Aquatic Biology</t>
  </si>
  <si>
    <t>Holbrook, Sally J and Schmitt, Russell J and Brooks, Andrew J</t>
  </si>
  <si>
    <t>Indirect effects of species interactions on habitat provisioning</t>
  </si>
  <si>
    <t>Whitehouse, MJ and Atkinson, A and Rees, A P</t>
  </si>
  <si>
    <t>Close coupling between ammonium uptake by phytoplankton and excretion by Antarctic krill, Euphausia superba</t>
  </si>
  <si>
    <t>Deep Sea Research (Part I, Oceanographic Research Papers)</t>
  </si>
  <si>
    <t>Layman, CA and Allgeier, JE and Rosemond, AD and Dahlgren, C P and Yeager, LA</t>
  </si>
  <si>
    <t>Marine fisheries declines viewed upside down: human impacts on consumer-driven nutrient recycling</t>
  </si>
  <si>
    <t>Ecological Applications</t>
  </si>
  <si>
    <t>Niggl, Wolfgang and Naumann, Malik S. and Struck, Ulrich and Manasrah, Riyad and Wild, Christian</t>
  </si>
  <si>
    <t>Organic matter release by the benthic upside-down jellyfish Cassiopea sp fuels pelagic food webs in coral reefs</t>
  </si>
  <si>
    <t>West, Elizabeth J. and Pitt, Kylie A. and Welsh, David T. and Koop, Klaus and Rissik, David</t>
  </si>
  <si>
    <t>Top-down and bottom-up influences of jellyfish on primary productivity and planktonic assemblages</t>
  </si>
  <si>
    <t>LIMNOLOGY AND OCEANOGRAPHY</t>
  </si>
  <si>
    <t>Roopin, M and Chadwick, N E</t>
  </si>
  <si>
    <t>Benefits to host sea anemones from ammonia contributions of resident anemonefish</t>
  </si>
  <si>
    <t>Aquilino, Kristin M. and Bracken, Matthew E. S. and Faubel, Melinda N. and Stachowicz, John J.</t>
  </si>
  <si>
    <t>Local-scale nutrient regeneration facilitates seaweed growth on wave-exposed rocky shores in an upwelling system</t>
  </si>
  <si>
    <t>Vinther, Hanne Fogh and Holmer, Marianne</t>
  </si>
  <si>
    <t>Experimental test of biodeposition and ammonium excretion from blue mussels (Mytilus edulis) on eelgrass (Zostera marina) performance</t>
  </si>
  <si>
    <t>Holbrook, Sally J and Brooks, Andrew J and Schmitt, Russell J and Stewart, Hannah L</t>
  </si>
  <si>
    <t>Effects of sheltering fish on growth of their host corals</t>
  </si>
  <si>
    <t>Vinther, H F and Laursen, J S and Holmer, M</t>
  </si>
  <si>
    <t>Negative effects of blue mussel (Mytilus edulis) presence in eelgrass (Zostera marina) beds in Flensborg fjord, Denmark</t>
  </si>
  <si>
    <t>Estuarine, Coastal and Shelf Science</t>
  </si>
  <si>
    <t>Wall, Charles C. and Peterson, Bradley J. and Gobler, Christopher J.</t>
  </si>
  <si>
    <t>Facilitation of seagrass Zostera marina productivity by suspension-feeding bivalves</t>
  </si>
  <si>
    <t>Liess, Antonia and Haglund, Ann-Louise</t>
  </si>
  <si>
    <t>Periphyton responds differentially to nutrients recycled in dissolved or faecal pellet form by the snail grazer Theodoxus fluviatilis</t>
  </si>
  <si>
    <t>Freshwater Biology</t>
  </si>
  <si>
    <t>Bracken, MES and Gonzalez-Dorantes, CA and Stachowicz, J J</t>
  </si>
  <si>
    <t>Whole-Community mutualism: Associated invertebrates facilitate a dominant habitat-forming seaweed</t>
  </si>
  <si>
    <t>Ecology</t>
  </si>
  <si>
    <t>Hepburn, Christopher D and Hurd, Catriona L and Frew, Russell D</t>
  </si>
  <si>
    <t>Colony Structure and Seasonal Differences in Light and Nitrogen Modify the Impact of Sessile Epifauna on the Giant Kelp Macrocystis pyrifera (L.) C Agardh</t>
  </si>
  <si>
    <t>Hydrobiologia</t>
  </si>
  <si>
    <t>Wai, TC and Williams, GA</t>
  </si>
  <si>
    <t>The relative importance of herbivore-induced effects on productivity of crustose coralline algae: Sea urchin grazing and nitrogen excretion</t>
  </si>
  <si>
    <t>Glaholt, SP and Vanni, MJ</t>
  </si>
  <si>
    <t>Ecological responses to simulated benthic-derived nutrient subsidies mediated by omnivorous fish</t>
  </si>
  <si>
    <t>FRESHWATER BIOLOGY</t>
  </si>
  <si>
    <t>Porat, D and Chadwick-Furman, N E</t>
  </si>
  <si>
    <t>Effects of anemonefish on giant sea anemones: Ammonium uptake, zooxanthella content and tissue regeneration</t>
  </si>
  <si>
    <t>Marine and Freshwater Behaviour and Physiology</t>
  </si>
  <si>
    <t>Hepburn, Christopher D and Hurd, Catriona L</t>
  </si>
  <si>
    <t>Conditional mutualism between the giant kelp Macrocystis pyrifera and colonial epifauna</t>
  </si>
  <si>
    <t>Bracken, Matthew ES</t>
  </si>
  <si>
    <t>Invertebrate-mediated nutrient loading increases growth of an intertidal macroalga</t>
  </si>
  <si>
    <t>Journal of Phycology</t>
  </si>
  <si>
    <t>Bracken, MES and Nielsen, K J</t>
  </si>
  <si>
    <t>Diversity of Intertidal Macroalgae Increases with Nitrogen Loading by Invertebrates</t>
  </si>
  <si>
    <t>Peterson, B J and Heck, KL Jr</t>
  </si>
  <si>
    <t>Positive interactions between suspension-feeding bivalves and seagrass - a facultative mutualism</t>
  </si>
  <si>
    <t>Uthicke, S</t>
  </si>
  <si>
    <t>Interactions between sediment-feeders and microalgae on coral reefs: grazing losses versus production enhancement</t>
  </si>
  <si>
    <t>Hurd, CL and Durante, KM and Harrison, PJ</t>
  </si>
  <si>
    <t>Influence of bryozoan colonization on the physiology of the kelp Macrocystis integrifolia (Laminariales, Phaeophyta) from nitrogen-rich and -poor sites in Barkley Sound, British Columbia, Canada</t>
  </si>
  <si>
    <t>PHYCOLOGIA</t>
  </si>
  <si>
    <t>Magni, P and Montani, S and Takada, C and Tsutsumi, H</t>
  </si>
  <si>
    <t>Temporal scaling and relevance of bivalve nutrient excretion on a tidal flat of the Seto Inland Sea, Japan</t>
  </si>
  <si>
    <t>Plaganyi, EE and Branch, G M</t>
  </si>
  <si>
    <t>Does the limpet Patella cochlear fertilize its own algal garden?</t>
  </si>
  <si>
    <t>Cognie, B and Barille, L</t>
  </si>
  <si>
    <t>Does bivalve mucus favour the growth of their main food source, microalgae?</t>
  </si>
  <si>
    <t>Oceanologica Acta</t>
  </si>
  <si>
    <t>Lehrter, John C and Pennock, Jonathan R and Mcmanus, George B</t>
  </si>
  <si>
    <t>Microzooplankton grazing and nitrogen excretion across a surface estuarine-coastal interface</t>
  </si>
  <si>
    <t>Estuaries</t>
  </si>
  <si>
    <t>Taylor, R B and Rees, TAV</t>
  </si>
  <si>
    <t>Excretory products of mobile epifauna as a nitrogen source for seaweeds</t>
  </si>
  <si>
    <t>Limnology and Oceanography</t>
  </si>
  <si>
    <t>Uthicke, S and Klumpp, DW</t>
  </si>
  <si>
    <t>Microphytobenthos community production at a near-shore coral reef: seasonal variation and response to ammonium recycled by holothurians</t>
  </si>
  <si>
    <t>Mokady, O and Loya, Y and Lazar, B</t>
  </si>
  <si>
    <t>Ammonium contribution from baring bivalves to their coral host - a mutualistic symbiosis?</t>
  </si>
  <si>
    <t>SimonBlecher, N and Achituv, Y and Malik, Z</t>
  </si>
  <si>
    <t>Effect of epibionts on the microdistribution of chlorophyll in corals and its detection by fluorescence spectral imaging</t>
  </si>
  <si>
    <t>MARINE BIOLOGY</t>
  </si>
  <si>
    <t>Spotte, S</t>
  </si>
  <si>
    <t>Supply of regenerated nitrogen to sea anemones by their symbiotic shrimp</t>
  </si>
  <si>
    <t>Ambariyanto and HoeghGuldberg, O</t>
  </si>
  <si>
    <t>Nutrient enrichment and the ultrastructure of zooxanthellae from the giant clam Tridacna maxima</t>
  </si>
  <si>
    <t>MUKAI, H and IIJIMA, A</t>
  </si>
  <si>
    <t>GRAZING EFFECTS OF A GAMMARIDEAN AMPHIPODA, AMPITHOE SP, ON THE SEAGRASS, SYRINGODIUM-ISOETIFOLIUM, AND EPIPHYTES IN A TROPICAL SEAGRASS BED OF FIJI</t>
  </si>
  <si>
    <t>ECOLOGICAL RESEARCH</t>
  </si>
  <si>
    <t>Bustamante, R H and Branch, G M and Eekhout, S and Robertson, B and Zoutendyk, P and Schleyer, M and Dye, A and Hanekom, N and Keats, D and Jurd, M and McQuaid, C</t>
  </si>
  <si>
    <t>Gradients of intertidal primary productivity around the coast of South Africa and their relationships with consumer biomass</t>
  </si>
  <si>
    <t>HURD, CL and DURANTE, KM and CHIA, FS and HARRISON, PJ</t>
  </si>
  <si>
    <t>EFFECT OF BRYOZOAN COLONIZATION ON INORGANIC NITROGEN ACQUISITION BY THE KELPS AGARUM-FIMBRIATUM AND MACROCYSTIS-INTEGRIFOLIA</t>
  </si>
  <si>
    <t>McQuaid, C D and Froneman, P W</t>
  </si>
  <si>
    <t>Mutualism between the territorial intertidal limpet Patella longicosta and the crustose alga Ralfsia verrucosa</t>
  </si>
  <si>
    <t>JONSSON, B and SUNDBACK, K and NILSSON, P and NILSSON, C and SWANBERG, IL and EKEBOM, J</t>
  </si>
  <si>
    <t>DOES THE INFLUENCE OF THE EPIBENTHIC PREDATOR CRANGON-CRANGON L (BROWN SHRIMP) EXTEND TO SEDIMENT MICROALGAE AND BACTERIA</t>
  </si>
  <si>
    <t>NETHERLANDS JOURNAL OF SEA RESEARCH</t>
  </si>
  <si>
    <t>MCCORMICK, PV and STEVENSON, RJ</t>
  </si>
  <si>
    <t>GRAZER CONTROL OF NUTRIENT AVAILABILITY IN THE PERIPHYTON</t>
  </si>
  <si>
    <t>OECOLOGIA</t>
  </si>
  <si>
    <t>Xiao, Wupeng and Zeng, Yang and Liu, Xin and Huang, Xuguang and Chiang, Kuo-Ping and Mi, Tiezhu and Zhang, Fang and Li, Chaolun and Wei, Hao and Yao, Qingzhen and Huang, Bangqin</t>
  </si>
  <si>
    <t>The impact of giant jellyfish Nemopilema nomurai blooms on plankton communities in a temperate marginal sea</t>
  </si>
  <si>
    <t>Marine Pollution Bulletin</t>
  </si>
  <si>
    <t>Wu, Yalin</t>
  </si>
  <si>
    <t>Ecological Contribution of &lt;i&gt;Rudita pesphilippinarum&lt;/i&gt; in the Seagrass Meadow of Sanggou Bay</t>
  </si>
  <si>
    <t>Wood, J D and Elliott, D and Garman, G and Hopler, D and Lee, W and McIninch, S and Porter, A J and Bukaveckas, P A</t>
  </si>
  <si>
    <t>Autochthony, allochthony and the role of consumers in influencing the sensitivity of aquatic systems to nutrient enrichment</t>
  </si>
  <si>
    <t>Food Webs</t>
  </si>
  <si>
    <t>Jauffrais, Thierry and Drouet, Sigrid and Turpin, Vincent and Meleder, Vona and Jesus, Bruno and Cognie, Bruno and Raimbault, Patrick and Cosson, Richard P and Decottignies, Priscilla and Martin-Jezequel, Veronique</t>
  </si>
  <si>
    <t>Growth and biochemical composition of a microphytobenthic diatom (Entomoneis paludosa) exposed to shorebird (Calidris alpina) droppings</t>
  </si>
  <si>
    <t>Brzezinski, Mark A and Reed, Daniel C and Harrer, Shannon and RASSWEILER, ANDREW and Melack, John M and Goodridge, Blair M and Dugan, Jenifer E</t>
  </si>
  <si>
    <t>MULTIPLE SOURCES AND FORMS OF NITROGEN SUSTAIN YEAR-ROUND KELP GROWTH: on the Inner Continental Shelf of the Santa Barbara Channel</t>
  </si>
  <si>
    <t>Oceanography</t>
  </si>
  <si>
    <t>Li, Zhen and Zhang, Yinjiang and Zhang, Leting and Zheng, Tiangang and Jin, Jing and Pan, Liande and Wang, Cong</t>
  </si>
  <si>
    <t>STUDY ON FEEDING PREFERENCE OF SPINIBARBUS HOLLANDI TO SPIROGYRA, HYDRILLA VERTICILLATA AND CERATOPHYLLUM DEMERSUM AND EFFECT ON WATER QUALITY</t>
  </si>
  <si>
    <t>Acta hydrobiologica sinica/Shuisheng Shengwu Xuebao</t>
  </si>
  <si>
    <t>Olsen, Ylva S and Valiela, Ivan</t>
  </si>
  <si>
    <t>Effect of Sediment Nutrient Enrichment and Grazing on Turtle Grass Thalassia testudinum in Jobos Bay, Puerto Rico</t>
  </si>
  <si>
    <t>Estuaries and Coasts</t>
  </si>
  <si>
    <t>Jaschinski, Sybill and Sommer, Ulrich</t>
  </si>
  <si>
    <t>Positive effects of mesograzers on epiphytes in an eelgrass system</t>
  </si>
  <si>
    <t>Aquilino, Kristin M and Bracken, Matthew ES and Faubel, Melinda N and Stachowicz, John J</t>
  </si>
  <si>
    <t>Local-scale nutrient regeneration facilitates seaweed growth on wave- exposed rocky shores in an upwelling system</t>
  </si>
  <si>
    <t>Garbary, D J and Jamieson, M M and Fraser, S J and Ferguson, CA and Cranston, P S</t>
  </si>
  <si>
    <t>Ascophyllum (Phaeophyceae) and its symbionts. IX. A novel symbiosis between Halocladius variabilis (Chironomidae, Insecta) and Elachista fucicola (Elachistaceae, Phaeophyceae) from marine rocky shores of Nova Scotia</t>
  </si>
  <si>
    <t>Symbiosis</t>
  </si>
  <si>
    <t>Linden, E and Kuosa, H</t>
  </si>
  <si>
    <t>Effects of grazing and excretion by pelagic mysids (Mysis spp.) on the size structure and biomass of the phytoplankton community</t>
  </si>
  <si>
    <t>Bracken, ME and Nielsen, K J</t>
  </si>
  <si>
    <t>Nitrogen loading by invertebrates increases growth and diversity of intertidal macroalgae</t>
  </si>
  <si>
    <t>Positive interactions between suspension-feeding bivalves and seagrass--a facultative mutualism</t>
  </si>
  <si>
    <t>Arzul, G and Seguel, M and Clment, A</t>
  </si>
  <si>
    <t>Effect of marine animal excretions on differential growth of phytoplankton species</t>
  </si>
  <si>
    <t>ICES Journal of Marine Science</t>
  </si>
  <si>
    <t>Davy, S K and Hinde, R</t>
  </si>
  <si>
    <t>Nitrogen flux in a sponge-macroalgal symbiosis</t>
  </si>
  <si>
    <t>Memoirs of the Queensland Museum</t>
  </si>
  <si>
    <t>Alcaraz, M and Saiz, E and Fernandez, JA and Trepat, I and Figueiras, F and Calbet, A and Bautista, B</t>
  </si>
  <si>
    <t>Antarctic zooplankton metabolism: Carbon requirements and ammonium excretion of salps and crustacean zooplankton in the vicinity of the Bransfield Strait during January 1994</t>
  </si>
  <si>
    <t>Journal of Marine Systems</t>
  </si>
  <si>
    <t>Ellison, A M and Farnsworth, E J and Twilley, R R</t>
  </si>
  <si>
    <t>Facultative mutualism between red mangroves and root-fouling sponges in Belizean mangal</t>
  </si>
  <si>
    <t>Joensson, B and Sundbaeck, K and Nilsson, P and Nilsson, C and Swanberg, IL and Ekebom, J</t>
  </si>
  <si>
    <t>Does the influence of the epibenthic predator Crangon crangon L. (brown shrimp) extend to sediment microalgae and bacteria?</t>
  </si>
  <si>
    <t>NETH. J. SEA RES</t>
  </si>
  <si>
    <t>Bray, R N and Miller, A C and Jonson, S and Krause, PR and Robertson, D L and Westcott, A M</t>
  </si>
  <si>
    <t>Ammomium excretion by macroinvertebrates and fishes on a subtidal rocky reef in southern California</t>
  </si>
  <si>
    <t>Marine biology. Berlin, Heidelberg</t>
  </si>
  <si>
    <t>Williams, S L and Carpenter, R C</t>
  </si>
  <si>
    <t xml:space="preserve">Nitrogen-limited primary productivity of coral reef algal turfs: Potential contribution of ammonium excreted by Diadema antillarum </t>
  </si>
  <si>
    <t>Marine ecology progress series. Oldendorf</t>
  </si>
  <si>
    <t>McDonald, ME</t>
  </si>
  <si>
    <t>Growth of a grazing phytoplanktivorous fish and growth enhancement of the grazed alga</t>
  </si>
  <si>
    <t>Meyer, J L and Schultz, E T</t>
  </si>
  <si>
    <t>Migrating haemulid fishes as a source of nutrients and organic matter on coral reefs</t>
  </si>
  <si>
    <t>Meyer, J L and Schultz, E T and Helfman, G S</t>
  </si>
  <si>
    <t>Fish schools: An asset to corals</t>
  </si>
  <si>
    <t>Science (Washington)</t>
  </si>
  <si>
    <t>Connor and Teal, J M and Valiela, I</t>
  </si>
  <si>
    <t>The effect of feeding by mud snails, Ilyanassa obsoleta (Say), on the structure and metabolism of a laboratory benthic algal community</t>
  </si>
  <si>
    <t>Connor, M S</t>
  </si>
  <si>
    <t>Snail grazing effects on the composition and metabolism of benthic diatom communities and subsequent effects on fish growth. /[Thesis (Ph.D.)]</t>
  </si>
  <si>
    <t>Publ. by: WHOI; Woods Hole, MA (USA)., Jun 1980., 169 p., Tech. Rep. Woods Hole Oceanogr. Inst</t>
  </si>
  <si>
    <t>Golovkin, AN</t>
  </si>
  <si>
    <t>The influence of sea colonial birds on phytoplankton growth</t>
  </si>
  <si>
    <t>Okeanologiya</t>
  </si>
  <si>
    <t>Chile</t>
  </si>
  <si>
    <t>location</t>
  </si>
  <si>
    <t xml:space="preserve">Estacion Costera de Investigaciones Marinas </t>
  </si>
  <si>
    <r>
      <t>(T)</t>
    </r>
    <r>
      <rPr>
        <sz val="11"/>
        <color rgb="FF000000"/>
        <rFont val="Calibri"/>
        <family val="2"/>
        <scheme val="minor"/>
      </rPr>
      <t xml:space="preserve"> Tropical (23.5°N-23.5°S)</t>
    </r>
  </si>
  <si>
    <r>
      <t>(NP)</t>
    </r>
    <r>
      <rPr>
        <sz val="11"/>
        <color rgb="FF000000"/>
        <rFont val="Calibri"/>
        <family val="2"/>
        <scheme val="minor"/>
      </rPr>
      <t>Northern polar (above 66.5°N)</t>
    </r>
  </si>
  <si>
    <r>
      <t>(SP)</t>
    </r>
    <r>
      <rPr>
        <sz val="11"/>
        <color rgb="FF000000"/>
        <rFont val="Calibri"/>
        <family val="2"/>
        <scheme val="minor"/>
      </rPr>
      <t xml:space="preserve"> Southern polar (above 66.5°S)</t>
    </r>
  </si>
  <si>
    <t>ST</t>
  </si>
  <si>
    <t>c_taxa</t>
  </si>
  <si>
    <t>c_phyla</t>
  </si>
  <si>
    <t>c_genus</t>
  </si>
  <si>
    <t>c_species</t>
  </si>
  <si>
    <t>pp_speces</t>
  </si>
  <si>
    <t>Lattitude</t>
  </si>
  <si>
    <t>Longitude</t>
  </si>
  <si>
    <t>33° 30'S</t>
  </si>
  <si>
    <t>71° 30'W</t>
  </si>
  <si>
    <t>lat_dec</t>
  </si>
  <si>
    <t>long_dec</t>
  </si>
  <si>
    <t>ocean</t>
  </si>
  <si>
    <t>region</t>
  </si>
  <si>
    <t>source</t>
  </si>
  <si>
    <t>Pacific</t>
  </si>
  <si>
    <t>South</t>
  </si>
  <si>
    <t>https://github.com/baumlab/Claar_etal_2018_PLoSOne</t>
  </si>
  <si>
    <t>T</t>
  </si>
  <si>
    <t>species</t>
  </si>
  <si>
    <r>
      <t>(CA)</t>
    </r>
    <r>
      <rPr>
        <sz val="11"/>
        <color rgb="FF000000"/>
        <rFont val="Calibri"/>
        <family val="2"/>
        <scheme val="minor"/>
      </rPr>
      <t xml:space="preserve"> Calcareous Algae </t>
    </r>
  </si>
  <si>
    <r>
      <t xml:space="preserve">(Co) </t>
    </r>
    <r>
      <rPr>
        <sz val="11"/>
        <color rgb="FF000000"/>
        <rFont val="Calibri"/>
        <family val="2"/>
        <scheme val="minor"/>
      </rPr>
      <t xml:space="preserve">Coral </t>
    </r>
  </si>
  <si>
    <r>
      <t>(B)</t>
    </r>
    <r>
      <rPr>
        <sz val="11"/>
        <color rgb="FF000000"/>
        <rFont val="Calibri"/>
        <family val="2"/>
        <scheme val="minor"/>
      </rPr>
      <t xml:space="preserve"> Bivalve </t>
    </r>
  </si>
  <si>
    <r>
      <t xml:space="preserve">(G) </t>
    </r>
    <r>
      <rPr>
        <sz val="11"/>
        <color rgb="FF000000"/>
        <rFont val="Calibri"/>
        <family val="2"/>
        <scheme val="minor"/>
      </rPr>
      <t xml:space="preserve">Gastropod </t>
    </r>
  </si>
  <si>
    <r>
      <t xml:space="preserve">(E) </t>
    </r>
    <r>
      <rPr>
        <sz val="11"/>
        <color rgb="FF000000"/>
        <rFont val="Calibri"/>
        <family val="2"/>
        <scheme val="minor"/>
      </rPr>
      <t xml:space="preserve">Echinoderm </t>
    </r>
  </si>
  <si>
    <r>
      <t xml:space="preserve">(Cr) </t>
    </r>
    <r>
      <rPr>
        <sz val="11"/>
        <color rgb="FF000000"/>
        <rFont val="Calibri"/>
        <family val="2"/>
        <scheme val="minor"/>
      </rPr>
      <t xml:space="preserve">Crustacean </t>
    </r>
  </si>
  <si>
    <r>
      <t>(F)</t>
    </r>
    <r>
      <rPr>
        <sz val="11"/>
        <color rgb="FF000000"/>
        <rFont val="Calibri"/>
        <family val="2"/>
        <scheme val="minor"/>
      </rPr>
      <t xml:space="preserve"> Fish </t>
    </r>
  </si>
  <si>
    <r>
      <t>(FA)</t>
    </r>
    <r>
      <rPr>
        <sz val="11"/>
        <color rgb="FF000000"/>
        <rFont val="Calibri"/>
        <family val="2"/>
        <scheme val="minor"/>
      </rPr>
      <t xml:space="preserve"> Fleshy Algae </t>
    </r>
  </si>
  <si>
    <r>
      <t>(S)</t>
    </r>
    <r>
      <rPr>
        <sz val="11"/>
        <color rgb="FF000000"/>
        <rFont val="Calibri"/>
        <family val="2"/>
        <scheme val="minor"/>
      </rPr>
      <t xml:space="preserve"> Seagrass </t>
    </r>
  </si>
  <si>
    <t>F</t>
  </si>
  <si>
    <t>Chordata</t>
  </si>
  <si>
    <t>Co</t>
  </si>
  <si>
    <t>Cnidaria</t>
  </si>
  <si>
    <t xml:space="preserve">Pocillopora </t>
  </si>
  <si>
    <t xml:space="preserve">eydouxi </t>
  </si>
  <si>
    <t>c_species_family_comm</t>
  </si>
  <si>
    <t>family</t>
  </si>
  <si>
    <t xml:space="preserve">Pomacentridae </t>
  </si>
  <si>
    <t>NA</t>
  </si>
  <si>
    <t>pp_species_family_comm</t>
  </si>
  <si>
    <t>response</t>
  </si>
  <si>
    <t>growth</t>
  </si>
  <si>
    <t>mean_treatment</t>
  </si>
  <si>
    <t>mean_control</t>
  </si>
  <si>
    <t>Fig.4</t>
  </si>
  <si>
    <t>se_treatment</t>
  </si>
  <si>
    <t>se_control</t>
  </si>
  <si>
    <t>measured how much ammonium inverts excrete and then how much seaweeds need, didn't directly measure growth</t>
  </si>
  <si>
    <t>didn't measure growth as response</t>
  </si>
  <si>
    <t>didn't use animals, artificially added N</t>
  </si>
  <si>
    <t>France</t>
  </si>
  <si>
    <t>43°26'51"N</t>
  </si>
  <si>
    <t>3°39'6"E</t>
  </si>
  <si>
    <t>water_body</t>
  </si>
  <si>
    <t>lagoon</t>
  </si>
  <si>
    <t>coastal</t>
  </si>
  <si>
    <t>lab_field</t>
  </si>
  <si>
    <t>lab</t>
  </si>
  <si>
    <t>field</t>
  </si>
  <si>
    <t>Mediterranean</t>
  </si>
  <si>
    <t>NT</t>
  </si>
  <si>
    <t>Sparidae</t>
  </si>
  <si>
    <t>Sparus</t>
  </si>
  <si>
    <t>aurata</t>
  </si>
  <si>
    <t>Chelon</t>
  </si>
  <si>
    <t>auratus</t>
  </si>
  <si>
    <t>Mugilidae</t>
  </si>
  <si>
    <t>community</t>
  </si>
  <si>
    <t>Taxa</t>
  </si>
  <si>
    <t>P</t>
  </si>
  <si>
    <t>Ochrophyta</t>
  </si>
  <si>
    <t>Fig.1a</t>
  </si>
  <si>
    <t>density</t>
  </si>
  <si>
    <t>density of phytoplankton cells per mL</t>
  </si>
  <si>
    <t>means are actually medians</t>
  </si>
  <si>
    <t>didn't consider fish pee as a fertilizer for algal growth????????????????</t>
  </si>
  <si>
    <t>didn't measure pp as response</t>
  </si>
  <si>
    <t>continent</t>
  </si>
  <si>
    <t>season</t>
  </si>
  <si>
    <t>treatment_levels</t>
  </si>
  <si>
    <t>growth_rate</t>
  </si>
  <si>
    <t>control_n</t>
  </si>
  <si>
    <t>treatment_ n</t>
  </si>
  <si>
    <t>data_source</t>
  </si>
  <si>
    <t>WebPlotDigitizer</t>
  </si>
  <si>
    <t>Bahamas</t>
  </si>
  <si>
    <t>Mexico</t>
  </si>
  <si>
    <t>Florida Keys</t>
  </si>
  <si>
    <t>USA</t>
  </si>
  <si>
    <t>Canada</t>
  </si>
  <si>
    <t>Quebec</t>
  </si>
  <si>
    <t>Old Robinson</t>
  </si>
  <si>
    <t>Lancaster Sound Region</t>
  </si>
  <si>
    <t>New Zealand</t>
  </si>
  <si>
    <t>North Island</t>
  </si>
  <si>
    <t>Sapelo Island, Georgia</t>
  </si>
  <si>
    <t>Bourgneuf Bay</t>
  </si>
  <si>
    <t>Australia</t>
  </si>
  <si>
    <t>Northern Great Barrier Reef</t>
  </si>
  <si>
    <t>Bay of Brest</t>
  </si>
  <si>
    <t>Fiji</t>
  </si>
  <si>
    <t>Kubulau District</t>
  </si>
  <si>
    <t>Chagos Archipelago</t>
  </si>
  <si>
    <t>British Indian Ocean Territory</t>
  </si>
  <si>
    <t>Abaco Island</t>
  </si>
  <si>
    <t>One Tree Island</t>
  </si>
  <si>
    <t>Tatoosh Island</t>
  </si>
  <si>
    <t>Sargassum sea</t>
  </si>
  <si>
    <t>modelled nutrients, didn't measure pp as response</t>
  </si>
  <si>
    <t>Lee Stocking Island</t>
  </si>
  <si>
    <t>Harington Point</t>
  </si>
  <si>
    <t>weren't able to tease apart effects of consumption and nourishing. Looked at mussels effect on plankton and found they eat plankton</t>
  </si>
  <si>
    <t>not an experimental study</t>
  </si>
  <si>
    <t>West Falmouth Harbor, Cape Cod</t>
  </si>
  <si>
    <t>Exuma Cays</t>
  </si>
  <si>
    <t>measured uptake not growth</t>
  </si>
  <si>
    <t>French Polynesia</t>
  </si>
  <si>
    <t>Moorea</t>
  </si>
  <si>
    <t>didn't measure chl a in response to nutrients or krill, measured uptake</t>
  </si>
  <si>
    <t>didn't measure pp as response + animals weren't nutrient source</t>
  </si>
  <si>
    <t>carbon not nutrients</t>
  </si>
  <si>
    <t>New South Wales</t>
  </si>
  <si>
    <t>Bodega Marine Reserve</t>
  </si>
  <si>
    <t>Denmark</t>
  </si>
  <si>
    <t>Svenstrup Strand</t>
  </si>
  <si>
    <t>Flensborg fjord</t>
  </si>
  <si>
    <t>Southampton</t>
  </si>
  <si>
    <t>lake</t>
  </si>
  <si>
    <t>recorded uptake and nutrient concentration</t>
  </si>
  <si>
    <t>nutrient conc as response</t>
  </si>
  <si>
    <t>Hong Kong</t>
  </si>
  <si>
    <t>China</t>
  </si>
  <si>
    <t>Oregon</t>
  </si>
  <si>
    <t>Eilat</t>
  </si>
  <si>
    <t>Israel</t>
  </si>
  <si>
    <t>diversity as response</t>
  </si>
  <si>
    <t>St. Joseph Bay, Florida</t>
  </si>
  <si>
    <t>Great Palm Island</t>
  </si>
  <si>
    <t>72° 00′E</t>
  </si>
  <si>
    <t>5° 50′S</t>
  </si>
  <si>
    <t>14°41'00.0"S</t>
  </si>
  <si>
    <t>145°27'00.0"E</t>
  </si>
  <si>
    <r>
      <t>(NT)</t>
    </r>
    <r>
      <rPr>
        <sz val="11"/>
        <color rgb="FF000000"/>
        <rFont val="Calibri"/>
        <family val="2"/>
        <scheme val="minor"/>
      </rPr>
      <t xml:space="preserve"> Northern temperate (35°N-66.5°N)</t>
    </r>
  </si>
  <si>
    <r>
      <t xml:space="preserve">(NST) </t>
    </r>
    <r>
      <rPr>
        <sz val="11"/>
        <color rgb="FF000000"/>
        <rFont val="Calibri"/>
        <family val="2"/>
        <scheme val="minor"/>
      </rPr>
      <t>Northern subtropics (23.5°N - 35°N</t>
    </r>
  </si>
  <si>
    <r>
      <rPr>
        <b/>
        <sz val="11"/>
        <color rgb="FF000000"/>
        <rFont val="Calibri"/>
        <family val="2"/>
        <scheme val="minor"/>
      </rPr>
      <t>(SST)</t>
    </r>
    <r>
      <rPr>
        <sz val="11"/>
        <color rgb="FF000000"/>
        <rFont val="Calibri"/>
        <family val="2"/>
        <scheme val="minor"/>
      </rPr>
      <t xml:space="preserve"> Southern subtropical (23.5°S - 35°S)</t>
    </r>
  </si>
  <si>
    <r>
      <t>(ST)</t>
    </r>
    <r>
      <rPr>
        <sz val="11"/>
        <color rgb="FF000000"/>
        <rFont val="Calibri"/>
        <family val="2"/>
        <scheme val="minor"/>
      </rPr>
      <t xml:space="preserve"> Southern temperate (35°S-66.5°S)</t>
    </r>
  </si>
  <si>
    <t>NST</t>
  </si>
  <si>
    <t>SST</t>
  </si>
  <si>
    <t>NP</t>
  </si>
  <si>
    <t>17°05'59.1"S</t>
  </si>
  <si>
    <t>179°05'37.5"E</t>
  </si>
  <si>
    <t>47°02'55.0"N</t>
  </si>
  <si>
    <t>2°09'20.4"W</t>
  </si>
  <si>
    <t>31°21'15.3"N</t>
  </si>
  <si>
    <t>81°14'47.7"W</t>
  </si>
  <si>
    <t>37°00'22.8"S</t>
  </si>
  <si>
    <t>175°53'25.0"E</t>
  </si>
  <si>
    <t>74°13'00.0"N</t>
  </si>
  <si>
    <t>84°02'00.0"W</t>
  </si>
  <si>
    <t>30°16'47.6"N</t>
  </si>
  <si>
    <t>115°54'48.4"W</t>
  </si>
  <si>
    <t>San Quintin Bay</t>
  </si>
  <si>
    <t>23°30'00.0"S</t>
  </si>
  <si>
    <t>152°06'00.0"E</t>
  </si>
  <si>
    <t>48°17'50.5"N</t>
  </si>
  <si>
    <t>124°14'25.1"W</t>
  </si>
  <si>
    <t>32°28'23.7"N</t>
  </si>
  <si>
    <t>64°52'16.8"W</t>
  </si>
  <si>
    <t>24°32'50.0"N</t>
  </si>
  <si>
    <t>81°23'39.0"W</t>
  </si>
  <si>
    <t>32°39'00.0"S</t>
  </si>
  <si>
    <t>152°52'00.0"E</t>
  </si>
  <si>
    <t>7°35'18.2"N</t>
  </si>
  <si>
    <t>134°44'00.2"E</t>
  </si>
  <si>
    <t>artificial seawater, organisms collected from Palau, Hawaii. Sent to Alabama for lab tests</t>
  </si>
  <si>
    <t>Palau</t>
  </si>
  <si>
    <t>54°49'07.9"N</t>
  </si>
  <si>
    <t>9°56'27.0"E</t>
  </si>
  <si>
    <t>55°22'31.8"N</t>
  </si>
  <si>
    <t>10°58'01.5"E</t>
  </si>
  <si>
    <t>40°51'34.5"N</t>
  </si>
  <si>
    <t>72°28'20.1"W</t>
  </si>
  <si>
    <t>22°12'26.6"N</t>
  </si>
  <si>
    <t>114°15'44.1"E</t>
  </si>
  <si>
    <t>29°20'38.4"N</t>
  </si>
  <si>
    <t>34°51'45.6"E</t>
  </si>
  <si>
    <t>29°46'14.8"N</t>
  </si>
  <si>
    <t>85°21'26.2"W</t>
  </si>
  <si>
    <t>no pp</t>
  </si>
  <si>
    <t>47°02'49.0"N</t>
  </si>
  <si>
    <t>2°08'22.9"W</t>
  </si>
  <si>
    <t>didn't measure growth, had grazing and fertilization happening at same time</t>
  </si>
  <si>
    <t>didn't measure pp or growth response</t>
  </si>
  <si>
    <t xml:space="preserve">might have a hard time extracting data? Looked at fluorescence of algae near invert boring into </t>
  </si>
  <si>
    <t>29°29'26.2"N</t>
  </si>
  <si>
    <t>34°56'42.0"E</t>
  </si>
  <si>
    <t>21°51’N</t>
  </si>
  <si>
    <t>72°06’W</t>
  </si>
  <si>
    <t>Caicos Bank, Turks and Caicos Islands,</t>
  </si>
  <si>
    <t>British West Indies</t>
  </si>
  <si>
    <t>artificial ammonium</t>
  </si>
  <si>
    <t>didn't look at nutrients</t>
  </si>
  <si>
    <t>I don't think they measured pp as response, it was grazers as function of chl a</t>
  </si>
  <si>
    <t>didn't measure growth, just uptake</t>
  </si>
  <si>
    <t>26°33'E</t>
  </si>
  <si>
    <t>33°45'S</t>
  </si>
  <si>
    <t>South Africa</t>
  </si>
  <si>
    <t>Cannon Rocks</t>
  </si>
  <si>
    <t>freshwater</t>
  </si>
  <si>
    <t>don't really have a control???</t>
  </si>
  <si>
    <t>Progress in Fishery Sciences</t>
  </si>
  <si>
    <t>can't find full text</t>
  </si>
  <si>
    <t>http://proxy.lib.sfu.ca/login?url=https://www-proquest-com.proxy.lib.sfu.ca/scholarly-journals/ecological-contribution-i-rudita-pesphilippinarum/docview/2301641265/se-2?accountid=13800</t>
  </si>
  <si>
    <t>47°01'N</t>
  </si>
  <si>
    <t>2°02'W</t>
  </si>
  <si>
    <t>repeated citation</t>
  </si>
  <si>
    <t>can't find full text, paper in chinese?</t>
  </si>
  <si>
    <t>https://www.cabdirect.org/cabdirect/abstract/20133310035</t>
  </si>
  <si>
    <t>artificial nutrients</t>
  </si>
  <si>
    <t>can't tease grazing from nutrients :(</t>
  </si>
  <si>
    <t>38°18'56.5"N</t>
  </si>
  <si>
    <t>123°04'15.4"W</t>
  </si>
  <si>
    <t>no animal</t>
  </si>
  <si>
    <t>59°45'4"N</t>
  </si>
  <si>
    <t>23°13'09.0"E</t>
  </si>
  <si>
    <t>Finland</t>
  </si>
  <si>
    <t>Bothnian Bay</t>
  </si>
  <si>
    <t>Invertebrate-Mediated Nutrient Loading Increases Growth of an Intertidal Macroalga1</t>
  </si>
  <si>
    <t>44°37'10.7"N</t>
  </si>
  <si>
    <t>124°01'10.0"W</t>
  </si>
  <si>
    <t>Yaquina Bay</t>
  </si>
  <si>
    <t>duplicate</t>
  </si>
  <si>
    <t>replaced with the paper, this was just a conference abstract</t>
  </si>
  <si>
    <t>animals not source of nitrogen</t>
  </si>
  <si>
    <t>didn't measure chl a in response to nutrients or zooplankton</t>
  </si>
  <si>
    <t>16°48'N</t>
  </si>
  <si>
    <t>88°05'W</t>
  </si>
  <si>
    <t>Carrie Bow Cay</t>
  </si>
  <si>
    <t>Belize</t>
  </si>
  <si>
    <t>grazing and excretion, can't tell apart</t>
  </si>
  <si>
    <t>didn't look at pp response. Good citation tho</t>
  </si>
  <si>
    <t>17°45'27.9"N</t>
  </si>
  <si>
    <t>64°36'20.7"W</t>
  </si>
  <si>
    <t>US Virgin Islands</t>
  </si>
  <si>
    <t>can't find full paper</t>
  </si>
  <si>
    <t>Brest</t>
  </si>
  <si>
    <t>48°51'06.5"N</t>
  </si>
  <si>
    <t>125°07'03.4"W</t>
  </si>
  <si>
    <t>Dixon Island</t>
  </si>
  <si>
    <t>48°49'N</t>
  </si>
  <si>
    <t>125°11'W</t>
  </si>
  <si>
    <t>Execution Rock</t>
  </si>
  <si>
    <t>Pfister, Catherine A</t>
  </si>
  <si>
    <t>Intertidal invertebrate locally enhance primary production</t>
  </si>
  <si>
    <t>Second Beach</t>
  </si>
  <si>
    <t>year_of_study</t>
  </si>
  <si>
    <t>c_family</t>
  </si>
  <si>
    <t>Bouzigues</t>
  </si>
  <si>
    <t>North America</t>
  </si>
  <si>
    <t>Atlantic</t>
  </si>
  <si>
    <t>nutrient_levels</t>
  </si>
  <si>
    <t>low</t>
  </si>
  <si>
    <t>summer</t>
  </si>
  <si>
    <t>Mytilidae</t>
  </si>
  <si>
    <t>B</t>
  </si>
  <si>
    <t>Mollusca</t>
  </si>
  <si>
    <t>Mytilus</t>
  </si>
  <si>
    <t>edulis</t>
  </si>
  <si>
    <t>chl_a</t>
  </si>
  <si>
    <t>Table1</t>
  </si>
  <si>
    <t>sd_treatment</t>
  </si>
  <si>
    <t>sd_control</t>
  </si>
  <si>
    <t>shallow forereef</t>
  </si>
  <si>
    <t>Haemulidae</t>
  </si>
  <si>
    <t>Acropora</t>
  </si>
  <si>
    <t>cervicornis</t>
  </si>
  <si>
    <t>Fig.5</t>
  </si>
  <si>
    <t>bay</t>
  </si>
  <si>
    <t>winter</t>
  </si>
  <si>
    <t>S</t>
  </si>
  <si>
    <t>Thalassia</t>
  </si>
  <si>
    <t>testudinum</t>
  </si>
  <si>
    <t>Tracheophyta</t>
  </si>
  <si>
    <t>Indian</t>
  </si>
  <si>
    <t>Central</t>
  </si>
  <si>
    <t>reef</t>
  </si>
  <si>
    <t>spring</t>
  </si>
  <si>
    <t>C</t>
  </si>
  <si>
    <r>
      <t xml:space="preserve">(Bi) </t>
    </r>
    <r>
      <rPr>
        <sz val="11"/>
        <color rgb="FF000000"/>
        <rFont val="Calibri"/>
        <family val="2"/>
        <scheme val="minor"/>
      </rPr>
      <t>Birds</t>
    </r>
  </si>
  <si>
    <r>
      <t xml:space="preserve">(P) </t>
    </r>
    <r>
      <rPr>
        <sz val="11"/>
        <color rgb="FF000000"/>
        <rFont val="Calibri"/>
        <family val="2"/>
        <scheme val="minor"/>
      </rPr>
      <t>Phytoplankton</t>
    </r>
  </si>
  <si>
    <t>Bi</t>
  </si>
  <si>
    <t>Fig.2a</t>
  </si>
  <si>
    <t>percent cover change</t>
  </si>
  <si>
    <t>Halimedaceae</t>
  </si>
  <si>
    <t>FA</t>
  </si>
  <si>
    <t>Halimeda</t>
  </si>
  <si>
    <t>pp_family</t>
  </si>
  <si>
    <t>Chlorophyta</t>
  </si>
  <si>
    <t>Fig.2c</t>
  </si>
  <si>
    <t>pre</t>
  </si>
  <si>
    <t>post</t>
  </si>
  <si>
    <t>rats_mean</t>
  </si>
  <si>
    <t>birds_mean</t>
  </si>
  <si>
    <t>rats_se</t>
  </si>
  <si>
    <t>birds_se</t>
  </si>
  <si>
    <t>rats_n</t>
  </si>
  <si>
    <t>birds_n</t>
  </si>
  <si>
    <t>rats_prop_se</t>
  </si>
  <si>
    <t>rats_change</t>
  </si>
  <si>
    <t>figuring out how to get a "mean" for the change in coral cover after the heating event. Subtracted the post from the pre for the means, then propogated the error to get new SE value</t>
  </si>
  <si>
    <t>coral</t>
  </si>
  <si>
    <t>algae</t>
  </si>
  <si>
    <t>birds_change</t>
  </si>
  <si>
    <t>birds_prop_se</t>
  </si>
  <si>
    <t>SE = SQRT(se_a^2 + se_b^2)</t>
  </si>
  <si>
    <t>surveys before and after bleaching, 2015 and then again in 2018. mean = the post survey percent cover - the pre survey percent cover</t>
  </si>
  <si>
    <t>Fig.2b</t>
  </si>
  <si>
    <t>Crustose algaea</t>
  </si>
  <si>
    <t>Rhodophyta</t>
  </si>
  <si>
    <t>formosa</t>
  </si>
  <si>
    <t>Asia</t>
  </si>
  <si>
    <t>Oceania</t>
  </si>
  <si>
    <t>2015-2018</t>
  </si>
  <si>
    <t>2011-2013</t>
  </si>
  <si>
    <t>winter-spring</t>
  </si>
  <si>
    <t>Acroporidae</t>
  </si>
  <si>
    <t>In text</t>
  </si>
  <si>
    <t>Europe</t>
  </si>
  <si>
    <t>Crepidula</t>
  </si>
  <si>
    <t>fornicata</t>
  </si>
  <si>
    <t>Calyptraeidae</t>
  </si>
  <si>
    <t>G</t>
  </si>
  <si>
    <t>Fig.3</t>
  </si>
  <si>
    <t>biomass</t>
  </si>
  <si>
    <t>Hydrocharitaceae</t>
  </si>
  <si>
    <t>Halichondriidae</t>
  </si>
  <si>
    <t>O</t>
  </si>
  <si>
    <t>Porifera</t>
  </si>
  <si>
    <t>Halichondria</t>
  </si>
  <si>
    <t>melanadocia</t>
  </si>
  <si>
    <t>Fig.3Ai</t>
  </si>
  <si>
    <t>Y</t>
  </si>
  <si>
    <t>Magallana</t>
  </si>
  <si>
    <t>gigas</t>
  </si>
  <si>
    <t>Ostreidae</t>
  </si>
  <si>
    <t>Zosteraceae</t>
  </si>
  <si>
    <t>Zostera</t>
  </si>
  <si>
    <t>marina</t>
  </si>
  <si>
    <t>Fig.4a</t>
  </si>
  <si>
    <t>oyster site</t>
  </si>
  <si>
    <t>mean</t>
  </si>
  <si>
    <t>se</t>
  </si>
  <si>
    <t>reff site</t>
  </si>
  <si>
    <t>total_NPP</t>
  </si>
  <si>
    <t>total_se</t>
  </si>
  <si>
    <t>measured growth and measured fishes but didn't directly manipulate fish…? Might not qualify. Yeah they didn't correlate fish biomass with seaweed growth???? So the effect of site is hard to dientangle</t>
  </si>
  <si>
    <t>didn't measure growth or chla or any proxy for primary productivity. Still showed that mussels contribute to pp though so would be a good ref</t>
  </si>
  <si>
    <t>Arctic</t>
  </si>
  <si>
    <t>Table5</t>
  </si>
  <si>
    <t>MEAN</t>
  </si>
  <si>
    <t>SE</t>
  </si>
  <si>
    <t>avg</t>
  </si>
  <si>
    <t>sediment chl a</t>
  </si>
  <si>
    <t>bottom water chl a</t>
  </si>
  <si>
    <t>birds</t>
  </si>
  <si>
    <t>no birds</t>
  </si>
  <si>
    <t>didn't measure growth, just uptake???</t>
  </si>
  <si>
    <t>harbour</t>
  </si>
  <si>
    <t>Nassariidae</t>
  </si>
  <si>
    <t>Ilyanassa</t>
  </si>
  <si>
    <t>obsoleta</t>
  </si>
  <si>
    <t>Ulvaceae</t>
  </si>
  <si>
    <t>Ulva</t>
  </si>
  <si>
    <t>spp</t>
  </si>
  <si>
    <t>shallow water</t>
  </si>
  <si>
    <t>2001-2002</t>
  </si>
  <si>
    <t>in text</t>
  </si>
  <si>
    <t>cave</t>
  </si>
  <si>
    <t>radians</t>
  </si>
  <si>
    <t>Siderastrea</t>
  </si>
  <si>
    <t>Siderastreidae</t>
  </si>
  <si>
    <t>2000-2005</t>
  </si>
  <si>
    <t>Pocillopora</t>
  </si>
  <si>
    <t>eydouxi</t>
  </si>
  <si>
    <t>Pocilloporidae</t>
  </si>
  <si>
    <t>coastal lagoon</t>
  </si>
  <si>
    <t>Catostylidae</t>
  </si>
  <si>
    <t>CA</t>
  </si>
  <si>
    <t>Catostylus</t>
  </si>
  <si>
    <t>mosaicus</t>
  </si>
  <si>
    <t>Fig.3b</t>
  </si>
  <si>
    <t>jellyfish</t>
  </si>
  <si>
    <t>se+mean</t>
  </si>
  <si>
    <t>post-pre</t>
  </si>
  <si>
    <t>se_sum</t>
  </si>
  <si>
    <t>2005-2006</t>
  </si>
  <si>
    <t>rocky intertidal</t>
  </si>
  <si>
    <t>Porphyra</t>
  </si>
  <si>
    <t>perforata</t>
  </si>
  <si>
    <t>Bangiaceae</t>
  </si>
  <si>
    <t>californianus</t>
  </si>
  <si>
    <t>Fig.2</t>
  </si>
  <si>
    <t>mussels</t>
  </si>
  <si>
    <t>siliculosus</t>
  </si>
  <si>
    <t>Ectocarpus</t>
  </si>
  <si>
    <t>Ectocarpaceae</t>
  </si>
  <si>
    <t>Fig.6</t>
  </si>
  <si>
    <t>leaf number</t>
  </si>
  <si>
    <t>fjord</t>
  </si>
  <si>
    <t>eutrophic</t>
  </si>
  <si>
    <t>Table 2</t>
  </si>
  <si>
    <t>Table2</t>
  </si>
  <si>
    <t>Veneridae</t>
  </si>
  <si>
    <t>Mercenaria</t>
  </si>
  <si>
    <t>mercenaria</t>
  </si>
  <si>
    <t>Crassostrea</t>
  </si>
  <si>
    <t>virginica</t>
  </si>
  <si>
    <t>leaf area productivity</t>
  </si>
  <si>
    <t>too unnatural, artificial seawater, aquarium animal from hawaii transported to midwest america</t>
  </si>
  <si>
    <t>artificial seawater in the lab</t>
  </si>
  <si>
    <t>North</t>
  </si>
  <si>
    <t>Amphiprion</t>
  </si>
  <si>
    <t>bicinctus</t>
  </si>
  <si>
    <t>Pomacentridae</t>
  </si>
  <si>
    <t>Entacmaea</t>
  </si>
  <si>
    <t>quadricolor</t>
  </si>
  <si>
    <t>Actiniidae</t>
  </si>
  <si>
    <t>Fig.1</t>
  </si>
  <si>
    <t>fish</t>
  </si>
  <si>
    <t>Fig.7a</t>
  </si>
  <si>
    <t>channel</t>
  </si>
  <si>
    <t>Macrocystis</t>
  </si>
  <si>
    <t>pyrifera</t>
  </si>
  <si>
    <t>Laminariaceae</t>
  </si>
  <si>
    <t>Obelia</t>
  </si>
  <si>
    <t>geniculata</t>
  </si>
  <si>
    <t>Campanulariidae</t>
  </si>
  <si>
    <t>intertidal</t>
  </si>
  <si>
    <t>Odonthalia</t>
  </si>
  <si>
    <t>floccosa</t>
  </si>
  <si>
    <t>Rhodomelaceae</t>
  </si>
  <si>
    <t>Modiolus</t>
  </si>
  <si>
    <t>americanus</t>
  </si>
  <si>
    <t xml:space="preserve">	Mytilidae</t>
  </si>
  <si>
    <t>oligotrophic</t>
  </si>
  <si>
    <t>Fig.3a</t>
  </si>
  <si>
    <t>leaf width</t>
  </si>
  <si>
    <t>leaf length</t>
  </si>
  <si>
    <t>Amphora</t>
  </si>
  <si>
    <t>Entomoneis</t>
  </si>
  <si>
    <t>alata</t>
  </si>
  <si>
    <t>Haslea</t>
  </si>
  <si>
    <t>ostrearia</t>
  </si>
  <si>
    <t>Nitzschia</t>
  </si>
  <si>
    <t>closterium</t>
  </si>
  <si>
    <t>gandersheimiensis</t>
  </si>
  <si>
    <t>Chaetoceros</t>
  </si>
  <si>
    <t>sp</t>
  </si>
  <si>
    <t>acicularis</t>
  </si>
  <si>
    <t>Skeletonema</t>
  </si>
  <si>
    <t>costatum</t>
  </si>
  <si>
    <t>Tetraselmis</t>
  </si>
  <si>
    <t>suecica</t>
  </si>
  <si>
    <t>Catenulaceae</t>
  </si>
  <si>
    <t>Naviculaceae</t>
  </si>
  <si>
    <t>Entomoneidaceae</t>
  </si>
  <si>
    <t>Bacillariaceae</t>
  </si>
  <si>
    <t>Skeletonemataceae</t>
  </si>
  <si>
    <t>Chaetocerotaceae</t>
  </si>
  <si>
    <t xml:space="preserve">	Chlorodendraceae</t>
  </si>
  <si>
    <t>SE = (upper limit – lower limit) / 3.92. for 95% CI</t>
  </si>
  <si>
    <t>trying to get SE from 95% confidence interval</t>
  </si>
  <si>
    <t>upper</t>
  </si>
  <si>
    <t>upper - mean</t>
  </si>
  <si>
    <t>upper - lower (upper - mean)*2</t>
  </si>
  <si>
    <t>pseudo</t>
  </si>
  <si>
    <t>poo</t>
  </si>
  <si>
    <t>control</t>
  </si>
  <si>
    <t>biomass (10^3 cells/mL). Injected pseudo poop or poop into tubes with varying plankton</t>
  </si>
  <si>
    <t>fall</t>
  </si>
  <si>
    <t>subtidal</t>
  </si>
  <si>
    <t>high</t>
  </si>
  <si>
    <t>Membraniporidae</t>
  </si>
  <si>
    <t>Bryozoa</t>
  </si>
  <si>
    <t>Membranipora</t>
  </si>
  <si>
    <t>membranacea</t>
  </si>
  <si>
    <t>Holothuriidae</t>
  </si>
  <si>
    <t>E</t>
  </si>
  <si>
    <t>Echinodermata</t>
  </si>
  <si>
    <t>Holothuria</t>
  </si>
  <si>
    <t>atra</t>
  </si>
  <si>
    <t>excretion</t>
  </si>
  <si>
    <t>Cr</t>
  </si>
  <si>
    <t>Arthropoda</t>
  </si>
  <si>
    <t>Periclimenes</t>
  </si>
  <si>
    <t>yucatanicus</t>
  </si>
  <si>
    <t>Africa</t>
  </si>
  <si>
    <t>Dascyllus</t>
  </si>
  <si>
    <t>aruanus</t>
  </si>
  <si>
    <t>damicornis</t>
  </si>
  <si>
    <t>Fig.1b</t>
  </si>
  <si>
    <t>Sampled corals with and without fish after a heatwave. Measured endosymbiont density, total chl a, and tissue protein</t>
  </si>
  <si>
    <t>mudflat</t>
  </si>
  <si>
    <t>1991-1992</t>
  </si>
  <si>
    <t>Haliclona</t>
  </si>
  <si>
    <t>implexiformis</t>
  </si>
  <si>
    <t>Chalinidae</t>
  </si>
  <si>
    <t>Rhizophoraceae</t>
  </si>
  <si>
    <t>Rhizophora</t>
  </si>
  <si>
    <t>mangle</t>
  </si>
  <si>
    <t>ignis</t>
  </si>
  <si>
    <t>Tedaniidae</t>
  </si>
  <si>
    <t>haliclona</t>
  </si>
  <si>
    <t>foam</t>
  </si>
  <si>
    <t>tedania</t>
  </si>
  <si>
    <t>cay</t>
  </si>
  <si>
    <t>nutrient-poor</t>
  </si>
  <si>
    <t>Tedania</t>
  </si>
  <si>
    <t>Haemulon</t>
  </si>
  <si>
    <t>spp.</t>
  </si>
  <si>
    <t>furcata</t>
  </si>
  <si>
    <t>growth (percent increase of initial biomass) of algae in fake tidepools w/wo mussels</t>
  </si>
  <si>
    <t>tidepool</t>
  </si>
  <si>
    <t>Prionitis</t>
  </si>
  <si>
    <t>lanceolata</t>
  </si>
  <si>
    <t>Halymeniaceae</t>
  </si>
  <si>
    <t>no mussels</t>
  </si>
  <si>
    <r>
      <t xml:space="preserve">(En) </t>
    </r>
    <r>
      <rPr>
        <sz val="11"/>
        <color rgb="FF000000"/>
        <rFont val="Calibri"/>
        <family val="2"/>
        <scheme val="minor"/>
      </rPr>
      <t>Endosymbiont</t>
    </r>
  </si>
  <si>
    <t xml:space="preserve">	Symbiodiniaceae</t>
  </si>
  <si>
    <t>En</t>
  </si>
  <si>
    <t>Symbiodinium</t>
  </si>
  <si>
    <t>endosymbiont density during a heatwave with and without fish. Measured endosymbiont density, total chl a, and tissue protein</t>
  </si>
  <si>
    <t>Fig.1c</t>
  </si>
  <si>
    <t>Fig.1d</t>
  </si>
  <si>
    <t>tissue protein</t>
  </si>
  <si>
    <t>no fish</t>
  </si>
  <si>
    <t>Chase 2018</t>
  </si>
  <si>
    <t>Pfister</t>
  </si>
  <si>
    <t>Cognie</t>
  </si>
  <si>
    <t>Ellison</t>
  </si>
  <si>
    <t>West</t>
  </si>
  <si>
    <t>chl a</t>
  </si>
  <si>
    <t>Fig. 3ac</t>
  </si>
  <si>
    <t>Fig. 3df</t>
  </si>
  <si>
    <t>Fig. 3gi</t>
  </si>
  <si>
    <t>Fig. 3jl</t>
  </si>
  <si>
    <t>tissue biomass</t>
  </si>
  <si>
    <t>Myzozoa</t>
  </si>
  <si>
    <t>Fig.3c</t>
  </si>
  <si>
    <t>Peterson 2001</t>
  </si>
  <si>
    <t>sampled symbiont density before and after heatwave, with fish or no fish. They had a ambient control but that's in the other sheet</t>
  </si>
  <si>
    <t>sampled chl a before and after heatwave, with fish or no fish. They had a ambient control but that's in the other sheet</t>
  </si>
  <si>
    <t>sampled coral tissue protein before and after heatwave, with fish or no fish. They had a ambient control but that's in the other sheet</t>
  </si>
  <si>
    <t>sampled coral tissue biomass before and after heatwave, with fish or no fish. They had a ambient control but that's in the other sheet</t>
  </si>
  <si>
    <t>heatwave</t>
  </si>
  <si>
    <t>ambient</t>
  </si>
  <si>
    <t>?</t>
  </si>
  <si>
    <t>Porat 2005</t>
  </si>
  <si>
    <t>zooxanthellae per gram of tentacular tissue in Condylactis gigantea, didn’t report SE</t>
  </si>
  <si>
    <t>marsh</t>
  </si>
  <si>
    <t>Geukensia</t>
  </si>
  <si>
    <t>demissa</t>
  </si>
  <si>
    <t>Poaceae</t>
  </si>
  <si>
    <t>alterniflora</t>
  </si>
  <si>
    <t>Spartina</t>
  </si>
  <si>
    <t>2013-2014</t>
  </si>
  <si>
    <t>disturbance</t>
  </si>
  <si>
    <t>bleaching</t>
  </si>
  <si>
    <t>clipping</t>
  </si>
  <si>
    <t>survival</t>
  </si>
  <si>
    <t>regrowth</t>
  </si>
  <si>
    <t>2014-2015</t>
  </si>
  <si>
    <t>cordgrass survival (% vegetated plots), no SE bc just overal avg</t>
  </si>
  <si>
    <t>regrowth (# shoots)</t>
  </si>
  <si>
    <t>SO many PP metrics?</t>
  </si>
  <si>
    <t>treatment_n</t>
  </si>
  <si>
    <t>percent</t>
  </si>
  <si>
    <t>category</t>
  </si>
  <si>
    <t>SD</t>
  </si>
  <si>
    <t>damicornus</t>
  </si>
  <si>
    <t>no fish sites</t>
  </si>
  <si>
    <t>site</t>
  </si>
  <si>
    <t>A</t>
  </si>
  <si>
    <t>D</t>
  </si>
  <si>
    <t>fish sites</t>
  </si>
  <si>
    <t>n</t>
  </si>
  <si>
    <t>effluent</t>
  </si>
  <si>
    <t>Rules for time series</t>
  </si>
  <si>
    <t>If they have a growth metric over time, calculate change in as post - pre</t>
  </si>
  <si>
    <t>if it's a productivity metric, record it for each time period they report (one line per time)</t>
  </si>
  <si>
    <t>mean+se</t>
  </si>
  <si>
    <t>treatment</t>
  </si>
  <si>
    <t>estuary</t>
  </si>
  <si>
    <t>Austrohelice</t>
  </si>
  <si>
    <t>crassa</t>
  </si>
  <si>
    <t>Varunidae</t>
  </si>
  <si>
    <t>the crab was doing too many things to tease out the effect of its ammonium contribution</t>
  </si>
  <si>
    <t>area</t>
  </si>
  <si>
    <t>B3</t>
  </si>
  <si>
    <t>B4a</t>
  </si>
  <si>
    <t>B4b</t>
  </si>
  <si>
    <t>B7</t>
  </si>
  <si>
    <t>C2</t>
  </si>
  <si>
    <t>C5</t>
  </si>
  <si>
    <t>C8</t>
  </si>
  <si>
    <t>water chl a</t>
  </si>
  <si>
    <t xml:space="preserve">water chl a </t>
  </si>
  <si>
    <t xml:space="preserve">sediment chl a </t>
  </si>
  <si>
    <t>https://stats.stackexchange.com/questions/21104/calculate-average-of-a-set-numbers-with-reported-standard-errors</t>
  </si>
  <si>
    <t>se averaged</t>
  </si>
  <si>
    <t>mean averaged</t>
  </si>
  <si>
    <t>Na/N*se^2</t>
  </si>
  <si>
    <t>se avg</t>
  </si>
  <si>
    <t>se treatment</t>
  </si>
  <si>
    <t>N</t>
  </si>
  <si>
    <t>na</t>
  </si>
  <si>
    <t>Na</t>
  </si>
  <si>
    <t>binned n</t>
  </si>
  <si>
    <t>binned N</t>
  </si>
  <si>
    <t>binned na</t>
  </si>
  <si>
    <t>binned Na</t>
  </si>
  <si>
    <t>https://www.yumpu.com/en/document/read/37147068/combining-multiple-averaged-data-points-and-their-errors</t>
  </si>
  <si>
    <t>se control</t>
  </si>
  <si>
    <t>measured bottom water chl a at 7 islands, 4 with birds 3 without. I averaged the islands with birds and the islands without</t>
  </si>
  <si>
    <t>measured sediment water chl a at 7 islands, 4 with birds 3 without. I averaged the islands with birds and the islands without</t>
  </si>
  <si>
    <t>South America</t>
  </si>
  <si>
    <t>Patella</t>
  </si>
  <si>
    <t>longicosta</t>
  </si>
  <si>
    <t>grazing and nutrients not seperated</t>
  </si>
  <si>
    <t>deep sea</t>
  </si>
  <si>
    <t>Mysidae</t>
  </si>
  <si>
    <t>Mysis</t>
  </si>
  <si>
    <t>grazing and nutrients not seperated, also added fake nutrients</t>
  </si>
  <si>
    <t>Palaemonidae</t>
  </si>
  <si>
    <t>chilensis</t>
  </si>
  <si>
    <t>Dicentrarchus</t>
  </si>
  <si>
    <t>labrax</t>
  </si>
  <si>
    <t>Moronidae</t>
  </si>
  <si>
    <t>Salmonidae</t>
  </si>
  <si>
    <t>Salmo</t>
  </si>
  <si>
    <t>salar</t>
  </si>
  <si>
    <t>Ostreopsidaceae</t>
  </si>
  <si>
    <t>Alexandrium</t>
  </si>
  <si>
    <t>minutum</t>
  </si>
  <si>
    <t>catenella</t>
  </si>
  <si>
    <t>mikimotoi</t>
  </si>
  <si>
    <t>akashiwo</t>
  </si>
  <si>
    <t>gracilis</t>
  </si>
  <si>
    <t>Heterosigma</t>
  </si>
  <si>
    <t>Chattonellaceae</t>
  </si>
  <si>
    <t>Brachidiniaceae</t>
  </si>
  <si>
    <t>Karenia</t>
  </si>
  <si>
    <t>Table3</t>
  </si>
  <si>
    <t>Arzul</t>
  </si>
  <si>
    <t>oysters</t>
  </si>
  <si>
    <t>A. minutum</t>
  </si>
  <si>
    <t>A. catenella</t>
  </si>
  <si>
    <t>G. mikimotoi</t>
  </si>
  <si>
    <t>H. akashiwo</t>
  </si>
  <si>
    <t>C. gracilis</t>
  </si>
  <si>
    <t>bass</t>
  </si>
  <si>
    <t>salmon</t>
  </si>
  <si>
    <t>90% CI</t>
  </si>
  <si>
    <t>treatment_mean</t>
  </si>
  <si>
    <t>control_mean</t>
  </si>
  <si>
    <t>treatment SE</t>
  </si>
  <si>
    <t>control SE</t>
  </si>
  <si>
    <t>cultured algae in sea water enriched with effluent from different animals. Diff plankton species used too. Oysters and bass were done in France, but mussels and salmon were done in chile</t>
  </si>
  <si>
    <t>Anadyomenaceae</t>
  </si>
  <si>
    <t>Microdictyon</t>
  </si>
  <si>
    <t>marinum</t>
  </si>
  <si>
    <t>shallow reef</t>
  </si>
  <si>
    <t>Aplysina</t>
  </si>
  <si>
    <t>cauliformis</t>
  </si>
  <si>
    <t>Aplysinidae</t>
  </si>
  <si>
    <t>percent cover</t>
  </si>
  <si>
    <t xml:space="preserve">site = MC. caves have sponges, nitrate signal comes from cave. Measured percent cover of algae near and far from caves </t>
  </si>
  <si>
    <t xml:space="preserve">site = AFBH. caves have sponges, nitrate signal comes from cave. Measured percent cover of coral near and far from caves </t>
  </si>
  <si>
    <t xml:space="preserve">site = AFBH. caves have sponges, nitrate signal comes from cave. Measured percent cover of algae near and far from caves </t>
  </si>
  <si>
    <t xml:space="preserve">site = RC. caves have sponges, nitrate signal comes from cave. Measured percent cover of coral near and far from caves </t>
  </si>
  <si>
    <t xml:space="preserve">site = RC. caves have sponges, nitrate signal comes from cave. Measured percent cover of algae near and far from caves </t>
  </si>
  <si>
    <t xml:space="preserve">site = SCC. caves have sponges, nitrate signal comes from cave. Measured percent cover of coral near and far from caves </t>
  </si>
  <si>
    <t xml:space="preserve">site = SCC. caves have sponges, nitrate signal comes from cave. Measured percent cover of algae near and far from caves </t>
  </si>
  <si>
    <t>Slattery et al 2013</t>
  </si>
  <si>
    <t>disturbed sponges</t>
  </si>
  <si>
    <t>May 2003. caves have sponges, nitrate signal comes from cave. MC cave lost sponges after sediment. Transplant experiment from communal garden location to MC cave (control)  and AFBH cace (treatment). Data shows zooxanthaellae abundance (no x10^6 per mg tissue) over 2 years</t>
  </si>
  <si>
    <t>May 2003. caves have sponges, nitrate signal comes from cave. MC cave lost sponges after sediment. Transplant experiment from communal garden location to MC cave (control)  and AFBH cace (treatment). Data shows protein  (ug per mg tissue) over 2 years</t>
  </si>
  <si>
    <t>May 2004. caves have sponges, nitrate signal comes from cave. MC cave lost sponges after sediment. Transplant experiment from communal garden location to MC cave (control)  and AFBH cace (treatment). Data shows protein  (ug per mg tissue) over 2 years</t>
  </si>
  <si>
    <t>2003-2005</t>
  </si>
  <si>
    <t>chl_c</t>
  </si>
  <si>
    <t>fucoxanthin</t>
  </si>
  <si>
    <t>more of a trophic cascade effect than fertilization. Grazing confounded</t>
  </si>
  <si>
    <t>25°02'05.6"N</t>
  </si>
  <si>
    <t>80°20'54.4"W</t>
  </si>
  <si>
    <t>didn't relate fish nutrients to pp</t>
  </si>
  <si>
    <t>Echinometridae</t>
  </si>
  <si>
    <t>Heliocidaris</t>
  </si>
  <si>
    <t>crassispina</t>
  </si>
  <si>
    <t>Wai and Williams 2005</t>
  </si>
  <si>
    <t>urchin pee</t>
  </si>
  <si>
    <t>no pee</t>
  </si>
  <si>
    <t xml:space="preserve">plates with crustose corraline algae, multi-factoral with grazing and excretion. I'm just looking at the -grazing treatments. </t>
  </si>
  <si>
    <t>36°18'24.0"S</t>
  </si>
  <si>
    <t>174°48'54.0"E</t>
  </si>
  <si>
    <t>Omaha Bay</t>
  </si>
  <si>
    <t>17°45'29.1"N</t>
  </si>
  <si>
    <t>64°36'20.0"W</t>
  </si>
  <si>
    <t>Teague Bay</t>
  </si>
  <si>
    <t>Corona del Mar State Beach</t>
  </si>
  <si>
    <t>33°35'16.3"N</t>
  </si>
  <si>
    <t>117°52'01.5"W</t>
  </si>
  <si>
    <t>5°50'00.0"S</t>
  </si>
  <si>
    <t>72°00'00.0"E</t>
  </si>
  <si>
    <t>UK</t>
  </si>
  <si>
    <t>29°28'09.2"N</t>
  </si>
  <si>
    <t>34°55'54.5"E</t>
  </si>
  <si>
    <t>24°05'43.2"N</t>
  </si>
  <si>
    <t>75°48'30.1"W</t>
  </si>
  <si>
    <t>Bahamian archipelago</t>
  </si>
  <si>
    <t>42°13'29.1"N</t>
  </si>
  <si>
    <t>8°49'03.1"W</t>
  </si>
  <si>
    <t>45°41'29.0"S</t>
  </si>
  <si>
    <t>170°37'00.0"E</t>
  </si>
  <si>
    <t>Spain</t>
  </si>
  <si>
    <t>53°14'39.3"S</t>
  </si>
  <si>
    <t>37°40'23.9"W</t>
  </si>
  <si>
    <t>Antarctica</t>
  </si>
  <si>
    <t>38°18'55.9"N</t>
  </si>
  <si>
    <t>123°04'29.6"W</t>
  </si>
  <si>
    <t>45°47'00.7"S</t>
  </si>
  <si>
    <t>170°43'11.8"E</t>
  </si>
  <si>
    <t>44°15'18.9"N</t>
  </si>
  <si>
    <t>124°06'45.4"W</t>
  </si>
  <si>
    <t>Japan</t>
  </si>
  <si>
    <t>34°15'33.7"N</t>
  </si>
  <si>
    <t>133°24'05.5"E</t>
  </si>
  <si>
    <t>34°06'43.4"S</t>
  </si>
  <si>
    <t>18°28'31.4"E</t>
  </si>
  <si>
    <t>30°30'00.0"N</t>
  </si>
  <si>
    <t>88°00'00.0"W</t>
  </si>
  <si>
    <t>29°05'48.0"N</t>
  </si>
  <si>
    <t>34°46'23.5"E</t>
  </si>
  <si>
    <t>48°51'14.4"N</t>
  </si>
  <si>
    <t>125°07'00.0"W</t>
  </si>
  <si>
    <t>54°21'00.0"N</t>
  </si>
  <si>
    <t>10°09'00.0"E</t>
  </si>
  <si>
    <t>Germany</t>
  </si>
  <si>
    <t>63°08'03.6"S</t>
  </si>
  <si>
    <t>51°05'31.1"W</t>
  </si>
  <si>
    <t xml:space="preserve">58°52'00.0"N </t>
  </si>
  <si>
    <t>11°09'00.0"E</t>
  </si>
  <si>
    <t>Sweden</t>
  </si>
  <si>
    <t>33°28'00.0"N</t>
  </si>
  <si>
    <t>118°29'00.0"W</t>
  </si>
  <si>
    <t>41°35'16.8"N</t>
  </si>
  <si>
    <t>70°38'47.4"W</t>
  </si>
  <si>
    <t>no replication</t>
  </si>
  <si>
    <t>1979-1981</t>
  </si>
  <si>
    <t>Simpson, L T and Canty S W J and Cissell, J R and Steinberg, M K and Cherry, J A and Feller, I C</t>
  </si>
  <si>
    <t>Bird rookery nutrient over-enrichment as a potential accelerant of mangrove cay decline in Belize</t>
  </si>
  <si>
    <t>Allgeier, Jacob E and Andskog, Mona A and Hensel, Enie and Appaldo, Richard and Layman, Craig and Kemp, Dustin W</t>
  </si>
  <si>
    <t>Rewiring coral: Anthropogenic nutrients shift diverse coralsymbiont nutrient and carbon interactions toward symbiotic algal dominance</t>
  </si>
  <si>
    <t>16°53'02.4"N</t>
  </si>
  <si>
    <t>88°06'25.2"W</t>
  </si>
  <si>
    <t>Belize coast</t>
  </si>
  <si>
    <t>26°16'01.1"N</t>
  </si>
  <si>
    <t>76°56'28.5"W</t>
  </si>
  <si>
    <t>2015-2016</t>
  </si>
  <si>
    <t>palmata</t>
  </si>
  <si>
    <t>Poritidae</t>
  </si>
  <si>
    <t>Porites</t>
  </si>
  <si>
    <t>porites</t>
  </si>
  <si>
    <t>raw data</t>
  </si>
  <si>
    <t>medians not means</t>
  </si>
  <si>
    <t>Y. Stacy Zhang, Rachel K. Gittman, Sarah E. Donaher, Stacy N. Trackenberg, T. van der Heide, and Brian R. Silliman</t>
  </si>
  <si>
    <t>Inclusion of Intra- and Interspecific Facilitation Expands the Theoretical Framework for Seagrass Restoration</t>
  </si>
  <si>
    <t>Back Sound, North Carolina</t>
  </si>
  <si>
    <t>shoal</t>
  </si>
  <si>
    <t>Fig.4c</t>
  </si>
  <si>
    <t>Fig.4d</t>
  </si>
  <si>
    <t>26°27'13.7"N</t>
  </si>
  <si>
    <t>76°58'52.6"W</t>
  </si>
  <si>
    <t>indiv</t>
  </si>
  <si>
    <r>
      <t xml:space="preserve">(SP) </t>
    </r>
    <r>
      <rPr>
        <sz val="11"/>
        <color rgb="FF000000"/>
        <rFont val="Calibri"/>
        <family val="2"/>
        <scheme val="minor"/>
      </rPr>
      <t>Sponge</t>
    </r>
  </si>
  <si>
    <t>SP</t>
  </si>
  <si>
    <t>natural</t>
  </si>
  <si>
    <t>animals</t>
  </si>
  <si>
    <t>Supplement5</t>
  </si>
  <si>
    <t>Dictyotaceae</t>
  </si>
  <si>
    <t>Dictyota</t>
  </si>
  <si>
    <t xml:space="preserve">Filamentous turf algae. high vs low grunt density. </t>
  </si>
  <si>
    <t>Crustose coraline algae. high vs low grunt density</t>
  </si>
  <si>
    <t>Brown macroalgae ( mostly Dictyota). high vs low grunt density</t>
  </si>
  <si>
    <t>Red macroalgae, mostly articulated coralines (genera Amphiroa and Galaxaura). high vs low grunt density</t>
  </si>
  <si>
    <t>Green macroalgae, mostly Halimeda. high vs low grunt density</t>
  </si>
  <si>
    <t>Stony corals. high vs low grunt density</t>
  </si>
  <si>
    <t>Soft corals. high vs low grunt density</t>
  </si>
  <si>
    <t>protein</t>
  </si>
  <si>
    <t>means no fish</t>
  </si>
  <si>
    <t>means fish</t>
  </si>
  <si>
    <t>growth mean</t>
  </si>
  <si>
    <t>sd</t>
  </si>
  <si>
    <t>Endocladiaceae</t>
  </si>
  <si>
    <t>Endocladia</t>
  </si>
  <si>
    <t>muricata</t>
  </si>
  <si>
    <t>Mastocarpus</t>
  </si>
  <si>
    <t>papillatus</t>
  </si>
  <si>
    <t>Phyllophoraceae</t>
  </si>
  <si>
    <t>Pelvetiopsis</t>
  </si>
  <si>
    <t>limitata</t>
  </si>
  <si>
    <t>Fucaceae</t>
  </si>
  <si>
    <t>biodeposits</t>
  </si>
  <si>
    <t>8 clams. Seagrass productivity was calculated for each experiment as leaf area productivity (cm2 shoot–1 d–1) based on the growth of new leaf material from the shoots in each mesocosm</t>
  </si>
  <si>
    <t>4 oysters. Seagrass productivity was calculated for each experiment as leaf area productivity (cm2 shoot–1 d–1) based on the growth of new leaf material from the shoots in each mesocosm</t>
  </si>
  <si>
    <t>1 oyster. Seagrass productivity was calculated for each experiment as leaf area productivity (cm2 shoot–1 d–1) based on the growth of new leaf material from the shoots in each mesocosm</t>
  </si>
  <si>
    <t>64 mussels. Seagrass productivity was calculated for each experiment as leaf area productivity (cm2 shoot–1 d–1) based on the growth of new leaf material from the shoots in each mesocosm</t>
  </si>
  <si>
    <t>pseudofeces</t>
  </si>
  <si>
    <t>faeces</t>
  </si>
  <si>
    <t>can't get means from spectral imaging</t>
  </si>
  <si>
    <r>
      <t xml:space="preserve">(SI) </t>
    </r>
    <r>
      <rPr>
        <sz val="11"/>
        <color rgb="FF000000"/>
        <rFont val="Calibri"/>
        <family val="2"/>
        <scheme val="minor"/>
      </rPr>
      <t>Sessile inverts</t>
    </r>
  </si>
  <si>
    <r>
      <t xml:space="preserve">(MI) </t>
    </r>
    <r>
      <rPr>
        <sz val="11"/>
        <color rgb="FF000000"/>
        <rFont val="Calibri"/>
        <family val="2"/>
        <scheme val="minor"/>
      </rPr>
      <t xml:space="preserve">Misc mobile inverts </t>
    </r>
  </si>
  <si>
    <t>SI</t>
  </si>
  <si>
    <t>MI</t>
  </si>
  <si>
    <t>reason</t>
  </si>
  <si>
    <t>design</t>
  </si>
  <si>
    <t>marine</t>
  </si>
  <si>
    <t>pp</t>
  </si>
  <si>
    <t>zdup</t>
  </si>
  <si>
    <t>zcouldn't find</t>
  </si>
  <si>
    <t>aareason</t>
  </si>
  <si>
    <t>data</t>
  </si>
  <si>
    <t>disturbance was the moderator of the response, this paper is included in the disturbance tab</t>
  </si>
  <si>
    <t>nh4_treatment</t>
  </si>
  <si>
    <t>nh4_control</t>
  </si>
  <si>
    <t>nh4_se_treatment</t>
  </si>
  <si>
    <t>nh4_se_control</t>
  </si>
  <si>
    <t>Marmen</t>
  </si>
  <si>
    <t>Savage</t>
  </si>
  <si>
    <t>birds nh4</t>
  </si>
  <si>
    <t>no birds nh4</t>
  </si>
  <si>
    <t>no3_treatment</t>
  </si>
  <si>
    <t>no3_se_treatment</t>
  </si>
  <si>
    <t>no3_control</t>
  </si>
  <si>
    <t>no3_se_control</t>
  </si>
  <si>
    <t>birds no3</t>
  </si>
  <si>
    <t>no birds no3</t>
  </si>
  <si>
    <t>nitrate and nitrite</t>
  </si>
  <si>
    <t>pore_nh4_treatment</t>
  </si>
  <si>
    <t>pore_nh4_se_treatment</t>
  </si>
  <si>
    <t>pore_nh4_control</t>
  </si>
  <si>
    <t>pore_nh4_se_control</t>
  </si>
  <si>
    <t>Fig.S3</t>
  </si>
  <si>
    <t>nutrient_estimate</t>
  </si>
  <si>
    <t>measured</t>
  </si>
  <si>
    <t>calculated</t>
  </si>
  <si>
    <t>Day 2. They measured GPP each day, each line is a day. also looked at another jelly that doesn't excrete waste bc it has internal phytoplankton. Jellies had similar top down but only this one did bottom up. Nh4 and NOx was measured morning and evening, I just took morning</t>
  </si>
  <si>
    <t>background_nut = total nitrogen available in control treatments</t>
  </si>
  <si>
    <t>temp</t>
  </si>
  <si>
    <t>nutrient-replete</t>
  </si>
  <si>
    <t>nut_treatment_n</t>
  </si>
  <si>
    <t>nut_control_n</t>
  </si>
  <si>
    <t>added mussel poop to buckets. Measured eelgrass metrics. Porewater measured. Negative effect of poop maybe bc poop messed with the sulfur in the sediment. Estimated background nutrients from the other Vinther paper</t>
  </si>
  <si>
    <t>epiphyte growth in the presence or absence of mussel excretion. Used no flow control as flow control only ran 4 weeks and n was higher after 4 weeks. Estimated background nutrients from the other Vinther paper</t>
  </si>
  <si>
    <t>leaf number after 4 weeks in the presence of absence of mussel excretion. Used no flow control as flow control only ran 4 weeks and n was higher after 4 weeks. Estimated background nutrients from the other Vinther paper</t>
  </si>
  <si>
    <t>relative growth after 4 weeks in the presence of absence of mussel excretion. Used no flow control as flow control only ran 4 weeks and n was higher after 4 weeks. Estimated background nutrients from the other Vinther paper</t>
  </si>
  <si>
    <t>fig.4 coral buoyant weight increase fish vs no fish. Also calculated growth rate vs fish biomass, found openness of the corals affected fish vs growth relationship bc of ammonium retention. Only presented ammonium increase (fish - no fish) measured in the field. Estimated background nitrate from https://www.jstor.org/stable/24862064?seq=1            temperature estimated from https://www.int-res.com/articles/meps/121/m121p181.pdf</t>
  </si>
  <si>
    <t>used bivalves to filter phytoplankton, not as a source of nutrients. Found that bivalves decreased chl a concentration and increased light availability</t>
  </si>
  <si>
    <t>1998-1999</t>
  </si>
  <si>
    <t>deplete</t>
  </si>
  <si>
    <t>Experiment 1. 3 hours. Two sea cucumber species (Stichopus chloronotus and Holothuria atra) effluent. Background_nut is nitrate + nitrite in exp 3</t>
  </si>
  <si>
    <t>Experiment 1. 4.5 hours. Two sea cucumber species (Stichopus chloronotus and Holothuria atra) effluent. Background_nut is nitrate + nitrite in exp 3</t>
  </si>
  <si>
    <t>Experiment 2. 6 hours. Two sea cucumber species (Stichopus chloronotus and Holothuria atra) effluent. Background_nut is nitrate + nitrite in exp 3</t>
  </si>
  <si>
    <t>Experiment 2. 12 hours. Two sea cucumber species (Stichopus chloronotus and Holothuria atra) effluent. Background_nut is nitrate + nitrite in exp 3</t>
  </si>
  <si>
    <t>Experiment 2. 18 hours. Two sea cucumber species (Stichopus chloronotus and Holothuria atra) effluent. Background_nut is nitrate + nitrite in exp 3</t>
  </si>
  <si>
    <t>Experiment 2. 24 hours. Two sea cucumber species (Stichopus chloronotus and Holothuria atra) effluent. Background_nut is nitrate + nitrite in exp 3</t>
  </si>
  <si>
    <t>Experiment 3. 0-24 hours. Two sea cucumber species (Stichopus chloronotus and Holothuria atra) effluent. Nitrite 0.32 in treatment, 0.37 in control. Background_nut is nitrate + nitrite in exp 3</t>
  </si>
  <si>
    <t>Experiment 3. 24-48 hours. Two sea cucumber species (Stichopus chloronotus and Holothuria atra) effluent. Nitrite 0.32 in treatment, 0.37 in control. Background_nut is nitrate + nitrite in exp 3</t>
  </si>
  <si>
    <t>Experiment 3. 48-73 hours. Two sea cucumber species (Stichopus chloronotus and Holothuria atra) effluent. Nitrite 0.32 in treatment, 0.37 in control. Background_nut is nitrate + nitrite in exp 3</t>
  </si>
  <si>
    <t>Experiment 3. 72-96 hours. Two sea cucumber species (Stichopus chloronotus and Holothuria atra) effluent. Nitrite 0.32 in treatment, 0.37 in control. Background_nut is nitrate + nitrite in exp 3</t>
  </si>
  <si>
    <t>Experiment 3. 96-120 hours. Two sea cucumber species (Stichopus chloronotus and Holothuria atra) effluent. Nitrite 0.32 in treatment, 0.37 in control. Background_nut is nitrate + nitrite in exp 3</t>
  </si>
  <si>
    <t>Nutrient poor site (Dixon). Looked at kelp pigments with 0, 50, and 100 bryozoan cover. Here I compare 0 to 100. Pigments higher at Kii xin vs Dixon</t>
  </si>
  <si>
    <t>Nutrient rich site (Kii xin). Looked at kelp pigments with 0, 50, and 100 bryozoan cover. Here I compare 0 to 100. Pigments higher at Kii xin vs Dixon</t>
  </si>
  <si>
    <t>Didn’t measure productivity or growth, looked at pigment concentration under bryozoan colonies on kelps from a high vs low site</t>
  </si>
  <si>
    <t>June 2004. growth rate of eelgrass by itself or with mussels. Nutrient concentrations are measured fluxes mmol/m2/day</t>
  </si>
  <si>
    <t>June 2004. number of leaves per shoot (#leaves/shoot) for eelgrass by itself or with mussels. Nutrient concentrations are measured fluxes mmol/m2/day</t>
  </si>
  <si>
    <t>June 2004. above ground biomass (g DW/m2) of eelgrass by itself or with mussels. Nutrient concentrations are measured fluxes mmol/m2/day</t>
  </si>
  <si>
    <t>June 2004. Epiphyte biomass  (mg DW/cm2). Nutrient concentrations are measured fluxes mmol/m2/day</t>
  </si>
  <si>
    <t>Aug 2004. growth rate of eelgrass by itself or with mussels. Nutrient concentrations are measured fluxes mmol/m2/day</t>
  </si>
  <si>
    <t>Aug 2004 shoot density (shoots/m2) of eelgrass by itself or with mussels. Nutrient concentrations are measured fluxes mmol/m2/day</t>
  </si>
  <si>
    <t xml:space="preserve">Aug 2004 growth rate of eelgrass by itself or with mussels. Nutrient concentrations are measured fluxes mmol/m2/day. </t>
  </si>
  <si>
    <t>Aug 2004. number of leaves per shoot (#leaves/shoot) for eelgrass by itself or with mussels. Nutrient concentrations are measured fluxes mmol/m2/day</t>
  </si>
  <si>
    <t>Aug 2004. above ground biomass (g DW/m2) of eelgrass by itself or with mussels. Nutrient concentrations are measured fluxes mmol/m2/day</t>
  </si>
  <si>
    <t>August 2004. Epiphyte biomass  (mg DW/cm2). Nutrient concentrations are measured fluxes mmol/m2/day</t>
  </si>
  <si>
    <t>March 2005  growth rate of eelgrass by itself or with mussels. Nutrient concentrations are measured fluxes mmol/m2/day</t>
  </si>
  <si>
    <t>March 2005 shoot density (shoots/m2) of eelgrass by itself or with mussels. Nutrient concentrations are measured fluxes mmol/m2/day</t>
  </si>
  <si>
    <t>March 2005 number of leaves per shoot (#leaves/shoot) for eelgrass by itself or with mussels. Nutrient concentrations are measured fluxes mmol/m2/day</t>
  </si>
  <si>
    <t>March 2005 above ground biomass (g DW/m2) of eelgrass by itself or with mussels. Nutrient concentrations are measured fluxes mmol/m2/day</t>
  </si>
  <si>
    <t>March 2005. Epiphyte biomass (mg DW/cm2). Nutrient concentrations are measured fluxes mmol/m2/day</t>
  </si>
  <si>
    <t>July 2005. Epiphyte biomass (mg DW/cm2). Nutrient concentrations are measured fluxes mmol/m2/day</t>
  </si>
  <si>
    <t>no SE reported</t>
  </si>
  <si>
    <t>Tissue condition and growth rate of corals associated with schooling fish1</t>
  </si>
  <si>
    <t>17°45'33.6"N</t>
  </si>
  <si>
    <t>64°36'19.9"W</t>
  </si>
  <si>
    <t>growth = final area - initial area (cm^2). Background_nut = ammonium + nitrate + nitrite presented in Fig. 1 for August 2005</t>
  </si>
  <si>
    <t>shoot change (%) between mixed species seagrass plots with clams vs plots without. They also had dispersed plots but that feels like a disturbance and also the % change is negative for both clams and without clams so I couldn't get an effect size anyways. Temp from https://link.springer.com/content/pdf/10.1007/BF00341470.pdf</t>
  </si>
  <si>
    <t>total area change (%) between mixed species seagrass plots with clams vs plots without. They also had dispersed plots but that feels like a disturbance and also the % change is negative for both clams and without clams so I couldn't get an effect size anyways. Temp from https://link.springer.com/content/pdf/10.1007/BF00341470.pdf</t>
  </si>
  <si>
    <t>change in patch area (%) with or without clams planted with seagrass seeds. Also measured shoot length and aboveground biomass but didn't report it . Temp from https://link.springer.com/content/pdf/10.1007/BF00341470.pdf.      Nut from https://esajournals-onlinelibrary-wiley-com.proxy.lib.sfu.ca/doi/pdfdirect/10.1890/06-1605.1</t>
  </si>
  <si>
    <t>reciprocal transplant. Corals from high birds and corals from low birds transplanted to high/low. Our treatment is the high/high transplant and the control is the low/low transplant (aka most extreme combos). Ammonium and nitrate are water column concentations. background = nitrate + ammonium</t>
  </si>
  <si>
    <t>total_nitrogen_treatment</t>
  </si>
  <si>
    <t>total_nitrogen_treatment_se</t>
  </si>
  <si>
    <t>total_nitrogen_control</t>
  </si>
  <si>
    <t>total_nitrogen_control_se</t>
  </si>
  <si>
    <t>measured NPP over the day, have NPP estimates for each time period. I summed the total NPP over the day and got the adjusted se by sqrt(sum of squares). The oysters are "stocked" but the seagrass is unmanipulated. Water column ammonium, nitrate, and porewater ammonium</t>
  </si>
  <si>
    <t>Hole punch method for growth. The oysters are "stocked" but the seagrass is unmanipulated. Water column ammonium, nitrate, and porewater ammonium</t>
  </si>
  <si>
    <t>Meadow density. The oysters are "stocked" but the seagrass is unmanipulated. Water column ammonium, nitrate, and porewater ammonium</t>
  </si>
  <si>
    <t>lots of response variables, measured radiating away from artificial reef, I'm just looking at nearest vs farthest. Background from https://aslopubs.onlinelibrary.wiley.com/doi/epdf/10.4319/lo.2010.55.6.2660.      temp from https://link.springer.com/article/10.1007/s00338-020-01948-0</t>
  </si>
  <si>
    <t>aboveground biomass of cordgrass (g dry weight) with or without mussels. Also did a disturbance experiement, on the other sheet. . Porewater ammonium in mussel plots with grass vs no mussel plots with grass. Background is the ammonium in the just grass plot. Temp from (measured temp over season and over years at basically same spot!)https://aslopubs.onlinelibrary.wiley.com/doi/epdf/10.4319/lo.2001.46.3.0573</t>
  </si>
  <si>
    <t>caves have sponges, nitrate signal comes from cave. MC cave lost sponges after sediment. Transplant experiment from communal garden location to MC cave (control)  and AFBH cace (treatment). Data shows change (pre - post) coral circumference over 2 years. Background = avg from MC and AFBH</t>
  </si>
  <si>
    <t>1979-1982</t>
  </si>
  <si>
    <t>all year</t>
  </si>
  <si>
    <t xml:space="preserve">linear expansion (cm per 4 months). Growth over a year. Some coral with grunts, some without. </t>
  </si>
  <si>
    <t xml:space="preserve">surface area (cm2 per 4 months). Growth over a year. Some coral with grunts, some without. </t>
  </si>
  <si>
    <t xml:space="preserve">volume (cm3 per 4 months). Growth over a year. Some coral with grunts, some without. </t>
  </si>
  <si>
    <t xml:space="preserve">tissue dry weight (mg per 4 months). Growth over a year. Some coral with grunts, some without. </t>
  </si>
  <si>
    <t>coral growth in mg/cm^2/day. Nutrients were presented as the calculated N provided by each treatment (g/day)</t>
  </si>
  <si>
    <t>artificial reefs, not 100% sure about sample size??? 2-5 blades per stake, 9 stakes per site, 12 sites???? But 4 treatment levels? small, medium, large and xl. Calculated fish excretion (g/day) Background from https://aslopubs.onlinelibrary.wiley.com/doi/epdf/10.4319/lo.2010.55.6.2660.      temp from https://link.springer.com/article/10.1007/s00338-020-01948-0</t>
  </si>
  <si>
    <t>prov_units</t>
  </si>
  <si>
    <t>g/day</t>
  </si>
  <si>
    <t>mg/m^2/day</t>
  </si>
  <si>
    <t>umol/L/day</t>
  </si>
  <si>
    <t>umol/L</t>
  </si>
  <si>
    <t>mmol/m^2/day</t>
  </si>
  <si>
    <t>umol/hour</t>
  </si>
  <si>
    <t>umol/L/h</t>
  </si>
  <si>
    <t>mg/L/h</t>
  </si>
  <si>
    <t xml:space="preserve">skeletal density (g/cm3). Growth over a year. Some coral with grunts, some without. </t>
  </si>
  <si>
    <t>measure</t>
  </si>
  <si>
    <t>proxy</t>
  </si>
  <si>
    <t>temp_proxy</t>
  </si>
  <si>
    <t>bn_proxy</t>
  </si>
  <si>
    <t>temp_proxy_lat_long</t>
  </si>
  <si>
    <t>temp_proxy_date</t>
  </si>
  <si>
    <t>bn_proxy_lat_long</t>
  </si>
  <si>
    <t>bn_proxy_date</t>
  </si>
  <si>
    <t>48°23'21.6"N</t>
  </si>
  <si>
    <t>4°23'52.1"W</t>
  </si>
  <si>
    <t>48.354118, -4.487699</t>
  </si>
  <si>
    <t>bn_proxy_dist</t>
  </si>
  <si>
    <t>March, 1999</t>
  </si>
  <si>
    <t>extremely low</t>
  </si>
  <si>
    <t>Built reefs to attract fish. Treatment = measurements at and next to the reef with fish, control = two farthest measurements from the reef w/o fish. Total nutrient supply rates were calculated for each treatment (g/d). temp from https://link.springer.com/article/10.1007/s00338-020-01948-0</t>
  </si>
  <si>
    <t>background_nut_umolL</t>
  </si>
  <si>
    <t>Epiphytes per area on reefs with fish compared to reefs without fish. Total nutrient supply rates were calculated for each treatment (g/d). Background nutrients stated in text, converted to umol/L.  temp from https://link.springer.com/article/10.1007/s00338-020-01948-0</t>
  </si>
  <si>
    <t>26° 33′ 12.90″N, 77° 03′ 12.66″ W</t>
  </si>
  <si>
    <t>26°20'44.1"N</t>
  </si>
  <si>
    <t>77°00'01.0"W</t>
  </si>
  <si>
    <t>temp_proxy_dist_km</t>
  </si>
  <si>
    <t>31.398528, -81.288528</t>
  </si>
  <si>
    <t>1996-1999</t>
  </si>
  <si>
    <t>31°24'27.0"N</t>
  </si>
  <si>
    <t>81°17'23.6"W</t>
  </si>
  <si>
    <t>26°20'32.9"N</t>
  </si>
  <si>
    <t>77°00'52.4"W</t>
  </si>
  <si>
    <t>26.457708, -77.131679</t>
  </si>
  <si>
    <t>19.25°S; 147.65°E</t>
  </si>
  <si>
    <t>47°25'51.0"N</t>
  </si>
  <si>
    <t>61°48'57.9"W</t>
  </si>
  <si>
    <t>29.8°N, 85.3°W</t>
  </si>
  <si>
    <t>24°59'31.2"N</t>
  </si>
  <si>
    <t>80°24'28.8"W</t>
  </si>
  <si>
    <t>1994-2008</t>
  </si>
  <si>
    <t>24.961746, -80.412441</t>
  </si>
  <si>
    <t>G1.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</si>
  <si>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23°30'00.0"S 152°06'00.0"E</t>
  </si>
  <si>
    <t>G2.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</si>
  <si>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G3.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</si>
  <si>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G4.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</si>
  <si>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G5.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</si>
  <si>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G6. each line is a site in the lagoon that had corals with and without fish. Bakground nut = ambient from each site. Total nitrogen was in total Filterable Nitrogen concentrations (μg N L-1) but I converted it to umol/L. TFN includes organic N so I need a better bn. Background from https://agupubs.onlinelibrary.wiley.com/doi/full/10.1029/2012JG001974           Temp from https://ro.uow.edu.au/cgi/viewcontent.cgi?article=2076&amp;context=smhpapers</t>
  </si>
  <si>
    <t>23°47'23.4"N</t>
  </si>
  <si>
    <t>76°08'16.2"W</t>
  </si>
  <si>
    <t>23.775, -76.008333</t>
  </si>
  <si>
    <t>24.728843, -76.826336</t>
  </si>
  <si>
    <t>41°36'00.0"N</t>
  </si>
  <si>
    <t>70°38'00.0"W</t>
  </si>
  <si>
    <t>really well done! Grew Ulva with different nutrient additions, including snail excretion. There was also a field experiment but they had inner vs outer harbour and two time series and also the snails were eating the ulva. Just going with the one simple lab study because grazing was an interaction in the others (looked at NET algae). Ammonium and nitrate in μmol N indiv−1 d−1 excretion rates. But there was 1 snail in 100 mL water for 24 hours  so I converted it to umol/L as a measured concentration. The system is eutropic but the lab experiment had no/low nitrate bc artificial seawter</t>
  </si>
  <si>
    <t>24.547222, -81.394167</t>
  </si>
  <si>
    <t>26°20'34.1"N</t>
  </si>
  <si>
    <t>77°01'03.6"W</t>
  </si>
  <si>
    <t>26.398861, -76.989028</t>
  </si>
  <si>
    <t>23°31'30.1"N</t>
  </si>
  <si>
    <t>75°45'33.0"W</t>
  </si>
  <si>
    <t>23°31'30.0"N</t>
  </si>
  <si>
    <t>75°45'30.0"W</t>
  </si>
  <si>
    <t>75°45'36.0"W</t>
  </si>
  <si>
    <t>23°40'42.0"N</t>
  </si>
  <si>
    <t>75°59'54.0"W</t>
  </si>
  <si>
    <t>23°41'54.0"N</t>
  </si>
  <si>
    <t>76°00'18.0"W</t>
  </si>
  <si>
    <t>mg/L</t>
  </si>
  <si>
    <t>May 2004. caves have sponges, nitrate signal comes from cave. MC cave lost sponges after sediment. Transplant experiment from communal garden location to MC cave (control)  and AFBH cace (treatment). Data shows zooxanthaellae abundance (no x10^6 per mg tissue) over 2 years. Also data from May 2005 but the sponges at MC recovered by then so I'm excluding that year</t>
  </si>
  <si>
    <t>Fig.S7</t>
  </si>
  <si>
    <t>branch</t>
  </si>
  <si>
    <t>tissue</t>
  </si>
  <si>
    <t>shoot</t>
  </si>
  <si>
    <t>outgrowth</t>
  </si>
  <si>
    <t>aboveground</t>
  </si>
  <si>
    <t>water</t>
  </si>
  <si>
    <t>leaf</t>
  </si>
  <si>
    <t>blade</t>
  </si>
  <si>
    <t>length</t>
  </si>
  <si>
    <t>photosynthesis</t>
  </si>
  <si>
    <t>dry weight</t>
  </si>
  <si>
    <t>buoyant weight</t>
  </si>
  <si>
    <t>mass</t>
  </si>
  <si>
    <t>count</t>
  </si>
  <si>
    <t>basal disk</t>
  </si>
  <si>
    <t>width</t>
  </si>
  <si>
    <t>belowground</t>
  </si>
  <si>
    <t>skeleton</t>
  </si>
  <si>
    <t>volume</t>
  </si>
  <si>
    <t>circumference</t>
  </si>
  <si>
    <t>inside cave</t>
  </si>
  <si>
    <t xml:space="preserve">outside cave </t>
  </si>
  <si>
    <t>AFBH</t>
  </si>
  <si>
    <t>MC</t>
  </si>
  <si>
    <t>RC</t>
  </si>
  <si>
    <t>SCC</t>
  </si>
  <si>
    <t>NPCC</t>
  </si>
  <si>
    <t>Supp Fig S7, coral circumference over time</t>
  </si>
  <si>
    <t>Fig.S8</t>
  </si>
  <si>
    <t>17°30'00.0"S</t>
  </si>
  <si>
    <t>149°50'00.0"W</t>
  </si>
  <si>
    <t>2011-2012 summer-winter</t>
  </si>
  <si>
    <t>1991-1994</t>
  </si>
  <si>
    <t>38°19'05.4"N</t>
  </si>
  <si>
    <t>123°04'11.4"W</t>
  </si>
  <si>
    <t>1999-2000</t>
  </si>
  <si>
    <t>38.329000, -123.058100</t>
  </si>
  <si>
    <t>summer 2008-2009</t>
  </si>
  <si>
    <t>1986-1988</t>
  </si>
  <si>
    <t>29.344008, 34.862664</t>
  </si>
  <si>
    <t>45°47'03.5"S</t>
  </si>
  <si>
    <t>170°43'22.7"E</t>
  </si>
  <si>
    <t>45°47'46.8"S 170°43'17.0"E</t>
  </si>
  <si>
    <t>summer 2013-2015</t>
  </si>
  <si>
    <t>44°15'41.0"N</t>
  </si>
  <si>
    <t>124°03'57.0"W</t>
  </si>
  <si>
    <t>summer 1993</t>
  </si>
  <si>
    <t>18°41'00.0"S</t>
  </si>
  <si>
    <t>146°35'00.0"E</t>
  </si>
  <si>
    <t>Experiment 1. 1.5 hours. Two sea cucumber species (Stichopus chloronotus and Holothuria atra) effluent. Background_nut is nitrate + nitrite in exp 3 (1.29) + control ammonium in the current experiment</t>
  </si>
  <si>
    <t>community gross production (mg C/m^2/day). Background = avg ammonium in unmanipulated chamber + avg nitrate + nitrite from other Uthicke paper</t>
  </si>
  <si>
    <t>48°21'32.7"N</t>
  </si>
  <si>
    <t>4°33'31.8"W</t>
  </si>
  <si>
    <t>41°30'04.9"S</t>
  </si>
  <si>
    <t>72°56'20.4"W</t>
  </si>
  <si>
    <t>16.8, -88.083333</t>
  </si>
  <si>
    <t>1988-1999</t>
  </si>
  <si>
    <t>17.757750, -64.605750</t>
  </si>
  <si>
    <t>MAY, 2007</t>
  </si>
  <si>
    <t>48°23'00.0"N</t>
  </si>
  <si>
    <t>124°40'00.0"W</t>
  </si>
  <si>
    <t>48°30'50.2"N 123°08'45.8"W</t>
  </si>
  <si>
    <t>summer 2011</t>
  </si>
  <si>
    <t xml:space="preserve">went to cays with and without roosting birds, found more aboveground biomass at cays with birds. Also found enriched N in mangrove leaves at cays with birds, and that over time the cays with birds are washing away faster bc of eutrophication. Temp  from Ellison, this paper measured porewater = super high nutrients, so Background nutrients (no2 +no3 +nh4) from https://repository.si.edu/bitstream/handle/10088/2569/Littler1993a.pdf  </t>
  </si>
  <si>
    <t>coral growth in mg/cm^2/day. Nutrients were presented as the calculated N provided by each treatment (g/day), which I can't convert to nitrate umol/L so using Background from https://aslopubs.onlinelibrary.wiley.com/doi/epdf/10.4319/lo.2010.55.6.2660</t>
  </si>
  <si>
    <t>34.697562, -76.589178</t>
  </si>
  <si>
    <t>34°41'51.2"N</t>
  </si>
  <si>
    <t>76°35'21.0"W</t>
  </si>
  <si>
    <t>Fall 1992</t>
  </si>
  <si>
    <t>34.691667, -76.907778</t>
  </si>
  <si>
    <t>1995 July</t>
  </si>
  <si>
    <t>17.757762, -64.605751</t>
  </si>
  <si>
    <t>June 2004. growth rate of eelgrass by itself or with mussels. Nutrient concentrations are measured fluxes mmol/m2/day. Background nutrients are the max nitrate from Laursen, J.S., Bruntse, G., 2004 which is cited in the paper</t>
  </si>
  <si>
    <t>54.818859, 9.94084</t>
  </si>
  <si>
    <t>46.938191, -2.604130</t>
  </si>
  <si>
    <t>Aquillo</t>
  </si>
  <si>
    <t>Latitude</t>
  </si>
  <si>
    <t>used areas of higher vs lower fishing as the CND, counted fish but used excretion estimates. If I can get their data I might be able to use this????</t>
  </si>
  <si>
    <t>Brines, Emily M and Andskog, Mona A and Munsterman, Katrina S and Layman, Craig A and McCoy, Matthew and Allgeier, Jacob E</t>
  </si>
  <si>
    <t>Anthropogenic nutrients mitigate importance of fish-mediated nutrient supply for seagrass beds in Haiti</t>
  </si>
  <si>
    <t>Watkins, HV and Munger, RB and C√¥t√©, IM</t>
  </si>
  <si>
    <t>Effects of sea cucumber fishing on tropical seagrass productivity</t>
  </si>
  <si>
    <t>ECOSPHERE</t>
  </si>
  <si>
    <t>Escalas, A and Avouac, A and Belmaker, J and Bouvier, T and Cledassou, V and Ferraton, F and Rieuvilleneuve, F and Rilov, G and Mulet, AR and Goldberg, DS and Villeger, S</t>
  </si>
  <si>
    <t>An invasive herbivorous fish (&lt;i&gt;Siganus rivulatus&lt;/i&gt;) influences both benthic and planktonic microbes through defecation and nutrient excretion</t>
  </si>
  <si>
    <t>SCIENCE OF THE TOTAL ENVIRONMENT</t>
  </si>
  <si>
    <t>32°49'35.4"N</t>
  </si>
  <si>
    <t>34°57'24.3"E</t>
  </si>
  <si>
    <t>IOLR institute in Haifa</t>
  </si>
  <si>
    <t>Siganidae</t>
  </si>
  <si>
    <t>Siganus</t>
  </si>
  <si>
    <t>rivulatus</t>
  </si>
  <si>
    <t>Table S2</t>
  </si>
  <si>
    <t>Table</t>
  </si>
  <si>
    <t>Benkwitt, CE and D'Angelo, C and Dunn, RE and Gunn, RL and Healing, S and Mardones, ML and Wiedenmann, J and Wilson, SK and Graham, NAJ</t>
  </si>
  <si>
    <t>Seabirds boost coral reef resilience</t>
  </si>
  <si>
    <t>SCIENCE ADVANCES</t>
  </si>
  <si>
    <t>5°50'S</t>
  </si>
  <si>
    <t>72°00'E</t>
  </si>
  <si>
    <t>Healing, S and Benkwitt, CE and Dunn, RE and Graham, NAJ</t>
  </si>
  <si>
    <t>Seabird-vectored pelagic nutrients integrated into temperate intertidal rocky shores</t>
  </si>
  <si>
    <t>FRONTIERS IN MARINE SCIENCE</t>
  </si>
  <si>
    <t>Wiedenmann, J and D'Angelo, C and Mardones, ML and Moore, S and Benkwitt, CE and Graham, NAJ and Hambach, B and Wilson, PA and Vanstone, J and Eyal, G and Ben-Zvi, O and Loya, Y and Genin, A</t>
  </si>
  <si>
    <t>Reef-building corals farm and feed on their photosynthetic symbionts</t>
  </si>
  <si>
    <t>Benkwitt, CE and Carr, P and Wilson, SK and Graham, NAJ</t>
  </si>
  <si>
    <t>Seabird diversity and biomass enhance cross-ecosystem nutrient subsidies</t>
  </si>
  <si>
    <t>PROCEEDINGS OF THE ROYAL SOCIETY B-BIOLOGICAL SCIENCES</t>
  </si>
  <si>
    <t>Oliveira, CYB and Brandao, BDS and Jannuzzi, LGD and Oliveira, DWS and Yogui, GT and M√ºller, MN and G√°lvez, AO</t>
  </si>
  <si>
    <t>New insights on the role of nitrogen in the resistance to environmental stress in an endosymbiotic dinoflagellate</t>
  </si>
  <si>
    <t>ENVIRONMENTAL SCIENCE AND POLLUTION RESEARCH</t>
  </si>
  <si>
    <t>Shantz, Andrew A and Ladd, Mark C and Ezzat, Leila and Schmitt, Russell J and Holbrook, Sally J and Schmeltzer, Emily and Rebecca Vega Thurber and Burkepile, Deron E</t>
  </si>
  <si>
    <t>Positive interactions between corals and damselfish increase coral resistance to temperature stress</t>
  </si>
  <si>
    <t>Esquivel, KE and Hesselbarth, MHK and Allgeier, JE</t>
  </si>
  <si>
    <t>Mechanistic support for increased primary production around artificial reefs</t>
  </si>
  <si>
    <t>Lees, LE and Jordan, SNZ and Bracken, MES</t>
  </si>
  <si>
    <t>Kelps may compensate for low nitrate availability by using regenerated forms of nitrogen, including urea and ammonium</t>
  </si>
  <si>
    <t>JOURNAL OF PHYCOLOGY</t>
  </si>
  <si>
    <t>Jiang, L and Jansen, HM and Broch, OJ and Timmermans, KR and Soetaert, K</t>
  </si>
  <si>
    <t>Modelling spatial variability of cultivated &lt;i&gt;Saccharina latissima&lt;/i&gt; in a Dutch coastal bay shows benefits of co-cultivation with shellfish</t>
  </si>
  <si>
    <t>ICES JOURNAL OF MARINE SCIENCE</t>
  </si>
  <si>
    <t>Detmer, R and Cunning, R and Pfab, F and Brown, AL and Stier, AC and Nisbet, RM and Moeller, HV</t>
  </si>
  <si>
    <t>Fertilization by coral-dwelling fish promotes coral growth but can exacerbate bleaching response</t>
  </si>
  <si>
    <t>JOURNAL OF THEORETICAL BIOLOGY</t>
  </si>
  <si>
    <t>Kubala, ME and Hopper, GW and Gonzalez, IS and Jackson, CR and Kuehn, KA and Halvorson, HM and Atkinson, CL</t>
  </si>
  <si>
    <t>Species identity and diversity of filter-feeding bivalves impact green and brown food webs</t>
  </si>
  <si>
    <t>Appoo, J and Bunbury, N and Jaquemet, S and Graham, NAJ</t>
  </si>
  <si>
    <t>Seabird nutrient subsidies enrich mangrove ecosystems and are exported to nearby coastal habitats</t>
  </si>
  <si>
    <t>ISCIENCE</t>
  </si>
  <si>
    <t>Cardini, U and Marin-Guirao, L and Montilla, LM and Marzocchi, U and Chiavarini, S and Rimauro, J and Quero, GM and Petersen, JM and Procaccini, G</t>
  </si>
  <si>
    <t>Nested interactions between chemosynthetic lucinid bivalves and seagrass promote ecosystem functioning in contaminated sediments</t>
  </si>
  <si>
    <t>FRONTIERS IN PLANT SCIENCE</t>
  </si>
  <si>
    <t>Rom√°n, M and Gilbert, F and Viejo, RM and Rom√°n, S and Troncoso, JS and V√°zquez, E and Olabarria, C</t>
  </si>
  <si>
    <t>Are clam-seagrass interactions affected by heatwaves during emersion?</t>
  </si>
  <si>
    <t>MARINE ENVIRONMENTAL RESEARCH</t>
  </si>
  <si>
    <t>Benkwitt, CE and Gunn, RL and Le Corre, M and Carr, P and Graham, NAJ</t>
  </si>
  <si>
    <t>Rat eradication restores nutrient subsidies from seabirds across terrestrial and marine ecosystems</t>
  </si>
  <si>
    <t>CURRENT BIOLOGY</t>
  </si>
  <si>
    <t>from redoing the 2020-2022 search</t>
  </si>
  <si>
    <t>Meysick, L and Norkko, A and Gagnon, K and Gr√É¬§fnings, M and Bostr√É¬∂m, C</t>
  </si>
  <si>
    <t>Context-dependency of eelgrass-clam interactions: implications for coastal restoration</t>
  </si>
  <si>
    <t>2018-2021</t>
  </si>
  <si>
    <t>Fig.2d</t>
  </si>
  <si>
    <t>animals weren't the source of nutrients (added in 2024)</t>
  </si>
  <si>
    <t>didn't measure pp as response (added 2024)</t>
  </si>
  <si>
    <t>flavicaudus</t>
  </si>
  <si>
    <t>pp_species</t>
  </si>
  <si>
    <t>grandis</t>
  </si>
  <si>
    <t>17°30′S</t>
  </si>
  <si>
    <t>149°50′W</t>
  </si>
  <si>
    <t>Fig.5a</t>
  </si>
  <si>
    <t>Fig.6b</t>
  </si>
  <si>
    <t>no experiments just simulated models</t>
  </si>
  <si>
    <t>shellfish farms not really controlled, growth not measured</t>
  </si>
  <si>
    <t>symbiont density. Corals in tanks w/ vs w/o fish in heatwave</t>
  </si>
  <si>
    <t>protein content of corals. Corals in tanks w/ vs w/o fish in heatwave</t>
  </si>
  <si>
    <t>coral calcification rate = change in buoyant weight. Corals in tanks w/ vs w/o fish in heatwave</t>
  </si>
  <si>
    <t>freshwater! Not marine</t>
  </si>
  <si>
    <t>didn't look at pp response, measured N content</t>
  </si>
  <si>
    <t>Italy</t>
  </si>
  <si>
    <t>Cape Miseno</t>
  </si>
  <si>
    <t>East</t>
  </si>
  <si>
    <t>40°49'57.1"N</t>
  </si>
  <si>
    <t>14°14'07.7"E</t>
  </si>
  <si>
    <t>Cymodocea</t>
  </si>
  <si>
    <t>nodosa</t>
  </si>
  <si>
    <t>Cymodoceaceae</t>
  </si>
  <si>
    <t>Loripes</t>
  </si>
  <si>
    <t>orbiculatus</t>
  </si>
  <si>
    <t>Lucinidae</t>
  </si>
  <si>
    <t>Fig.S4a</t>
  </si>
  <si>
    <t>Fig.S4b</t>
  </si>
  <si>
    <t>Fig.S5a</t>
  </si>
  <si>
    <t>Fig.S5b</t>
  </si>
  <si>
    <t xml:space="preserve">leaf apical growth grams dry weight. Clams and seagrass in sediment. </t>
  </si>
  <si>
    <t xml:space="preserve">rhizome growth grams dry weight. Clams and seagrass in sediment. </t>
  </si>
  <si>
    <t>measured clam growth, not seagrass</t>
  </si>
  <si>
    <t>didn't measure pp as response, looked at N15 (from redoing 2022 search)</t>
  </si>
  <si>
    <t>Fårö</t>
  </si>
  <si>
    <t>Macoma</t>
  </si>
  <si>
    <t>balthica</t>
  </si>
  <si>
    <t xml:space="preserve"> Tellinidae</t>
  </si>
  <si>
    <t>root</t>
  </si>
  <si>
    <t>root biomass (g) per plot. They provide the starting value, could do the growht</t>
  </si>
  <si>
    <t>leaf growth rate in mg per plot per day</t>
  </si>
  <si>
    <t>number of shoots per plot</t>
  </si>
  <si>
    <t>55°37'48.0"N</t>
  </si>
  <si>
    <t>1°37'48.0"W</t>
  </si>
  <si>
    <t>Farne Islands</t>
  </si>
  <si>
    <t>United Kingdom</t>
  </si>
  <si>
    <t>Fucus</t>
  </si>
  <si>
    <t>serratus</t>
  </si>
  <si>
    <t>Fig.4e</t>
  </si>
  <si>
    <t>Fig.4f</t>
  </si>
  <si>
    <t>Gigartinaceae</t>
  </si>
  <si>
    <t>Chondrus</t>
  </si>
  <si>
    <t>crispus</t>
  </si>
  <si>
    <t>Osmundea</t>
  </si>
  <si>
    <t>Corallinaceae</t>
  </si>
  <si>
    <t>irish moss</t>
  </si>
  <si>
    <t>dulse</t>
  </si>
  <si>
    <t>pink encrusting</t>
  </si>
  <si>
    <t>rawdata</t>
  </si>
  <si>
    <t>vesiculosus</t>
  </si>
  <si>
    <t>Cladophoraceae</t>
  </si>
  <si>
    <t>Cladophora</t>
  </si>
  <si>
    <t>Corallina</t>
  </si>
  <si>
    <t>Ascophyllum</t>
  </si>
  <si>
    <t>nodosum</t>
  </si>
  <si>
    <t>Polysiphonia</t>
  </si>
  <si>
    <t xml:space="preserve"> Ulvaceae</t>
  </si>
  <si>
    <t>I added all of the algae species that were mentioned in text from the raw data file</t>
  </si>
  <si>
    <t>Fish excretion drives primary productivity on coral patch reef ecosystems</t>
  </si>
  <si>
    <t>Francis, FT and Cote, IM</t>
  </si>
  <si>
    <t>5°50'S, 72°00'E</t>
  </si>
  <si>
    <t>spring 2019</t>
  </si>
  <si>
    <t>summer 1960-2000</t>
  </si>
  <si>
    <t>55°42'36N, 0°51'W</t>
  </si>
  <si>
    <t>summer 1987-2008</t>
  </si>
  <si>
    <t>summer 2021</t>
  </si>
  <si>
    <t>60.110023, 21.598595</t>
  </si>
  <si>
    <t>60°06'35.9"N</t>
  </si>
  <si>
    <t>21°35'56.4"E</t>
  </si>
  <si>
    <t>from redoing the 2020-2022 search. Aboveground biomass per plot. Did a cool field manipulation but there was a strong porewater NH₄⁺ gradient in the field. At low NH₄⁺ clams increased seagrass growth but at high NH₄⁺ they inhibited it. Not sure how to pull means out of that…. bn from paper that did aquarium stuff at the same facility: https://www.frontiersin.org/journals/marine-science/articles/10.3389/fmars.2024.1304442/full#hsm.  found a paper that measured nitrate in sweden and it was about 2 uM so similar: https://lup.lub.lu.se/luur/download?func=downloadFile&amp;recordOId=8974343&amp;fileOId=8974344          they measured porewater nh4 but it seems impossibly high</t>
  </si>
  <si>
    <t>Eleuthera Island</t>
  </si>
  <si>
    <t>flavolineatum</t>
  </si>
  <si>
    <t>Fig. 3.2</t>
  </si>
  <si>
    <t>24°49'51.2"N</t>
  </si>
  <si>
    <t>76°14'55.4"W</t>
  </si>
  <si>
    <t>26.345583, -77.000267</t>
  </si>
  <si>
    <t>winter 2010</t>
  </si>
  <si>
    <t>Fig. 3.4</t>
  </si>
  <si>
    <t>measured chl_a in ug/L. I used most extreme NH₄⁺ treatment and 0 treatment. Temp from Isa's dive computer, bn from Allgeier Rewiring coral. They used "natural" sea water and grew phytoplankton in bottles that were suspended underwater in diff concentrations of fish pee</t>
  </si>
  <si>
    <t>measured chl_a in ug/L. I used most extreme NH₄⁺ treatment and 0 treatment. This is the second experiment. Temp from Isa's dive computer, bn from Allgeier Rewiring coral.</t>
  </si>
  <si>
    <t>had sea cuke treatments but also had varying fish densities on the patches</t>
  </si>
  <si>
    <t>growth of corals on seabird island vs rats. Growth rate is cm^2/year. Still making sure this data doesn't overlap the other seabird paper. Bn proxy: https://bg.copernicus.org/articles/16/2715/2019/bg-16-2715-2019.html           temp from their aquarium measurements, similar to temp from https://www.frontiersin.org/journals/marine-science/articles/10.3389/fmars.2021.671319/full#T2</t>
  </si>
  <si>
    <t>Fig.7b</t>
  </si>
  <si>
    <t>Fig.7c</t>
  </si>
  <si>
    <t>Fig.7e</t>
  </si>
  <si>
    <t>Does Environmental Context Alter Bivalve and Snail Effects on Eelgrass Growth and Survival?</t>
  </si>
  <si>
    <t>Griffin, J and Hovel K</t>
  </si>
  <si>
    <t>Thesis added from personal collection. measured turf algae biomass on tiles around artificial reefs. Had to pull raw data from fig to get mean +- SD. Temp from Isa's dive computer, bn from Allgeier Rewiring coral.</t>
  </si>
  <si>
    <t>32°43'54.5"N</t>
  </si>
  <si>
    <t>117°12'38.9"W</t>
  </si>
  <si>
    <t>San Diego Bay</t>
  </si>
  <si>
    <t>Ruditapes</t>
  </si>
  <si>
    <t>philippinarum</t>
  </si>
  <si>
    <t>trial 2</t>
  </si>
  <si>
    <t>Fig. 2.2a</t>
  </si>
  <si>
    <t>Fig.2.4</t>
  </si>
  <si>
    <t>Fig.2.5</t>
  </si>
  <si>
    <t>trial 2 epiphyte score on tank walls. Trial 1 she measured epiphytes on eelgrass, trial 2 she scored epi on tanks</t>
  </si>
  <si>
    <t>trial 1 epiphyte mass on eelgrass. Grams of dry epiphytes per gram eelgrass. Not growth rate but could be converted</t>
  </si>
  <si>
    <t>Fig.2.2b</t>
  </si>
  <si>
    <t>Fig.2.3</t>
  </si>
  <si>
    <t>Columbellidae</t>
  </si>
  <si>
    <t>Alia</t>
  </si>
  <si>
    <t>carinata</t>
  </si>
  <si>
    <t>treatment = clam+snail</t>
  </si>
  <si>
    <t>treatment = snails</t>
  </si>
  <si>
    <t>treatment = clams. Replicated in hot and ambient temps. 4 mesocosms per treatment</t>
  </si>
  <si>
    <t>16 clams. Seagrass productivity was calculated for each experiment as leaf area productivity (cm2 shoot–1 d–1) based on the growth of new leaf material from the shoots in each mesocosm. They sort of used bivalves as a way to filter phytoplankton and increase light??? not sure if I can actually use this one. also dumped a ton of ammonium in all tanks</t>
  </si>
  <si>
    <t>thesis added from personal collection. Two mesocosm experiments, one in winter and one in fall. Factorial clam x heat x eutrophication experiment. 8 mesocosms per tough, 4 troughs. 2 troughs heated. 4 mesocosms total per treatment. Trial 1 eelgrass shoot growth mm/day. Southern california nitrate &lt; 2 uM from april - nov according to Jackson 1997. Priya's thesis states nitrate was 1.05 uM: https://digitalcollections.sdsu.edu/do/f1ba941a-6e27-4b92-8bfe-2a300a80ece9#page/20/mode/2up/search/nitrate</t>
  </si>
  <si>
    <t>summer 2014</t>
  </si>
  <si>
    <t>32°43'54.5"N, 117°12'38.9"W</t>
  </si>
  <si>
    <t>Kaewnern, M and Yakupitiyage, A</t>
  </si>
  <si>
    <t>Schuenhoff, A and Shpigel, M and Lupatsch, I and Ashkenazi, A and Msuya, F E and Neori, A</t>
  </si>
  <si>
    <t>Shrimp and mollusc culture at the Bandon Bay in Thailand: a situation analysis</t>
  </si>
  <si>
    <t>A semi-recirculating, integrated system for the culture of fish and seaweed</t>
  </si>
  <si>
    <t>no controls or replication, from redone 2020 search</t>
  </si>
  <si>
    <t>no control, just an aquaculture experiment from redone 2020 search</t>
  </si>
  <si>
    <t>artificial seawater, was included originally and then filtered out in R</t>
  </si>
  <si>
    <t>Deposit-Feeding Sea Cucumbers Enhance Mineralization and Nutrient Cycling in Organically-Enriched Coastal Sediments</t>
  </si>
  <si>
    <t>MacTavish T, Stenton-Dozey J, Vopel K,  Savage C</t>
  </si>
  <si>
    <t>41°09.1’S</t>
  </si>
  <si>
    <t>173°52.5’E</t>
  </si>
  <si>
    <t>Four Fathom Bay</t>
  </si>
  <si>
    <t>Australostichopus</t>
  </si>
  <si>
    <t>mollis</t>
  </si>
  <si>
    <t>Stichopodidae</t>
  </si>
  <si>
    <t>sediment</t>
  </si>
  <si>
    <t>Perna</t>
  </si>
  <si>
    <t>canaliculus</t>
  </si>
  <si>
    <t xml:space="preserve"> -41.149072, 173.872858</t>
  </si>
  <si>
    <t>1984-85</t>
  </si>
  <si>
    <t>2010-2013</t>
  </si>
  <si>
    <t>Shoot size. The oysters are "stocked" bc they used aquaculture sites, but the seagrass is unmanipulated. Measured growht over 2 weeks but other measures instantaneous. Water column ammonium, nitrate, and porewater ammonium</t>
  </si>
  <si>
    <t>belowground biomass. The oysters are "stocked" bc they used aquaculture sites, but the seagrass is unmanipulated. Measured growht over 2 weeks but other measures instantaneous. Water column ammonium, nitrate, and porewater ammonium</t>
  </si>
  <si>
    <t xml:space="preserve">epiphyte load. in mg/cm^2 of seagrass. background (nitrite nitrate and nh4) and temp from Looe Key monitoring https://link.springer.com/content/pdf/10.2307/1352460.pdf  </t>
  </si>
  <si>
    <t>there's a graph of percent colonization vs blade production, so there's only one point at each density?using bottom 30% as low and top 30% as high. The growth was looked at december 1998 - january 1999. tagged fronds then came back 2 weeks later to see growth. Bn = avg nitrates between december 1998 and jan 1999 + average winter ammonium. excretion of hydroids and bryo in umol per frond per hour summer water temps (averaged from sighting and no sighting boxplot) from https://www.tandfonline.com/doi/full/10.1080/03014223.2018.1482930</t>
  </si>
  <si>
    <t>August 9th. Put coverslips in pools for 2 weeks, measured chl a on slips afterwards. Background_nut = ammonium + nitrate + nitrite presented in Fig. 1 for August 2005. Temp fully guessed from https://digital.lib.washington.edu/researchworks/bitstream/handle/1773/26618/Newcomb_2011.pdf?sequence=1&amp;isAllowed=y</t>
  </si>
  <si>
    <t>August 24th. Put coverslips in pools for 2 weeks, measured chl a on slips afterwards. Background_nut = ammonium + nitrate + nitrite presented in Fig. 1 for August 2005</t>
  </si>
  <si>
    <t xml:space="preserve">skeleton deposited (g per 4 months). Measured growth over 4 months, three times. This is avg growth over those 3 periods. Growth over a year. Some coral with grunts, some without. </t>
  </si>
  <si>
    <t>means are mean chl a values over the course of the experiment (5 days). no effect of day so they avged it. It’s a 2 way fully factorial ANOVA, farm site and ref site each had + mussel pee and - mussel pee. Our treatment is the farm site + pee and the control is ref site - pee. Nh4 measured in water n = 6, nitrate and nitrite presented together n = 15. temp from (same lagoon, also oysters, just averaged august temps from both available years) https://www.mdpi.com/2077-1312/8/6/382/htm</t>
  </si>
  <si>
    <t xml:space="preserve">fish in tanks with algae, but algae were grazed. Just using water chl a. 8 day experiment, the nut concentrations are presented in mg/L, I converted this to uM for the background nutrients. Based on other papers the levels might have actually already been in uM. </t>
  </si>
  <si>
    <t>contact experiment. Stuck sponge and algae together, measured algae chl a with vs without sponge contact. Also measured effects on sponge bc it has endosymbionts but there's no consumer if the sponge is the pp. Background is from Slattery sponge cave paper, average of outside cave nitrate concentrations. Temperature from https://www.sciencedirect.com/science/article/pii/S0037073811002090. I averaged the summer water temperature values</t>
  </si>
  <si>
    <t>control = dead sponge, treatment = live sponge. Used growth rates (root elongation, mm/d) from isopod unattacked roots bc the sponge grew with the roots and the foam didn't, so they excluded the roots that were swarmed. Background nutrients (no2 +no3 +nh4)  from https://repository.si.edu/bitstream/handle/10088/2569/Littler1993a.pdf</t>
  </si>
  <si>
    <t>Fig.3d</t>
  </si>
  <si>
    <t>growth = percent increase of intital biomass on day 24 (measured growht over whole experiment but we're just using last day). He measured how much mussels increased ammonium when the water was off at the beginning and end, I averged those values. Nitrate was reportedly low, and "never exceded mean 1.8 uM". Temp from https://esajournals.onlinelibrary.wiley.com/doi/epdf/10.1890/10-0238.1. Estimated ammonium accumulation rate and also ammonium concentration. I report accumulation rate bc accumulation was at no flow and concentrations during the experiment weren't actually that high. it's relative so the mussels were 3.96 higher, they don't state the rate for the control</t>
  </si>
  <si>
    <t>cultured algae in sea water enriched with effluent from different animals. mean is the growth rate. Diff plankton species used too. Oysters and bass were done in France, but mussels and salmon were done in chile. Background = nitrate + ammonium in control. All species incubated at 18 except one</t>
  </si>
  <si>
    <t>endosymbiont density in natural coral. Sampled corals with and without fish under ambient conditions. Background (measured nitrate in aquarium water at same facility) from file:///Users/emlim/Downloads/BF01313472.pdf</t>
  </si>
  <si>
    <t>Sampled corals with and without fish in situ.Background from https://www.publish.csiro.au/mf/pdf/MF9830835</t>
  </si>
  <si>
    <t>coral tissue protein after - before, with fish or no fish. They had a heat wave event but that's in the other sheet. Background from https://www.publish.csiro.au/mf/pdf/MF9830835</t>
  </si>
  <si>
    <t>coral tissue biomass after - before, with fish or no fish. They had a heat wave event but that's in the other sheet. Background from https://www.publish.csiro.au/mf/pdf/MF9830835</t>
  </si>
  <si>
    <t>rhizome</t>
  </si>
  <si>
    <t>Androuin et al 2018</t>
  </si>
  <si>
    <t>animal</t>
  </si>
  <si>
    <t>Fig.3Aii</t>
  </si>
  <si>
    <t>growth rate using hole punch. Built reefs to attract fish. Treatment = measurements at and next to the reef with fish, control = two farthest measurements from the reef w/o fish. Total nutrient supply rates were calculated for each treatment (g/d).      temp from https://link.springer.com/article/10.1007/s00338-020-01948-0</t>
  </si>
  <si>
    <t>Fig.1e</t>
  </si>
  <si>
    <t>percent extension per day. high vs low grunt density. transplanted corals, photographed and measured weeks 0, 7, and 14. growth calculated from final - initial. The ammonium is the predicted nh4 excretion rate in mg/m^2/day. background 1.4 = avg from  https://aslopubs.onlinelibrary.wiley.com/doi/epdf/10.4319/lo.2000.45.5.1041.     temp (averages SST in whole keys area) from https://downloads.hindawi.com/journals/jmb/2011/981723.pdf</t>
  </si>
  <si>
    <t xml:space="preserve">artificial reefs built at 4 sites, 4 controls. control = 30 m from artificial reef. Measured mg/day of seagrass growth in 3 quads at each reef, also measured leaf area and aboveground biomass but showed with herbivory estimates that these were affected by graazing so I decided to just use productivity so its not confounded with grazing. background (nitrite nitrate and nh4) and temp from Looe Key monitoring https://link.springer.com/content/pdf/10.2307/1352460.pdf  </t>
  </si>
  <si>
    <t>site = MC. Year = 2000. Measured zooxanthalle concentration 4 times, but one year the sponges were killed so we're skipping that one. Still feel like maybe I should avg these estimates but they were presented like this so maybe i'll just keep it. ugh</t>
  </si>
  <si>
    <t>site = MC. Year = 2002. zooxanthalle concentration</t>
  </si>
  <si>
    <t>site = MC. Year = 2005. zooxanthalle concentration</t>
  </si>
  <si>
    <t>site = AFBH, year = 2000. zooxanthalle concentration measured 4 times, here I report 1 row per cave per year as the authors do</t>
  </si>
  <si>
    <t>site = AFBH, year = 2002. zooxanthalle concentration measured 4 times, here I report 1 row per cave per year as the authors do</t>
  </si>
  <si>
    <t>site = AFBH, year = 2003. zooxanthalle concentration measured 4 times, here I report 1 row per cave per year as the authors do</t>
  </si>
  <si>
    <t>site = AFBH, year = 2005. zooxanthalle concentration measured 4 times, here I report 1 row per cave per year as the authors do</t>
  </si>
  <si>
    <t>site = RC, year = 2000. zooxanthalle concentration measured 4 times, here I report 1 row per cave per year as the authors do</t>
  </si>
  <si>
    <t>site = SCC, year = 2000. zooxanthalle concentration measured 4 times, here I report 1 row per cave per year as the authors do</t>
  </si>
  <si>
    <t>site = RC, year = 2002. zooxanthalle concentration measured 4 times, here I report 1 row per cave per year as the authors do</t>
  </si>
  <si>
    <t>site = RC, year = 2003. zooxanthalle concentration measured 4 times, here I report 1 row per cave per year as the authors do</t>
  </si>
  <si>
    <t>site = RC, year = 2005. zooxanthalle concentration measured 4 times, here I report 1 row per cave per year as the authors do</t>
  </si>
  <si>
    <t>site = SCC, year = 2002. zooxanthalle concentration measured 4 times, here I report 1 row per cave per year as the authors do</t>
  </si>
  <si>
    <t>site = SCC, year = 2003. zooxanthalle concentration measured 4 times, here I report 1 row per cave per year as the authors do</t>
  </si>
  <si>
    <t>site = SCC, year = 2005. zooxanthalle concentration measured 4 times, here I report 1 row per cave per year as the authors do</t>
  </si>
  <si>
    <t>sponges (AFBH)</t>
  </si>
  <si>
    <t>scouring</t>
  </si>
  <si>
    <t>site = MC. caves have sponges, nitrate signal comes from cave. Measured percent cover of coral near and far from caves. Used nitrate measured far from each cave as background. NPCC was considered the control cage, didn't have sponges, and there was no nitrate diff near vs far so no provisioning so it's excluded. also did a transplant experiment to a cave that had been disturbed vs undisturbed, but that's in the disturbance sheet</t>
  </si>
  <si>
    <t xml:space="preserve">site = AFBH. Measured coral circumference over 5 years near vs far from cave. I took last measurement - first measurement = growth. </t>
  </si>
  <si>
    <t xml:space="preserve">site = SSC. Measured coral circumference over 5 years near vs far from cave. I took last measurement - first measurement = growth. </t>
  </si>
  <si>
    <t xml:space="preserve">site = RC. Measured coral circumference over 5 years near vs far from cave. I took last measurement - first measurement = growth. </t>
  </si>
  <si>
    <t>grams of coral growth per day. state that they had balanced 10 vs 10 design but raw data only shows 2 control colonies. Nh4 is the calculated excretion rate of the group of damsel fish in umoles l-1 h-1. Estimated background nitrate from https://www.jstor.org/stable/24862064?seq=1            temperature estimated from https://www.int-res.com/articles/meps/121/m121p181.pdf</t>
  </si>
  <si>
    <t>measured thallus area over 16 days of seaweed on rock vs on mussels. I calculated growth as after - before</t>
  </si>
  <si>
    <t>measured ambient % cover of seaweeds on bare rock vs on mussels. Bn is nitrte + ammonium over bare rock. Temperature estimated from https://esajournals.onlinelibrary.wiley.com/doi/epdf/10.1890/10-0238.1</t>
  </si>
  <si>
    <t>measured ambient % cover of seaweeds on bare rock vs on mussels.</t>
  </si>
  <si>
    <t>Mazzaella</t>
  </si>
  <si>
    <t>flaccida</t>
  </si>
  <si>
    <t>went back to same plots (herbivore x mussel) a year later and looked at percent cover. Herb treatments weren't maintained, so it's mussels vs mussel mimic</t>
  </si>
  <si>
    <t>went back to same plots (herbivore x mussel) a year later and looked at percent cover. Herb treatments weren't maintained, so it's just mussels vs mussel mimic (replication doubled)</t>
  </si>
  <si>
    <t>Outplanted algae on different substrates and exclused herbivores. Using seaweed on mussels without herbivores as treatment, and fake mussels without exclusion (doesn't matter which control i use they're all 0). Growth over 7 weeks. After - before, but the before is 0 so after is the same as growth</t>
  </si>
  <si>
    <t>June 2004. shoot density (shoots/m2) of eelgrass by itself or with mussels. Nutrient concentrations are measured fluxes mmol/m2/day. Measured metrics june 2004, aug 2004, and march 2005. I could take the june estimate as an ambient measure, and then take aug - june as after - before? or present all 3?</t>
  </si>
  <si>
    <t>the regeneration is the area of basal disk relative to the initial area. like a percent increase. They also measured the concentration of zooxanthellae. Background = amount of ammonium in natural water. Measured excretion in umol/L/h, two hour experiment = double that? This paper states nitrate was below detection limit (https://royalsocietypublishing.org/doi/epdf/10.1098/rspb.1989.0025).     temp from http://www.int-res.com/articles/meps/77/m077p253.pdf</t>
  </si>
  <si>
    <t>zooxanthella abundance after 2 weeks</t>
  </si>
  <si>
    <t>zooxanthella abundance after 4 weeks</t>
  </si>
  <si>
    <t>zooxanthella abundance after 6 weeks</t>
  </si>
  <si>
    <t>zooxanthella abundance after 8 weeks</t>
  </si>
  <si>
    <t>aboveground biomass. The oysters are "stocked" bc they used aquaculture sites, but the seagrass is unmanipulated. Measured growth over 2 weeks but other measures instantaneous. Water column ammonium, nitrate, and porewater ammonium</t>
  </si>
  <si>
    <t>biomass (10^3 cells/mL) after about 6 days. No starting density reported so this is over time but not growth rate. Injected pseudo poop or poop into tubes with varying plankton. Bn from https://archimer.ifremer.fr/doc/00000/3956/</t>
  </si>
  <si>
    <t>control = dead sponge, treatment = live sponge. Used growth rates (change in root volume, mm3/d) from isopod unattacked roots bc the sponge grew with the roots and the foam didn't, so they excluded the roots that were swarmed. Background nutrients (no2 +no3 +nh4)  from https://repository.si.edu/bitstream/handle/10088/2569/Littler1993a.pdf</t>
  </si>
  <si>
    <t>endosymbiont density in acropora (algae/cm^2). Nutrients were presented as the calculated N provided by each treatment (g/day)</t>
  </si>
  <si>
    <t>endosymbiont density in porites (algae/cm^2). Nutrients were presented as the calculated N provided by each treatment (g/day)</t>
  </si>
  <si>
    <t>in text/ WebPlotDigitizer</t>
  </si>
  <si>
    <t>SM = sediment + mussel poop. added from citation scanning. Had cores of sediment as control, added mussel poop (SM) or mussel poop and cukes (SMSC). Measured sediment chl a</t>
  </si>
  <si>
    <t xml:space="preserve">measured new apical root growth in grams dry weight. Clams and seagrass in sediment. </t>
  </si>
  <si>
    <t>day 14 symbiont density. coral fragments in tanks with or without fish. 12 tanks total, half of the tanks were warmed and half stayed ambient. So 3 ambient with fish and 3 ambient without fish. Measured fluoro capacity with PAM but I'm not using that. Measured symbiont density multiple times, keeping each time point as a seperate row</t>
  </si>
  <si>
    <t>day 17 symbiont density. coral fragments in tanks with or without fish. 12 tanks total, half of the tanks were warmed and half stayed ambient. So 3 ambient with fish and 3 ambient without fish. Measured fluoro capacity with PAM but I'm not using that. Measured symbiont density multiple times, keeping each time point as a seperate row</t>
  </si>
  <si>
    <t>day 20 symbiont density. coral fragments in tanks with or without fish. 12 tanks total, half of the tanks were warmed and half stayed ambient. So 3 ambient with fish and 3 ambient without fish. Measured fluoro capacity with PAM but I'm not using that. Measured symbiont density multiple times, keeping each time point as a seperate row</t>
  </si>
  <si>
    <t>day 24 symbiont density. coral fragments in tanks with or without fish. 12 tanks total, half of the tanks were warmed and half stayed ambient. So 3 ambient with fish and 3 ambient without fish. Measured fluoro capacity with PAM but I'm not using that. Measured symbiont density multiple times, keeping each time point as a seperate row</t>
  </si>
  <si>
    <t>day 34 symbiont density. coral fragments in tanks with or without fish. 12 tanks total, half of the tanks were warmed and half stayed ambient. So 3 ambient with fish and 3 ambient without fish. Measured fluoro capacity with PAM but I'm not using that. Measured symbiont density multiple times, keeping each time point as a seperate row</t>
  </si>
  <si>
    <t>protein content of corals at the end of the experiment. I'm going to drop protein measures so I'm not going to add each timepoint</t>
  </si>
  <si>
    <t>coral calcification rate = change in buoyant weight betweeen day 24-34 (what they're calling the heat exposure, but these arent heated treatments</t>
  </si>
  <si>
    <t>coral calcification rate = change in buoyant weight betweeen day 14-24 (what they're calling the heat exposure, but these arent heated treatments. I could also basically take the avg of these two rows and get the mean overall growth rate?</t>
  </si>
  <si>
    <t>Day 3. They measured GPP each day, each line is a day.</t>
  </si>
  <si>
    <t>Day 4. They measured GPP each day, each line is a day.</t>
  </si>
  <si>
    <t xml:space="preserve">Day 5. They measured GPP each day, each line is a day. </t>
  </si>
  <si>
    <t>Day 6. They measured GPP each day, each line is a day.</t>
  </si>
  <si>
    <t>chl a during the "stress" but this is ambient temp so it's just fish vs no fish. They had a heat wave event but that's in the other sheet. Background from https://www.publish.csiro.au/mf/pdf/MF9830835</t>
  </si>
  <si>
    <t>chl a during the "recovery" but this is ambient temp so it's just a second fish vs no fish time point. They had a heat wave event but that's in the other sheet. Background from https://www.publish.csiro.au/mf/pdf/MF9830835</t>
  </si>
  <si>
    <t>Fig. 3e</t>
  </si>
  <si>
    <t>Fig. 3f</t>
  </si>
  <si>
    <t>Thalassiosiraceae</t>
  </si>
  <si>
    <t>Thalassiosira</t>
  </si>
  <si>
    <t>concentration of diatom Thalassiosira on day 3. Could also do after - before here???</t>
  </si>
  <si>
    <t>day 2. measured chl a over 6 days. excluded day 1 bc it's t0. I could also get last - first. also looked at another jelly that doesn't excrete waste bc it has internal phytoplankton. Jellies had similar top down but only this one did bottom up. I averaged the nh4 and NOx over the 6 days for this one</t>
  </si>
  <si>
    <t>day 3. measured chl a over 6 days. excluded day 1 bc it's t0. I could also get last - first. also looked at another jelly that doesn't excrete waste bc it has internal phytoplankton. Jellies had similar top down but only this one did bottom up. I averaged the nh4 and NOx over the 6 days for this one</t>
  </si>
  <si>
    <t>day 4. measured chl a over 6 days. excluded day 1 bc it's t0. I could also get last - first. also looked at another jelly that doesn't excrete waste bc it has internal phytoplankton. Jellies had similar top down but only this one did bottom up. I averaged the nh4 and NOx over the 6 days for this one</t>
  </si>
  <si>
    <t>day 5. measured chl a over 6 days. excluded day 1 bc it's t0. I could also get last - first. also looked at another jelly that doesn't excrete waste bc it has internal phytoplankton. Jellies had similar top down but only this one did bottom up. I averaged the nh4 and NOx over the 6 days for this one</t>
  </si>
  <si>
    <t>day 6. measured chl a over 6 days. excluded day 1 bc it's t0. I could also get last - first. also looked at another jelly that doesn't excrete waste bc it has internal phytoplankton. Jellies had similar top down but only this one did bottom up. I averaged the nh4 and NOx over the 6 days for this one</t>
  </si>
  <si>
    <t>concentration of diatom Thalassiosira on day 6. Could also do after - before here???</t>
  </si>
  <si>
    <t>Fig.5b</t>
  </si>
  <si>
    <t>animals decreased NH₄⁺, didn't increase it</t>
  </si>
  <si>
    <t xml:space="preserve">they had no limpet vs limpet vs dead limpet, looked at algal growth on shell over time. i took after - before. Spectral imaging so had more than one sp of algae. but the control and the dead limpet were exactly the same so it doesn't matter which control I use. Background from same location (bay of brest) = https://www.int-res.com/articles/meps/161/m161p213.pdf Same value from https://aslopubs-onlinelibrary-wiley-com.proxy.lib.sfu.ca/doi/pdfdirect/10.4319/lo.2006.51.1_part_2.0591 </t>
  </si>
  <si>
    <t>Chaetoceros + jellyfish</t>
  </si>
  <si>
    <t>Thalassiosira + jellyfish</t>
  </si>
  <si>
    <t>Thalassiosira control</t>
  </si>
  <si>
    <t>Chaetoceros control</t>
  </si>
  <si>
    <t>-17.482345, -149.839344</t>
  </si>
  <si>
    <t>symbiont density during recovery. fish vs no fish. Could also get after - before instead. They had a heat wave event but that's in the other sheet. Background from https://www.publish.csiro.au/mf/pdf/MF9830835</t>
  </si>
  <si>
    <t>symbiont density during "heat wave". fish vs no fish. Could also get after - before instead. They had a heat wave event but that's in the other sheet. Background from https://www.publish.csiro.au/mf/pdf/MF9830835</t>
  </si>
  <si>
    <t>Fig. 3b</t>
  </si>
  <si>
    <t>Fig. 3c</t>
  </si>
  <si>
    <t>Fig. 3k</t>
  </si>
  <si>
    <t>Fig. 3l</t>
  </si>
  <si>
    <t>chl a after - before</t>
  </si>
  <si>
    <t xml:space="preserve">symbiont density after - before </t>
  </si>
  <si>
    <t>og_extra</t>
  </si>
  <si>
    <t>og</t>
  </si>
  <si>
    <t>extra</t>
  </si>
  <si>
    <t>time_point</t>
  </si>
  <si>
    <t>before_after_avail</t>
  </si>
  <si>
    <t>meas_type</t>
  </si>
  <si>
    <t>pop</t>
  </si>
  <si>
    <t>perf</t>
  </si>
  <si>
    <t>time</t>
  </si>
  <si>
    <t>inst</t>
  </si>
  <si>
    <t>duration_days</t>
  </si>
  <si>
    <t>inst_time</t>
  </si>
  <si>
    <t>acclimation for 7 days, then 2 weeks of increasing temps and 15 days at temp (29 days), and then temp back down to ambient over 8 days and maintained for 20 more days (28). So the "recovery" timepoint would be after 64 days</t>
  </si>
  <si>
    <t>acclimation for 7 days, then 2 weeks of increasing temps and 15 days at temp (29 days), and then temp back down to ambient over 8 days and maintained for 20 more days (28). So the "stress" timepoint would be after 36 days</t>
  </si>
  <si>
    <t>built reefs and then took measurements 1003 days later. I think hole punch was done June - August?</t>
  </si>
  <si>
    <t>built reefs and then took measurements 1003 days later? No before and after</t>
  </si>
  <si>
    <t>16 months. Outplanted 25 cm diameter plugs and then measured area after 16 months. I calculated after - before from this. initial area was 0.04908739 m2</t>
  </si>
  <si>
    <t>16 months, but don't report biomass before</t>
  </si>
  <si>
    <t>just measured seagrass in plots, no before vs after</t>
  </si>
  <si>
    <t>hole punch</t>
  </si>
  <si>
    <t>built reefs and then took measurements x days later? But didn't take before or after</t>
  </si>
  <si>
    <t>built reefs and then took measurements x days later?</t>
  </si>
  <si>
    <t>measured coral length over 15 weks</t>
  </si>
  <si>
    <t>natural grunt gradient, did outplant but also just measured % cover of pps at end of transplant study</t>
  </si>
  <si>
    <t>natural sponge on seagrass but did measure growth. Hole punch method so idk if "before" is just 0, and therefore growth is the same as a final measurement</t>
  </si>
  <si>
    <t>nubbins outplanted</t>
  </si>
  <si>
    <t>put sponges on algae in field for 4 weeks</t>
  </si>
  <si>
    <t>reefs were out for 16 months,measured seagrass metrics before and after. But when they measured net aboveground T. testudinum production they marked seagrass and then collected it 10-14 days later</t>
  </si>
  <si>
    <t>reefs were out for 16 months, measured seagrass metrics before and after but seemingly only reported the after measurements. But when they measured net aboveground T. testudinum production they marked seagrass and then collected it 10-14 days later</t>
  </si>
  <si>
    <t>reefs build march 2009, growth rate estimated Aug 2011. holepunch so no before measurement</t>
  </si>
  <si>
    <t>measured natural pp % cover</t>
  </si>
  <si>
    <t>measured endosymbiont density 3 times over 5 years. I report each measurement per cave per year</t>
  </si>
  <si>
    <t>measured endosymbiont density 4 times over 5 years. I report each measurement per cave per year</t>
  </si>
  <si>
    <t>chl after 2 days</t>
  </si>
  <si>
    <t>chl after 3 days</t>
  </si>
  <si>
    <t>chl after 4 days</t>
  </si>
  <si>
    <t>chl after 5 days</t>
  </si>
  <si>
    <t>chl after 6 days</t>
  </si>
  <si>
    <t>Measured pp each day for 6 days. Each row is one inst measure. Could do after - before</t>
  </si>
  <si>
    <t>just measured % cover of natural algae pops</t>
  </si>
  <si>
    <t>grew algae over time</t>
  </si>
  <si>
    <t>algae on bare rock vs mussel vs mussel mimic over 7 weeks</t>
  </si>
  <si>
    <t>9 weeks</t>
  </si>
  <si>
    <t>4 weeks/30 days</t>
  </si>
  <si>
    <t>grew coral nubbins 30 days</t>
  </si>
  <si>
    <t>hole punch over 1 week</t>
  </si>
  <si>
    <t>just sampled natural eelgrass beds</t>
  </si>
  <si>
    <t>density after 2 weeks. Could get after - before</t>
  </si>
  <si>
    <t>density after 4 weeks</t>
  </si>
  <si>
    <t>density after 6 weeks</t>
  </si>
  <si>
    <t>density after 8 weeks</t>
  </si>
  <si>
    <t>tagged fronds and measured growth 2 weeks later</t>
  </si>
  <si>
    <r>
      <t xml:space="preserve">set up plots sept 1996, ended experiment sept 1997. measured seagrass may - sept 1997. I'm reporting </t>
    </r>
    <r>
      <rPr>
        <b/>
        <sz val="12"/>
        <color theme="1"/>
        <rFont val="Calibri"/>
        <family val="2"/>
        <scheme val="minor"/>
      </rPr>
      <t>duration of the growth measures</t>
    </r>
  </si>
  <si>
    <t>marked shoots, let them grow for 10-14 days then harvested them</t>
  </si>
  <si>
    <t>measured O2 production after 1.5 hours = 0.0625 of a day. Inst?</t>
  </si>
  <si>
    <t>counted cells until a replicate reached stationary phase, this usually happened ~ day 6. I think they only report final cell density, and don't say initial, so I don't think I can get a growth rate from this</t>
  </si>
  <si>
    <t>counted cells until a replicate reached stationary phase, this usually happened ~ day 6</t>
  </si>
  <si>
    <t>measured respiration/pp for 24 hours</t>
  </si>
  <si>
    <t>growth rate, not sure duration. Culture until stationary phase</t>
  </si>
  <si>
    <t xml:space="preserve"> Put coverslips in pools for 2 weeks. Before = 0, so growth is the same as after - before</t>
  </si>
  <si>
    <t>measured algae area at 0, 6, and 10 weeks. I calculated after - before</t>
  </si>
  <si>
    <t>just looked at natural mangrove aboveground biomass on islands w/wo birds</t>
  </si>
  <si>
    <t>artificial reefs constructed in 2010, experiment started July 2015 and ended May 2016</t>
  </si>
  <si>
    <t xml:space="preserve"> cells counted at end, inst? artificial reefs constructed in 2010, experiment started July 2015 and ended May 2016.</t>
  </si>
  <si>
    <t xml:space="preserve"> cells counted at end, inst? artificial reefs constructed in 2010, experiment started July 2015 and ended May 2016</t>
  </si>
  <si>
    <t>percent shoot density change from Aug - Sept</t>
  </si>
  <si>
    <t>percent patch area change from June - Sept</t>
  </si>
  <si>
    <t>mean over all sampling trips</t>
  </si>
  <si>
    <t>measured growth over 4 months, but did that 3 times and took mean growth from that</t>
  </si>
  <si>
    <t>8 days, but chl a measured at end</t>
  </si>
  <si>
    <t>after 14 days, could get after - before</t>
  </si>
  <si>
    <t>after 17 days</t>
  </si>
  <si>
    <t>after 20 days</t>
  </si>
  <si>
    <t>after 24 days</t>
  </si>
  <si>
    <t>after 34 days</t>
  </si>
  <si>
    <t>measured this over time, this is last measurement</t>
  </si>
  <si>
    <t>measured this over 10 days, this is day 14-24</t>
  </si>
  <si>
    <t>measured this over 10 days, this is day 24-34</t>
  </si>
  <si>
    <t>leaf growth measured last 3 weeks</t>
  </si>
  <si>
    <t>rhizomes marked at beginning and weighed at end = 42 days. Beginning = 0, so end is growth and end</t>
  </si>
  <si>
    <t>whole experiment was 6 weeks (42) days</t>
  </si>
  <si>
    <t>growth. Experiment was 6 weeks but I think they measured growth over last 3 weeks. I think before = 0, so growth = endpoint</t>
  </si>
  <si>
    <t>growth. rhizomes marked at beginning and weighed at end = 42 days. I think before = 0, so growth = endpoint</t>
  </si>
  <si>
    <t>5 weeks, before = 0, so growth is the same as after - before</t>
  </si>
  <si>
    <t xml:space="preserve">phytoplankton in a bottle for 72 hours, no before chl a so not a growth rate. </t>
  </si>
  <si>
    <t>punched shoots 7 days before starting treatments, and shoots grew for 16-17 days after treatments were administered</t>
  </si>
  <si>
    <t>grew for 16-17 days after treatments started</t>
  </si>
  <si>
    <t>allowed eelgrass to acclimate to treatments for 8 days before hole punching shoots and each shoot was allowed to grow for approximately 11-12 days after hole punching.</t>
  </si>
  <si>
    <t>grew for 11-12 days after treatments started</t>
  </si>
  <si>
    <t>22 June – 20 July 2023</t>
  </si>
  <si>
    <t>experiment over 2 weeks, measured chla at beginning and end</t>
  </si>
  <si>
    <t>duration_comments</t>
  </si>
  <si>
    <t>last</t>
  </si>
  <si>
    <t>mid</t>
  </si>
  <si>
    <t>Derksen-Hooijberg et al 2017</t>
  </si>
  <si>
    <t>mussel</t>
  </si>
  <si>
    <t>last time point</t>
  </si>
  <si>
    <t>final area of clonal outgrowth of cordgrass (m2) with mussels vs without</t>
  </si>
  <si>
    <t>NPP from 11-12</t>
  </si>
  <si>
    <t>NPP from 12-13</t>
  </si>
  <si>
    <t>NPP from 13-14</t>
  </si>
  <si>
    <t>NPP from 14-15</t>
  </si>
  <si>
    <t>NPP from 10:00-11:00</t>
  </si>
  <si>
    <t>summed total NPP over day, does that count as time</t>
  </si>
  <si>
    <t>just NPP over an hour</t>
  </si>
  <si>
    <t>day 1 chl a</t>
  </si>
  <si>
    <t>day 2 chl a</t>
  </si>
  <si>
    <t>day 3 chl a</t>
  </si>
  <si>
    <t>day 4 chl a</t>
  </si>
  <si>
    <t xml:space="preserve">means are mean phytoplankton density  over the course of the experiment (5 days). no effect of day so they avged it. </t>
  </si>
  <si>
    <t>day 1 phyto den</t>
  </si>
  <si>
    <t>day 2 phyto den</t>
  </si>
  <si>
    <t>day 3 phyto den</t>
  </si>
  <si>
    <t>day 4 phyto den</t>
  </si>
  <si>
    <t>Cherif 2016</t>
  </si>
  <si>
    <t>day</t>
  </si>
  <si>
    <t>ref station</t>
  </si>
  <si>
    <t>oyster farm</t>
  </si>
  <si>
    <t>chlorophyll a</t>
  </si>
  <si>
    <t>phytoplankton</t>
  </si>
  <si>
    <t>phyto</t>
  </si>
  <si>
    <t>last - first chl a</t>
  </si>
  <si>
    <t>last - first chl a values over the course of the experiment (5 days). It’s a 2 way fully factorial ANOVA, farm site and ref site each had + mussel pee and - mussel pee. Our treatment is the farm site + pee and the control is ref site - pee. Nh4 measured in water n = 6, nitrate and nitrite presented together n = 15. temp from (same lagoon, also oysters, just averaged august temps from both available years) https://www.mdpi.com/2077-1312/8/6/382/htm</t>
  </si>
  <si>
    <t>Fig.4A</t>
  </si>
  <si>
    <t>Fig.4B</t>
  </si>
  <si>
    <t>phytoplankton density after - before 5 days</t>
  </si>
  <si>
    <t>phyto density after - before</t>
  </si>
  <si>
    <t>I think I need to get rid of this row and just keep either the growth or the multi time points</t>
  </si>
  <si>
    <t xml:space="preserve"> 5 years</t>
  </si>
  <si>
    <t>algal biomass on shell at last time point</t>
  </si>
  <si>
    <t>chl after - before</t>
  </si>
  <si>
    <t>chl a again I think the left one is wrong</t>
  </si>
  <si>
    <t>after - before</t>
  </si>
  <si>
    <t xml:space="preserve">concentration of diatom Chaetoceros after - before </t>
  </si>
  <si>
    <t>concentration of diatom Thalassiosira after - before</t>
  </si>
  <si>
    <t>just endpoint</t>
  </si>
  <si>
    <t>thallus area at the end of 16 days of seaweed on rock vs on mussels</t>
  </si>
  <si>
    <t>1 year. Before = 0 so after = growth</t>
  </si>
  <si>
    <t>nubbin weight at end of 30 days</t>
  </si>
  <si>
    <t xml:space="preserve">coral buoyant weight at end of experiment. Growth from fig 4 + 12.15 g starting weight. fish vs no fish. </t>
  </si>
  <si>
    <t>just sampled natural eelgrass beds. no point in trying to convert this to after - before all metrics declined over the sampling period it would all be negative</t>
  </si>
  <si>
    <t>sd+mean</t>
  </si>
  <si>
    <t>after - before density</t>
  </si>
  <si>
    <t>8 weeks. They show regeneration over time but it's relative to the starting measure, so "initial" = 1 which isn't really a starting value</t>
  </si>
  <si>
    <t>percent increase so I don't really have day 1</t>
  </si>
  <si>
    <t>leaf per shoot sept 1997</t>
  </si>
  <si>
    <t>leaf # per shoot at last time point</t>
  </si>
  <si>
    <t>leaf width at last time point</t>
  </si>
  <si>
    <t>leaf length (mm) at last time point</t>
  </si>
  <si>
    <t>May. production (g DW per day per shoot). One line per time point. This is just the 0 mussel vs 1500 mussels per m2. We're ignoring the intermediate mussel treatment. Reports max nitrate at 3, but 1.4 = avg from  https://aslopubs.onlinelibrary.wiley.com/doi/epdf/10.4319/lo.2000.45.5.1041.       Temperature from https://www.int-res.com/articles/meps2020/639/m639p037.pdf</t>
  </si>
  <si>
    <t>June. production (g DW per day per shoot). One line per time point. This is just the 0 mussel vs 1500 mussels per m2. We're ignoring the intermediate mussel treatment. Reports max nitrate at 3, but 1.4 = avg from  https://aslopubs.onlinelibrary.wiley.com/doi/epdf/10.4319/lo.2000.45.5.1041.       Temperature from https://www.int-res.com/articles/meps2020/639/m639p037.pdf</t>
  </si>
  <si>
    <t>July. production (g DW per day per shoot). One line per time point. This is just the 0 mussel vs 1500 mussels per m2. We're ignoring the intermediate mussel treatment. Reports max nitrate at 3, but 1.4 = avg from  https://aslopubs.onlinelibrary.wiley.com/doi/epdf/10.4319/lo.2000.45.5.1041.       Temperature from https://www.int-res.com/articles/meps2020/639/m639p037.pdf</t>
  </si>
  <si>
    <t>August.production (g DW per day per shoot). One line per time point. This is just the 0 mussel vs 1500 mussels per m2. We're ignoring the intermediate mussel treatment. Reports max nitrate at 3, but 1.4 = avg from  https://aslopubs.onlinelibrary.wiley.com/doi/epdf/10.4319/lo.2000.45.5.1041.       Temperature from https://www.int-res.com/articles/meps2020/639/m639p037.pdf</t>
  </si>
  <si>
    <t>marked shoots, let them grow for 10-14 days then harvested them. holepunch, don't know what starting values were</t>
  </si>
  <si>
    <t xml:space="preserve">Change in leaf length (mm). This is just the 0 mussel vs 1500 mussels per m2. </t>
  </si>
  <si>
    <t xml:space="preserve">change in leaf width (mm) This is just the 0 mussel vs 1500 mussels per m2. </t>
  </si>
  <si>
    <t>September. production (g DW per day per shoot). One line per time point. This is just the 0 mussel vs 1500 mussels per m2. Also measured epiphytes but that seems confounded with grazers?</t>
  </si>
  <si>
    <t>Fig.6a</t>
  </si>
  <si>
    <t>change in epiphytes over 4 months, measured may, june, july, aug, sept</t>
  </si>
  <si>
    <t xml:space="preserve">change epiphyte biomass per gram of leaf tissue. Measured monthly may - sept. this is after - before. </t>
  </si>
  <si>
    <t>epiphytes after 4 months, just taking the last measurement (sept)</t>
  </si>
  <si>
    <t>epiphyte biomass per gram of leaf tissue. this is last measurement</t>
  </si>
  <si>
    <t>started Aug 13, 1991 and ended July 15, 1992. took intermediate measurements too but don't present these. Results presented as growth rates, no before/after</t>
  </si>
  <si>
    <t>dec 1980 - aug 1981</t>
  </si>
  <si>
    <t>1979-1980</t>
  </si>
  <si>
    <t>1980-1981</t>
  </si>
  <si>
    <t>2nd measuring period. growth of fingers of corals (wet weight CaCO3 deposited) on same head from Dec 1980to Aug 1981. One head = no fish, one = fish. Measured them again over a second period (next row). Measured NH4 in coral heads but also measured excretion rates to estimate nh4 delivery. 2.4 +- 0.7 mM nh4/m2/day esimated. temp from https://www.ingentaconnect.com/content/umrsmas/bullmar/2011/00000087/00000003/art00004#</t>
  </si>
  <si>
    <t>stained coral heads and came back a year later (dec 1979-1980). Before = 0, so growth is the same as after - before</t>
  </si>
  <si>
    <t>just final area (cm^2). Background_nut = ammonium + nitrate + nitrite presented in Fig. 1 for August 2005</t>
  </si>
  <si>
    <t>final area after 10 weeks</t>
  </si>
  <si>
    <t>belowground biomass in (g) between plots planted with seagrass seeds vs seeds and clams after . Temp from https://link.springer.com/content/pdf/10.1007/BF00341470.pdf</t>
  </si>
  <si>
    <t>6 months</t>
  </si>
  <si>
    <t>seagrass seeds outplanted early Dec 2017, plots dug up end of May 2018 = 6 months. Area shown as % change</t>
  </si>
  <si>
    <t>Zooxanthellae cells/cm2 (not averaged to tissue mass) in corals with and without grunts in situ. This is the mean over multiple sampling visits. They also present cell count/mg tissue. This is cells/cm2</t>
  </si>
  <si>
    <t>Tissue dry weight (mg/cm2) of corals with and without grunts. mean over all sampling trips. Background from Meyer, nh4 addition estimated 400 umol/L per year, I converted it to umol/L/day</t>
  </si>
  <si>
    <t>growth over 3 years = 1007 days, but each measurement period was about a year. Avg time period between measurements was 398.95</t>
  </si>
  <si>
    <t>measured coral planar area for 3 years on islands with vs without seabirds. Growth is cm^2/year. Mean growth = avg growth per year across all years. Background nutrients from ocean cruises around the area. It looks like one station was at chagos so I used nitrate concentration from there. Bn proxy: https://bg.copernicus.org/articles/16/2715/2019/bg-16-2715-2019.html           temp from https://www.frontiersin.org/journals/marine-science/articles/10.3389/fmars.2021.671319/full#T2</t>
  </si>
  <si>
    <t>reciprocal transplant. Using rat/rat as control and bird/bird as treatment = most extreme treatments. measured coral planar area in May 2018, revisited March 2019, March 2020, April-May 2021 on islands with vs without seabirds. 3 years total. took mean growth over all measurements of growth</t>
  </si>
  <si>
    <t>measured coral planar area for 3 years on islands with vs without seabirds. Growth is cm^2/year. This is mean planar area in 2021 = last measurement. Background nutrients from ocean cruises around the area. It looks like one station was at chagos so I used nitrate concentration from there. Bn proxy: https://bg.copernicus.org/articles/16/2715/2019/bg-16-2715-2019.html           temp from https://www.frontiersin.org/journals/marine-science/articles/10.3389/fmars.2021.671319/full#T2</t>
  </si>
  <si>
    <t xml:space="preserve">reciprocal transplant. Using rat/rat as control and bird/bird as treatment = most extreme treatments. This is mean planar area in 2021 = last measurement. </t>
  </si>
  <si>
    <t>growth over 3 years = 1007 days, this is just the final</t>
  </si>
  <si>
    <t>growth over 3 years = 1007 days, but each measurement period was about a year. Avg time period between measurements was 346.2895</t>
  </si>
  <si>
    <t>2 years of growth! Measured growth per year over 2 years</t>
  </si>
  <si>
    <t xml:space="preserve"> </t>
  </si>
  <si>
    <t>after - before 34 days</t>
  </si>
  <si>
    <t>change in symbiont density over 43 days</t>
  </si>
  <si>
    <t>Shantz 2023</t>
  </si>
  <si>
    <t>symbiont density</t>
  </si>
  <si>
    <t xml:space="preserve">Leaf biomass at end of experiment in grams of dry weight. Clams and seagrass in sediment. </t>
  </si>
  <si>
    <t xml:space="preserve">Number of leaves per shoot at end of experiment. Clams and seagrass in sediment. </t>
  </si>
  <si>
    <t xml:space="preserve">Leaf elongation in cm2/day. This is the after - before that goes with the final measurement above. Clams and seagrass in sediment. </t>
  </si>
  <si>
    <t>whole experiment was 6 weeks (42) days. But they give both final values and also growth rates for same metrics so we should only use one or the other</t>
  </si>
  <si>
    <t>coral tissue biomass during recovery (jus the endpoint measurement)</t>
  </si>
  <si>
    <t>coral tissue biomass during stress. I don’t think I need to keep this midpoint measure of biomass</t>
  </si>
  <si>
    <t>concentration of diatom Chaetoceros on day 3</t>
  </si>
  <si>
    <t>concentration of diatom Chaetoceros on day 6</t>
  </si>
  <si>
    <t>epiphytes</t>
  </si>
  <si>
    <t>NPP from 9:00-10:00. Measured NPP over the day, have NPP estimates for each time period. The oysters are "stocked" but the seagrass is unmanipulated. Water column ammonium, nitrate, and porewater ammonium</t>
  </si>
  <si>
    <t xml:space="preserve">site = MC. Measured coral circumference over 5 years near vs far from cave, I took last measurement - first measurement = growth. </t>
  </si>
  <si>
    <t>site = MC. Last measurement of coral circumference after 5 years near vs far from cave</t>
  </si>
  <si>
    <t>site = AFBH. Last measurement of coral circumference after 5 years near vs far from cave</t>
  </si>
  <si>
    <t>site = RC. Last measurement of coral circumference after 5 years near vs far from cave</t>
  </si>
  <si>
    <t>site = SSC. Last measurement of coral circumference after 5 years near vs far from cave</t>
  </si>
  <si>
    <t>endosymbiont density after - before after 5 years</t>
  </si>
  <si>
    <t>site = MC  zooxanthalle concentration after - before. 2005 - 2000</t>
  </si>
  <si>
    <t>site = AFBH,  zooxanthalle concentration after - before. 2005 - 2000</t>
  </si>
  <si>
    <t>site = RC,  zooxanthalle concentration after - before. 2005 - 2000</t>
  </si>
  <si>
    <t>site = SCC,  zooxanthalle concentration after - before. 2005 - 2000</t>
  </si>
  <si>
    <t>Supp Fig S8, coral zooxanthellae before - after</t>
  </si>
  <si>
    <t>grow</t>
  </si>
  <si>
    <t>timepoint</t>
  </si>
  <si>
    <t>growth_inst</t>
  </si>
  <si>
    <t>SMSC = mussel poop + cukes. added from citation scanning. Had cores of sediment as control, added mussel poop (SM) or mussel poop and cukes (SMSC). Measured sediment chl a. they measured nutrient fluxes but I don't have the raw nutrient levels...https://www.tandfonline.com/doi/epdf/10.1080/00288330.1991.9516476?needAccess=true has temperature data, the paper reported field and lab water temps of 10 degrees which corresponds with August temperatures.  bn nitrate + nh4 converted from mg/m3 to uM. 1.05 uM nitrate + 0.85 uM nh4 = 1.9 from same site https://www.tandfonline.com/doi/abs/10.1080/00288330.1992.9516515</t>
  </si>
  <si>
    <t>nutrient-limited</t>
  </si>
  <si>
    <t>po4_treat</t>
  </si>
  <si>
    <t>po4_control</t>
  </si>
  <si>
    <t>n.p.ratio.treat</t>
  </si>
  <si>
    <t>n.p.ratio.cont</t>
  </si>
  <si>
    <t>po4</t>
  </si>
  <si>
    <t>pore_p_treat</t>
  </si>
  <si>
    <t>pore_p_control</t>
  </si>
  <si>
    <t>clonal outgrowth of cordgrass (m2) with mussels vs without. plots started at 0.04908739 m2, and then they present final area. I calculated after - before from this. Also did a disturbance experiement, on the other sheet. Porewater ammonium in mussel plots with grass vs no mussel plots with grass. Background is the ammonium in the just grass plot. phosphorus measured in P, not PO4. Temp from (measured temp over season and over years at basically same spot!) https://aslopubs.onlinelibrary.wiley.com/doi/epdf/10.4319/lo.2001.46.3.0573</t>
  </si>
  <si>
    <t>chl a after - before. also looked at another jelly that doesn't excrete waste bc it has internal phytoplankton. Jellies had similar top down but only this one did bottom up. I averaged the nh4 and NOx over the 6 days for this one. Po4 below detection limit (0.03) for all treatments</t>
  </si>
  <si>
    <t>Change in leaf # per shoot. Measurement in Sept - measurement in May. This is just the 0 mussel vs 1500 mussels per m2. We're ignoring the intermediate mussel treatment. Reports max nitrate at 3, but I  took the summer avg (nitrate = 0.228 + ammonium = 1.13). take max po4 as 0.2. https://aslopubs.onlinelibrary.wiley.com/doi/epdf/10.4319/lo.2000.45.5.1041       Temperature from https://www.int-res.com/articles/meps2020/639/m639p037.pdf but also https://aslopubs.onlinelibrary.wiley.com/doi/epdf/10.4319/lo.2000.45.5.1041</t>
  </si>
  <si>
    <t>growth of fingers of corals (wet weight CaCO3 deposited) on same head from Dec 1979 to Dec 1980. One head = no fish, one = fish. Measured them again over a second period (next row). Measured NH4 in coral heads but also measured excretion rates to estimate nh4 delivery. 2.4 +- 0.7 mM nh4/m2/day esimated. no change in po4 detected. temp from https://www.ingentaconnect.com/content/umrsmas/bullmar/2011/00000087/00000003/art00004#</t>
  </si>
  <si>
    <t xml:space="preserve">leaf area of seagrass (cm2/shoot) at end of experiment. Clams and seagrass in sediment. Also looked at contaminated sediment but I'm just using the control sediment. measured nut concentrations might be porewater. Or avg of above and below sediment nutrients. bn = NH4 + NOx at t0. i think it should actually be the water column nh4 + no3 = 10.89..... Just clams alone increased nh4 conc relative to initial conditions. but clams + seagrass had lower nh4 than seagrass alone. but i think the clams are still provisioning??? careful, because I think they present both the end values and the growth measures. eg. we get both leaf area and also leaf elongation. </t>
  </si>
  <si>
    <t>Growth in mg C/day. control = dead sponge, treatment = live sponge. Measured excretion of sponges, micrograms per litre per hour. Phosphate in controls below detection limit (&lt;0.03ug/L), converted to uM for background po4. Background from https://aslopubs.onlinelibrary.wiley.com/doi/epdf/10.4319/lo.2010.55.6.2660</t>
  </si>
  <si>
    <t>measured % algae on islands w/wo birds. serrated wrack. did estimate annual N input from bird poo. Temp proxy https://www.sciencedirect.com/science/article/pii/S0079661115000695 also looked at another paper and they also ballparked 13 degrees in the summer: https://onlinelibrary.wiley.com/doi/full/10.1111/gcb.12726.    bn: https://agupubs.onlinelibrary.wiley.com/doi/full/10.1029/2019JC015825.       both temp proxy papers and the bn paper are sort of general north sea oceanography</t>
  </si>
  <si>
    <t>pp_fine</t>
  </si>
  <si>
    <t>epiphyte</t>
  </si>
  <si>
    <t>fleshy</t>
  </si>
  <si>
    <t>turf</t>
  </si>
  <si>
    <t>calc</t>
  </si>
  <si>
    <t>epiphyte_turf</t>
  </si>
  <si>
    <t>epiphyte_calc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</si>
</sst>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2"/>
      <color rgb="FF000000"/>
      <name val="Arial"/>
      <family val="2"/>
    </font>
    <font>
      <b/>
      <sz val="11"/>
      <color rgb="FF000000"/>
      <name val="Calibri"/>
      <family val="2"/>
      <scheme val="minor"/>
    </font>
    <font>
      <sz val="11"/>
      <color rgb="FF000000"/>
      <name val="Calibri"/>
      <family val="2"/>
      <scheme val="minor"/>
    </font>
    <font>
      <sz val="12"/>
      <color rgb="FF000000"/>
      <name val="Calibri"/>
      <family val="2"/>
      <scheme val="minor"/>
    </font>
    <font>
      <sz val="14"/>
      <color rgb="FF555555"/>
      <name val="Helvetica"/>
      <family val="2"/>
    </font>
    <font>
      <u/>
      <sz val="12"/>
      <color theme="10"/>
      <name val="Calibri"/>
      <family val="2"/>
      <scheme val="minor"/>
    </font>
    <font>
      <b/>
      <sz val="12"/>
      <color theme="1"/>
      <name val="Calibri"/>
      <family val="2"/>
      <scheme val="minor"/>
    </font>
    <font>
      <sz val="10"/>
      <color theme="1"/>
      <name val="AdvTT5235d5a9"/>
    </font>
    <font>
      <sz val="8"/>
      <name val="Calibri"/>
      <family val="2"/>
      <scheme val="minor"/>
    </font>
    <font>
      <sz val="14"/>
      <color rgb="FF111111"/>
      <name val="Arial"/>
      <family val="2"/>
    </font>
    <font>
      <sz val="11"/>
      <color rgb="FF000000"/>
      <name val="Lucida Sans"/>
      <family val="2"/>
    </font>
    <font>
      <sz val="12"/>
      <name val="Calibri"/>
      <family val="2"/>
      <scheme val="minor"/>
    </font>
    <font>
      <sz val="12"/>
      <color theme="1"/>
      <name val="Aptos Narrow"/>
    </font>
    <font>
      <sz val="12"/>
      <color rgb="FF000000"/>
      <name val="Aptos Narrow"/>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F2CC"/>
        <bgColor rgb="FF000000"/>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applyAlignment="1">
      <alignment horizontal="left" vertical="center" indent="4"/>
    </xf>
    <xf numFmtId="0" fontId="2" fillId="0" borderId="0" xfId="0" applyFont="1" applyAlignment="1">
      <alignment vertical="center"/>
    </xf>
    <xf numFmtId="0" fontId="0" fillId="2" borderId="0" xfId="0" applyFill="1"/>
    <xf numFmtId="0" fontId="3" fillId="0" borderId="0" xfId="0" applyFont="1" applyAlignment="1">
      <alignment horizontal="left" vertical="center" indent="4"/>
    </xf>
    <xf numFmtId="0" fontId="4" fillId="0" borderId="0" xfId="0" applyFont="1"/>
    <xf numFmtId="0" fontId="5" fillId="0" borderId="0" xfId="0" applyFont="1"/>
    <xf numFmtId="0" fontId="6" fillId="0" borderId="0" xfId="1"/>
    <xf numFmtId="0" fontId="7" fillId="0" borderId="0" xfId="0" applyFont="1"/>
    <xf numFmtId="0" fontId="8" fillId="0" borderId="0" xfId="0" applyFont="1"/>
    <xf numFmtId="0" fontId="10" fillId="0" borderId="0" xfId="0" applyFont="1"/>
    <xf numFmtId="0" fontId="0" fillId="3" borderId="0" xfId="0" applyFill="1"/>
    <xf numFmtId="0" fontId="0" fillId="4" borderId="0" xfId="0" applyFill="1"/>
    <xf numFmtId="0" fontId="0" fillId="5" borderId="0" xfId="0" applyFill="1"/>
    <xf numFmtId="0" fontId="11" fillId="0" borderId="0" xfId="0" applyFont="1"/>
    <xf numFmtId="0" fontId="12" fillId="0" borderId="0" xfId="0" applyFont="1"/>
    <xf numFmtId="0" fontId="0" fillId="6" borderId="0" xfId="0" applyFill="1"/>
    <xf numFmtId="0" fontId="7" fillId="6" borderId="0" xfId="0" applyFont="1" applyFill="1"/>
    <xf numFmtId="17" fontId="0" fillId="0" borderId="0" xfId="0" applyNumberFormat="1"/>
    <xf numFmtId="0" fontId="0" fillId="0" borderId="0" xfId="0" applyAlignment="1">
      <alignment wrapText="1"/>
    </xf>
    <xf numFmtId="0" fontId="13" fillId="0" borderId="0" xfId="0" applyFont="1"/>
    <xf numFmtId="0" fontId="0" fillId="7" borderId="0" xfId="0" applyFill="1"/>
    <xf numFmtId="0" fontId="4" fillId="7" borderId="0" xfId="0" applyFont="1" applyFill="1"/>
    <xf numFmtId="0" fontId="0" fillId="8" borderId="0" xfId="0" applyFill="1"/>
    <xf numFmtId="0" fontId="0" fillId="9" borderId="0" xfId="0" applyFill="1"/>
    <xf numFmtId="0" fontId="0" fillId="0" borderId="0" xfId="0" quotePrefix="1"/>
    <xf numFmtId="0" fontId="0" fillId="10" borderId="0" xfId="0" applyFill="1"/>
    <xf numFmtId="49" fontId="0" fillId="0" borderId="0" xfId="0" applyNumberFormat="1"/>
    <xf numFmtId="0" fontId="14" fillId="0" borderId="0" xfId="0" applyFont="1"/>
    <xf numFmtId="0" fontId="0" fillId="11" borderId="0" xfId="0" applyFill="1"/>
    <xf numFmtId="0" fontId="4" fillId="11" borderId="0" xfId="0" applyFont="1" applyFill="1"/>
    <xf numFmtId="0" fontId="0" fillId="12" borderId="0" xfId="0" applyFill="1"/>
    <xf numFmtId="0" fontId="12" fillId="11" borderId="0" xfId="0" applyFont="1" applyFill="1"/>
    <xf numFmtId="49" fontId="0" fillId="11" borderId="0" xfId="0" applyNumberFormat="1" applyFill="1"/>
    <xf numFmtId="0" fontId="13" fillId="4" borderId="0" xfId="0" applyFont="1" applyFill="1"/>
    <xf numFmtId="0" fontId="0" fillId="11" borderId="0" xfId="0" quotePrefix="1" applyFill="1"/>
    <xf numFmtId="0" fontId="12" fillId="10" borderId="0" xfId="0" applyFont="1" applyFill="1"/>
    <xf numFmtId="0" fontId="0" fillId="13" borderId="0" xfId="0" applyFill="1"/>
    <xf numFmtId="0" fontId="12" fillId="13" borderId="0" xfId="0" applyFont="1" applyFill="1"/>
    <xf numFmtId="0" fontId="11" fillId="13" borderId="0" xfId="0" applyFont="1" applyFill="1"/>
    <xf numFmtId="0" fontId="12" fillId="1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github.com/baumlab/Claar_etal_2018_PLoSOne"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yumpu.com/en/document/read/37147068/combining-multiple-averaged-data-points-and-their-errors" TargetMode="External"/><Relationship Id="rId1" Type="http://schemas.openxmlformats.org/officeDocument/2006/relationships/hyperlink" Target="https://stats.stackexchange.com/questions/21104/calculate-average-of-a-set-numbers-with-reported-standard-err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E451-5807-5F48-890D-6AF5AC78FE37}">
  <dimension ref="A1:CR299"/>
  <sheetViews>
    <sheetView tabSelected="1" topLeftCell="W1" zoomScale="106" zoomScaleNormal="111" workbookViewId="0">
      <pane ySplit="1" topLeftCell="A139" activePane="bottomLeft" state="frozen"/>
      <selection activeCell="B1" sqref="B1"/>
      <selection pane="bottomLeft" activeCell="AG140" sqref="AG140"/>
    </sheetView>
  </sheetViews>
  <sheetFormatPr baseColWidth="10" defaultRowHeight="16"/>
  <cols>
    <col min="5" max="5" width="44.5" customWidth="1"/>
    <col min="9" max="9" width="12.1640625" customWidth="1"/>
    <col min="24" max="24" width="20.33203125" customWidth="1"/>
    <col min="40" max="40" width="15.33203125" customWidth="1"/>
    <col min="41" max="41" width="13.83203125" bestFit="1" customWidth="1"/>
    <col min="44" max="44" width="15.1640625" bestFit="1" customWidth="1"/>
    <col min="45" max="46" width="12.6640625" bestFit="1" customWidth="1"/>
    <col min="48" max="48" width="13.1640625" bestFit="1" customWidth="1"/>
    <col min="72" max="72" width="12.33203125" bestFit="1" customWidth="1"/>
    <col min="78" max="78" width="14.6640625" bestFit="1" customWidth="1"/>
    <col min="82" max="82" width="18.5" customWidth="1"/>
    <col min="83" max="83" width="17" customWidth="1"/>
    <col min="88" max="94" width="10.83203125" style="38"/>
    <col min="95" max="95" width="17.33203125" customWidth="1"/>
  </cols>
  <sheetData>
    <row r="1" spans="1:96">
      <c r="A1" t="s">
        <v>1055</v>
      </c>
      <c r="B1" t="s">
        <v>0</v>
      </c>
      <c r="C1" t="s">
        <v>1</v>
      </c>
      <c r="D1" t="s">
        <v>11</v>
      </c>
      <c r="E1" t="s">
        <v>2</v>
      </c>
      <c r="F1" t="s">
        <v>4</v>
      </c>
      <c r="G1" t="s">
        <v>3</v>
      </c>
      <c r="H1" t="s">
        <v>1351</v>
      </c>
      <c r="I1" t="s">
        <v>280</v>
      </c>
      <c r="J1" t="s">
        <v>283</v>
      </c>
      <c r="K1" t="s">
        <v>284</v>
      </c>
      <c r="L1" t="s">
        <v>6</v>
      </c>
      <c r="M1" t="s">
        <v>268</v>
      </c>
      <c r="N1" t="s">
        <v>350</v>
      </c>
      <c r="O1" t="s">
        <v>285</v>
      </c>
      <c r="P1" t="s">
        <v>286</v>
      </c>
      <c r="Q1" t="s">
        <v>5</v>
      </c>
      <c r="R1" t="s">
        <v>326</v>
      </c>
      <c r="S1" t="s">
        <v>533</v>
      </c>
      <c r="T1" t="s">
        <v>329</v>
      </c>
      <c r="U1" t="s">
        <v>1058</v>
      </c>
      <c r="V1" t="s">
        <v>351</v>
      </c>
      <c r="W1" t="s">
        <v>528</v>
      </c>
      <c r="X1" t="s">
        <v>308</v>
      </c>
      <c r="Y1" t="s">
        <v>529</v>
      </c>
      <c r="Z1" t="s">
        <v>274</v>
      </c>
      <c r="AA1" t="s">
        <v>275</v>
      </c>
      <c r="AB1" t="s">
        <v>276</v>
      </c>
      <c r="AC1" t="s">
        <v>277</v>
      </c>
      <c r="AD1" t="s">
        <v>312</v>
      </c>
      <c r="AE1" t="s">
        <v>569</v>
      </c>
      <c r="AF1" t="s">
        <v>7</v>
      </c>
      <c r="AG1" t="s">
        <v>1899</v>
      </c>
      <c r="AH1" t="s">
        <v>8</v>
      </c>
      <c r="AI1" t="s">
        <v>9</v>
      </c>
      <c r="AJ1" t="s">
        <v>1420</v>
      </c>
      <c r="AK1" t="s">
        <v>287</v>
      </c>
      <c r="AL1" t="s">
        <v>356</v>
      </c>
      <c r="AM1" t="s">
        <v>352</v>
      </c>
      <c r="AN1" t="s">
        <v>1126</v>
      </c>
      <c r="AO1" t="s">
        <v>313</v>
      </c>
      <c r="AP1" t="s">
        <v>353</v>
      </c>
      <c r="AQ1" t="s">
        <v>1675</v>
      </c>
      <c r="AR1" t="s">
        <v>315</v>
      </c>
      <c r="AS1" t="s">
        <v>318</v>
      </c>
      <c r="AT1" t="s">
        <v>543</v>
      </c>
      <c r="AU1" t="s">
        <v>848</v>
      </c>
      <c r="AV1" t="s">
        <v>316</v>
      </c>
      <c r="AW1" t="s">
        <v>319</v>
      </c>
      <c r="AX1" t="s">
        <v>544</v>
      </c>
      <c r="AY1" t="s">
        <v>354</v>
      </c>
      <c r="AZ1" t="s">
        <v>1676</v>
      </c>
      <c r="BA1" t="s">
        <v>1682</v>
      </c>
      <c r="BB1" t="s">
        <v>1681</v>
      </c>
      <c r="BC1" t="s">
        <v>1671</v>
      </c>
      <c r="BD1" t="s">
        <v>1674</v>
      </c>
      <c r="BE1" t="s">
        <v>1882</v>
      </c>
      <c r="BF1" t="s">
        <v>1105</v>
      </c>
      <c r="BG1" t="s">
        <v>1107</v>
      </c>
      <c r="BH1" t="s">
        <v>1106</v>
      </c>
      <c r="BI1" t="s">
        <v>1108</v>
      </c>
      <c r="BJ1" t="s">
        <v>1113</v>
      </c>
      <c r="BK1" t="s">
        <v>1114</v>
      </c>
      <c r="BL1" t="s">
        <v>1115</v>
      </c>
      <c r="BM1" t="s">
        <v>1116</v>
      </c>
      <c r="BN1" t="s">
        <v>1132</v>
      </c>
      <c r="BO1" t="s">
        <v>1133</v>
      </c>
      <c r="BP1" t="s">
        <v>1120</v>
      </c>
      <c r="BQ1" t="s">
        <v>1121</v>
      </c>
      <c r="BR1" t="s">
        <v>1122</v>
      </c>
      <c r="BS1" t="s">
        <v>1123</v>
      </c>
      <c r="BT1" t="s">
        <v>1181</v>
      </c>
      <c r="BU1" t="s">
        <v>1182</v>
      </c>
      <c r="BV1" t="s">
        <v>1183</v>
      </c>
      <c r="BW1" t="s">
        <v>1184</v>
      </c>
      <c r="BX1" t="s">
        <v>1125</v>
      </c>
      <c r="BY1" t="s">
        <v>1199</v>
      </c>
      <c r="BZ1" t="s">
        <v>1224</v>
      </c>
      <c r="CA1" t="s">
        <v>1130</v>
      </c>
      <c r="CB1" t="s">
        <v>1211</v>
      </c>
      <c r="CC1" t="s">
        <v>1212</v>
      </c>
      <c r="CD1" t="s">
        <v>1213</v>
      </c>
      <c r="CE1" t="s">
        <v>1214</v>
      </c>
      <c r="CF1" t="s">
        <v>1229</v>
      </c>
      <c r="CG1" t="s">
        <v>1215</v>
      </c>
      <c r="CH1" t="s">
        <v>1216</v>
      </c>
      <c r="CI1" t="s">
        <v>1220</v>
      </c>
      <c r="CJ1" s="38" t="s">
        <v>1885</v>
      </c>
      <c r="CK1" s="38" t="s">
        <v>1886</v>
      </c>
      <c r="CL1" s="38" t="s">
        <v>1887</v>
      </c>
      <c r="CM1" s="38" t="s">
        <v>1888</v>
      </c>
      <c r="CN1" s="38" t="s">
        <v>1890</v>
      </c>
      <c r="CO1" s="38" t="s">
        <v>1891</v>
      </c>
      <c r="CP1" s="38" t="s">
        <v>1889</v>
      </c>
      <c r="CQ1" t="s">
        <v>1762</v>
      </c>
      <c r="CR1" t="s">
        <v>10</v>
      </c>
    </row>
    <row r="2" spans="1:96">
      <c r="A2">
        <v>1</v>
      </c>
      <c r="B2">
        <v>1</v>
      </c>
      <c r="C2">
        <v>1</v>
      </c>
      <c r="D2" t="s">
        <v>21</v>
      </c>
      <c r="E2" t="s">
        <v>22</v>
      </c>
      <c r="F2" t="s">
        <v>23</v>
      </c>
      <c r="G2">
        <v>2019</v>
      </c>
      <c r="H2" t="s">
        <v>422</v>
      </c>
      <c r="I2" t="s">
        <v>423</v>
      </c>
      <c r="J2">
        <v>-17.099755999999999</v>
      </c>
      <c r="K2">
        <v>179.09374099999999</v>
      </c>
      <c r="L2" t="s">
        <v>373</v>
      </c>
      <c r="M2" t="s">
        <v>374</v>
      </c>
      <c r="N2" t="s">
        <v>594</v>
      </c>
      <c r="O2" t="s">
        <v>288</v>
      </c>
      <c r="P2" t="s">
        <v>289</v>
      </c>
      <c r="Q2" t="s">
        <v>291</v>
      </c>
      <c r="R2" t="s">
        <v>558</v>
      </c>
      <c r="S2" t="s">
        <v>717</v>
      </c>
      <c r="T2" t="s">
        <v>331</v>
      </c>
      <c r="U2">
        <v>2</v>
      </c>
      <c r="V2" t="s">
        <v>597</v>
      </c>
      <c r="W2" t="s">
        <v>596</v>
      </c>
      <c r="X2" t="s">
        <v>340</v>
      </c>
      <c r="Y2" t="s">
        <v>311</v>
      </c>
      <c r="Z2" t="s">
        <v>563</v>
      </c>
      <c r="AA2" t="s">
        <v>303</v>
      </c>
      <c r="AB2" t="s">
        <v>311</v>
      </c>
      <c r="AC2" t="s">
        <v>311</v>
      </c>
      <c r="AD2" t="s">
        <v>292</v>
      </c>
      <c r="AE2" t="s">
        <v>598</v>
      </c>
      <c r="AF2" t="s">
        <v>304</v>
      </c>
      <c r="AH2" t="s">
        <v>305</v>
      </c>
      <c r="AI2" t="s">
        <v>547</v>
      </c>
      <c r="AJ2" t="s">
        <v>592</v>
      </c>
      <c r="AK2" t="s">
        <v>317</v>
      </c>
      <c r="AL2" t="s">
        <v>599</v>
      </c>
      <c r="AM2" t="s">
        <v>1059</v>
      </c>
      <c r="AN2" t="s">
        <v>1275</v>
      </c>
      <c r="AO2" t="s">
        <v>1283</v>
      </c>
      <c r="AP2" t="s">
        <v>614</v>
      </c>
      <c r="AQ2" t="s">
        <v>887</v>
      </c>
      <c r="AR2">
        <v>15.29</v>
      </c>
      <c r="AS2">
        <v>0.35</v>
      </c>
      <c r="AT2" t="s">
        <v>311</v>
      </c>
      <c r="AU2">
        <v>18</v>
      </c>
      <c r="AV2">
        <v>5.08</v>
      </c>
      <c r="AW2">
        <v>0.27</v>
      </c>
      <c r="AX2" t="s">
        <v>311</v>
      </c>
      <c r="AY2">
        <v>18</v>
      </c>
      <c r="AZ2" t="s">
        <v>1055</v>
      </c>
      <c r="BA2" t="s">
        <v>1679</v>
      </c>
      <c r="BB2">
        <v>365</v>
      </c>
      <c r="BC2" t="s">
        <v>1672</v>
      </c>
      <c r="BD2" t="s">
        <v>311</v>
      </c>
      <c r="BE2" t="s">
        <v>1880</v>
      </c>
      <c r="BF2">
        <v>1.1869999999999998</v>
      </c>
      <c r="BG2">
        <v>0.23031596654258346</v>
      </c>
      <c r="BH2">
        <v>0.69499999999999995</v>
      </c>
      <c r="BI2">
        <v>0.20061710351368905</v>
      </c>
      <c r="BJ2">
        <v>6.0359999999999996</v>
      </c>
      <c r="BK2">
        <v>0.90087973099999996</v>
      </c>
      <c r="BL2">
        <v>0.37</v>
      </c>
      <c r="BM2">
        <v>0.136950924</v>
      </c>
      <c r="BN2">
        <v>5</v>
      </c>
      <c r="BO2">
        <v>5</v>
      </c>
      <c r="BP2" t="s">
        <v>311</v>
      </c>
      <c r="BQ2" t="s">
        <v>311</v>
      </c>
      <c r="BR2" t="s">
        <v>311</v>
      </c>
      <c r="BS2" t="s">
        <v>311</v>
      </c>
      <c r="BT2" t="s">
        <v>311</v>
      </c>
      <c r="BU2" t="s">
        <v>311</v>
      </c>
      <c r="BV2" t="s">
        <v>311</v>
      </c>
      <c r="BW2" t="s">
        <v>311</v>
      </c>
      <c r="BX2" t="s">
        <v>1126</v>
      </c>
      <c r="BY2" t="s">
        <v>1203</v>
      </c>
      <c r="BZ2">
        <v>1.0649999999999999</v>
      </c>
      <c r="CA2">
        <v>27.950000000000003</v>
      </c>
      <c r="CB2" t="s">
        <v>1209</v>
      </c>
      <c r="CC2" t="s">
        <v>1209</v>
      </c>
      <c r="CD2" t="s">
        <v>311</v>
      </c>
      <c r="CE2" t="s">
        <v>311</v>
      </c>
      <c r="CF2" t="s">
        <v>311</v>
      </c>
      <c r="CG2" t="s">
        <v>311</v>
      </c>
      <c r="CH2" t="s">
        <v>311</v>
      </c>
      <c r="CI2" t="s">
        <v>311</v>
      </c>
      <c r="CJ2" s="38">
        <v>0.25800000000000001</v>
      </c>
      <c r="CK2" s="38">
        <v>0.27500000000000002</v>
      </c>
      <c r="CL2" s="38">
        <v>23.16</v>
      </c>
      <c r="CM2" s="38">
        <v>3.7349999999999999</v>
      </c>
      <c r="CN2" s="38" t="s">
        <v>311</v>
      </c>
      <c r="CO2" s="38" t="s">
        <v>311</v>
      </c>
      <c r="CP2" s="38">
        <v>0.27500000000000002</v>
      </c>
      <c r="CR2" t="s">
        <v>1180</v>
      </c>
    </row>
    <row r="3" spans="1:96">
      <c r="A3">
        <v>2</v>
      </c>
      <c r="B3">
        <v>2</v>
      </c>
      <c r="C3">
        <v>1</v>
      </c>
      <c r="D3" t="s">
        <v>27</v>
      </c>
      <c r="E3" t="s">
        <v>28</v>
      </c>
      <c r="F3" t="s">
        <v>29</v>
      </c>
      <c r="G3">
        <v>2018</v>
      </c>
      <c r="H3" t="s">
        <v>1217</v>
      </c>
      <c r="I3" t="s">
        <v>1218</v>
      </c>
      <c r="J3">
        <v>48.389344999999999</v>
      </c>
      <c r="K3">
        <v>-4.3978169999999999</v>
      </c>
      <c r="L3" t="s">
        <v>323</v>
      </c>
      <c r="M3" t="s">
        <v>372</v>
      </c>
      <c r="N3" t="s">
        <v>600</v>
      </c>
      <c r="O3" t="s">
        <v>532</v>
      </c>
      <c r="P3" t="s">
        <v>693</v>
      </c>
      <c r="Q3" t="s">
        <v>333</v>
      </c>
      <c r="R3" t="s">
        <v>550</v>
      </c>
      <c r="S3" t="s">
        <v>682</v>
      </c>
      <c r="T3" t="s">
        <v>330</v>
      </c>
      <c r="U3">
        <v>5</v>
      </c>
      <c r="V3" t="s">
        <v>551</v>
      </c>
      <c r="W3">
        <v>2017</v>
      </c>
      <c r="X3" t="s">
        <v>292</v>
      </c>
      <c r="Y3" t="s">
        <v>603</v>
      </c>
      <c r="Z3" t="s">
        <v>604</v>
      </c>
      <c r="AA3" t="s">
        <v>538</v>
      </c>
      <c r="AB3" t="s">
        <v>601</v>
      </c>
      <c r="AC3" t="s">
        <v>602</v>
      </c>
      <c r="AD3" t="s">
        <v>340</v>
      </c>
      <c r="AE3" t="s">
        <v>311</v>
      </c>
      <c r="AF3" t="s">
        <v>342</v>
      </c>
      <c r="AH3" t="s">
        <v>311</v>
      </c>
      <c r="AI3" t="s">
        <v>311</v>
      </c>
      <c r="AJ3" t="s">
        <v>311</v>
      </c>
      <c r="AK3" t="s">
        <v>605</v>
      </c>
      <c r="AL3" t="s">
        <v>357</v>
      </c>
      <c r="AM3" t="s">
        <v>1059</v>
      </c>
      <c r="AN3" t="s">
        <v>584</v>
      </c>
      <c r="AO3" t="s">
        <v>606</v>
      </c>
      <c r="AP3" t="s">
        <v>614</v>
      </c>
      <c r="AQ3" t="s">
        <v>614</v>
      </c>
      <c r="AR3">
        <v>0.55752212389380462</v>
      </c>
      <c r="AS3">
        <v>6.3815066822376608E-3</v>
      </c>
      <c r="AT3" t="s">
        <v>311</v>
      </c>
      <c r="AU3">
        <v>3</v>
      </c>
      <c r="AV3">
        <v>0.44778761061946859</v>
      </c>
      <c r="AW3">
        <v>2.0180096019453184E-2</v>
      </c>
      <c r="AX3" t="s">
        <v>311</v>
      </c>
      <c r="AY3">
        <v>3</v>
      </c>
      <c r="AZ3" t="s">
        <v>1677</v>
      </c>
      <c r="BA3" t="s">
        <v>1679</v>
      </c>
      <c r="BB3">
        <v>10</v>
      </c>
      <c r="BC3" t="s">
        <v>1672</v>
      </c>
      <c r="BD3" t="s">
        <v>311</v>
      </c>
      <c r="BE3" t="s">
        <v>1880</v>
      </c>
      <c r="BF3" t="s">
        <v>311</v>
      </c>
      <c r="BG3" t="s">
        <v>311</v>
      </c>
      <c r="BH3" t="s">
        <v>311</v>
      </c>
      <c r="BI3" t="s">
        <v>311</v>
      </c>
      <c r="BJ3" t="s">
        <v>311</v>
      </c>
      <c r="BK3" t="s">
        <v>311</v>
      </c>
      <c r="BL3" t="s">
        <v>311</v>
      </c>
      <c r="BM3" t="s">
        <v>311</v>
      </c>
      <c r="BN3" t="s">
        <v>311</v>
      </c>
      <c r="BO3" t="s">
        <v>311</v>
      </c>
      <c r="BP3" t="s">
        <v>311</v>
      </c>
      <c r="BQ3" t="s">
        <v>311</v>
      </c>
      <c r="BR3" t="s">
        <v>311</v>
      </c>
      <c r="BS3" t="s">
        <v>311</v>
      </c>
      <c r="BT3" t="s">
        <v>311</v>
      </c>
      <c r="BU3" t="s">
        <v>311</v>
      </c>
      <c r="BV3" t="s">
        <v>311</v>
      </c>
      <c r="BW3" t="s">
        <v>311</v>
      </c>
      <c r="BX3" t="s">
        <v>311</v>
      </c>
      <c r="BY3" t="s">
        <v>311</v>
      </c>
      <c r="BZ3">
        <v>10.1</v>
      </c>
      <c r="CA3">
        <v>11.3</v>
      </c>
      <c r="CB3" t="s">
        <v>1209</v>
      </c>
      <c r="CC3" t="s">
        <v>1210</v>
      </c>
      <c r="CD3" t="s">
        <v>311</v>
      </c>
      <c r="CE3" t="s">
        <v>311</v>
      </c>
      <c r="CF3" t="s">
        <v>311</v>
      </c>
      <c r="CG3" t="s">
        <v>1219</v>
      </c>
      <c r="CH3" t="s">
        <v>1221</v>
      </c>
      <c r="CI3">
        <v>0</v>
      </c>
      <c r="CJ3" s="38" t="s">
        <v>311</v>
      </c>
      <c r="CK3" s="38" t="s">
        <v>311</v>
      </c>
      <c r="CL3" s="38" t="s">
        <v>311</v>
      </c>
      <c r="CM3" s="38" t="s">
        <v>311</v>
      </c>
      <c r="CN3" s="38" t="s">
        <v>311</v>
      </c>
      <c r="CO3" s="38" t="s">
        <v>311</v>
      </c>
      <c r="CP3" s="38" t="s">
        <v>311</v>
      </c>
      <c r="CR3" t="s">
        <v>1657</v>
      </c>
    </row>
    <row r="4" spans="1:96" s="30" customFormat="1">
      <c r="A4">
        <v>3</v>
      </c>
      <c r="B4" s="30">
        <v>2</v>
      </c>
      <c r="C4" s="30">
        <v>2</v>
      </c>
      <c r="D4" s="30" t="s">
        <v>27</v>
      </c>
      <c r="E4" s="30" t="s">
        <v>28</v>
      </c>
      <c r="F4" s="30" t="s">
        <v>29</v>
      </c>
      <c r="G4" s="30">
        <v>2018</v>
      </c>
      <c r="H4" s="30" t="s">
        <v>1217</v>
      </c>
      <c r="I4" s="30" t="s">
        <v>1218</v>
      </c>
      <c r="J4" s="30">
        <v>48.389344999999999</v>
      </c>
      <c r="K4" s="30">
        <v>-4.3978169999999999</v>
      </c>
      <c r="L4" s="30" t="s">
        <v>323</v>
      </c>
      <c r="M4" s="30" t="s">
        <v>372</v>
      </c>
      <c r="N4" s="30" t="s">
        <v>600</v>
      </c>
      <c r="O4" s="30" t="s">
        <v>532</v>
      </c>
      <c r="P4" s="30" t="s">
        <v>693</v>
      </c>
      <c r="Q4" s="30" t="s">
        <v>333</v>
      </c>
      <c r="R4" s="30" t="s">
        <v>550</v>
      </c>
      <c r="S4" s="30" t="s">
        <v>682</v>
      </c>
      <c r="T4" s="30" t="s">
        <v>330</v>
      </c>
      <c r="U4" s="30">
        <v>5</v>
      </c>
      <c r="V4" s="30" t="s">
        <v>551</v>
      </c>
      <c r="W4" s="30">
        <v>2017</v>
      </c>
      <c r="X4" s="30" t="s">
        <v>292</v>
      </c>
      <c r="Y4" s="30" t="s">
        <v>603</v>
      </c>
      <c r="Z4" s="30" t="s">
        <v>604</v>
      </c>
      <c r="AA4" s="30" t="s">
        <v>538</v>
      </c>
      <c r="AB4" s="30" t="s">
        <v>601</v>
      </c>
      <c r="AC4" s="30" t="s">
        <v>602</v>
      </c>
      <c r="AD4" s="30" t="s">
        <v>340</v>
      </c>
      <c r="AE4" s="30" t="s">
        <v>311</v>
      </c>
      <c r="AF4" s="30" t="s">
        <v>342</v>
      </c>
      <c r="AH4" s="30" t="s">
        <v>311</v>
      </c>
      <c r="AI4" s="30" t="s">
        <v>311</v>
      </c>
      <c r="AJ4" s="30" t="s">
        <v>311</v>
      </c>
      <c r="AK4" s="30" t="s">
        <v>605</v>
      </c>
      <c r="AL4" s="30" t="s">
        <v>357</v>
      </c>
      <c r="AM4" s="30" t="s">
        <v>1059</v>
      </c>
      <c r="AN4" s="30" t="s">
        <v>584</v>
      </c>
      <c r="AO4" s="30" t="s">
        <v>606</v>
      </c>
      <c r="AP4" s="30" t="s">
        <v>887</v>
      </c>
      <c r="AQ4" s="30" t="s">
        <v>614</v>
      </c>
      <c r="AR4" s="30">
        <v>0.63539823008849505</v>
      </c>
      <c r="AS4" s="30">
        <v>5.3097345132749885E-3</v>
      </c>
      <c r="AT4" s="30" t="s">
        <v>311</v>
      </c>
      <c r="AU4" s="30">
        <v>3</v>
      </c>
      <c r="AV4" s="30">
        <v>0.54159292035398199</v>
      </c>
      <c r="AW4" s="30">
        <v>1.9469026548671997E-2</v>
      </c>
      <c r="AX4" s="30" t="s">
        <v>311</v>
      </c>
      <c r="AY4" s="30">
        <v>3</v>
      </c>
      <c r="AZ4" s="30" t="s">
        <v>1677</v>
      </c>
      <c r="BA4" s="30" t="s">
        <v>1679</v>
      </c>
      <c r="BB4">
        <v>10</v>
      </c>
      <c r="BC4" s="30" t="s">
        <v>1673</v>
      </c>
      <c r="BD4" s="30" t="s">
        <v>1763</v>
      </c>
      <c r="BE4" s="30" t="s">
        <v>1880</v>
      </c>
      <c r="BF4" s="30" t="s">
        <v>311</v>
      </c>
      <c r="BG4" s="30" t="s">
        <v>311</v>
      </c>
      <c r="BH4" s="30" t="s">
        <v>311</v>
      </c>
      <c r="BI4" s="30" t="s">
        <v>311</v>
      </c>
      <c r="BJ4" s="30" t="s">
        <v>311</v>
      </c>
      <c r="BK4" s="30" t="s">
        <v>311</v>
      </c>
      <c r="BL4" s="30" t="s">
        <v>311</v>
      </c>
      <c r="BM4" s="30" t="s">
        <v>311</v>
      </c>
      <c r="BN4" s="30" t="s">
        <v>311</v>
      </c>
      <c r="BO4" s="30" t="s">
        <v>311</v>
      </c>
      <c r="BP4" s="30" t="s">
        <v>311</v>
      </c>
      <c r="BQ4" s="30" t="s">
        <v>311</v>
      </c>
      <c r="BR4" s="30" t="s">
        <v>311</v>
      </c>
      <c r="BS4" s="30" t="s">
        <v>311</v>
      </c>
      <c r="BT4" s="30" t="s">
        <v>311</v>
      </c>
      <c r="BU4" s="30" t="s">
        <v>311</v>
      </c>
      <c r="BV4" s="30" t="s">
        <v>311</v>
      </c>
      <c r="BW4" s="30" t="s">
        <v>311</v>
      </c>
      <c r="BX4" s="30" t="s">
        <v>311</v>
      </c>
      <c r="BY4" s="30" t="s">
        <v>311</v>
      </c>
      <c r="BZ4" s="30">
        <v>10.1</v>
      </c>
      <c r="CA4" s="30">
        <v>11.3</v>
      </c>
      <c r="CB4" s="30" t="s">
        <v>1209</v>
      </c>
      <c r="CC4" s="30" t="s">
        <v>1210</v>
      </c>
      <c r="CD4" s="30" t="s">
        <v>311</v>
      </c>
      <c r="CE4" s="30" t="s">
        <v>311</v>
      </c>
      <c r="CF4" s="30" t="s">
        <v>311</v>
      </c>
      <c r="CG4" s="30" t="s">
        <v>1219</v>
      </c>
      <c r="CH4" s="30" t="s">
        <v>1221</v>
      </c>
      <c r="CI4" s="30">
        <v>0</v>
      </c>
      <c r="CJ4" s="38" t="s">
        <v>311</v>
      </c>
      <c r="CK4" s="38" t="s">
        <v>311</v>
      </c>
      <c r="CL4" s="38" t="s">
        <v>311</v>
      </c>
      <c r="CM4" s="38" t="s">
        <v>311</v>
      </c>
      <c r="CN4" s="38" t="s">
        <v>311</v>
      </c>
      <c r="CO4" s="38" t="s">
        <v>311</v>
      </c>
      <c r="CP4" s="38" t="s">
        <v>311</v>
      </c>
      <c r="CR4" s="30" t="s">
        <v>1800</v>
      </c>
    </row>
    <row r="5" spans="1:96">
      <c r="A5">
        <v>4</v>
      </c>
      <c r="B5">
        <v>3</v>
      </c>
      <c r="C5">
        <v>1</v>
      </c>
      <c r="D5" t="s">
        <v>30</v>
      </c>
      <c r="E5" t="s">
        <v>31</v>
      </c>
      <c r="F5" t="s">
        <v>32</v>
      </c>
      <c r="G5">
        <v>2018</v>
      </c>
      <c r="H5" t="s">
        <v>413</v>
      </c>
      <c r="I5" t="s">
        <v>414</v>
      </c>
      <c r="J5">
        <v>-14.683332999999999</v>
      </c>
      <c r="K5">
        <v>145.44999999999999</v>
      </c>
      <c r="L5" t="s">
        <v>370</v>
      </c>
      <c r="M5" t="s">
        <v>371</v>
      </c>
      <c r="N5" t="s">
        <v>594</v>
      </c>
      <c r="O5" t="s">
        <v>288</v>
      </c>
      <c r="P5" t="s">
        <v>289</v>
      </c>
      <c r="Q5" t="s">
        <v>291</v>
      </c>
      <c r="R5" t="s">
        <v>327</v>
      </c>
      <c r="S5" t="s">
        <v>717</v>
      </c>
      <c r="T5" t="s">
        <v>331</v>
      </c>
      <c r="U5">
        <v>1</v>
      </c>
      <c r="V5" t="s">
        <v>559</v>
      </c>
      <c r="W5">
        <v>2016</v>
      </c>
      <c r="X5" t="s">
        <v>292</v>
      </c>
      <c r="Y5" t="s">
        <v>696</v>
      </c>
      <c r="Z5" t="s">
        <v>302</v>
      </c>
      <c r="AA5" t="s">
        <v>303</v>
      </c>
      <c r="AB5" t="s">
        <v>770</v>
      </c>
      <c r="AC5" t="s">
        <v>771</v>
      </c>
      <c r="AD5" t="s">
        <v>309</v>
      </c>
      <c r="AE5" t="s">
        <v>801</v>
      </c>
      <c r="AF5" t="s">
        <v>802</v>
      </c>
      <c r="AH5" t="s">
        <v>820</v>
      </c>
      <c r="AI5" t="s">
        <v>803</v>
      </c>
      <c r="AJ5" t="s">
        <v>792</v>
      </c>
      <c r="AK5" t="s">
        <v>344</v>
      </c>
      <c r="AL5" t="s">
        <v>357</v>
      </c>
      <c r="AM5" t="s">
        <v>1059</v>
      </c>
      <c r="AN5" t="s">
        <v>584</v>
      </c>
      <c r="AO5" t="s">
        <v>345</v>
      </c>
      <c r="AP5" t="s">
        <v>887</v>
      </c>
      <c r="AQ5" t="s">
        <v>887</v>
      </c>
      <c r="AR5">
        <v>1.30555555555555</v>
      </c>
      <c r="AS5">
        <v>0.25</v>
      </c>
      <c r="AT5" t="s">
        <v>311</v>
      </c>
      <c r="AU5">
        <v>5</v>
      </c>
      <c r="AV5">
        <v>0.73611111111111105</v>
      </c>
      <c r="AW5">
        <v>0.16666666666666596</v>
      </c>
      <c r="AX5" t="s">
        <v>311</v>
      </c>
      <c r="AY5">
        <v>5</v>
      </c>
      <c r="AZ5" t="s">
        <v>1677</v>
      </c>
      <c r="BA5" t="s">
        <v>1680</v>
      </c>
      <c r="BB5">
        <v>0</v>
      </c>
      <c r="BC5" t="s">
        <v>1672</v>
      </c>
      <c r="BD5" t="s">
        <v>311</v>
      </c>
      <c r="BE5" t="s">
        <v>1881</v>
      </c>
      <c r="BF5" t="s">
        <v>311</v>
      </c>
      <c r="BG5" t="s">
        <v>311</v>
      </c>
      <c r="BH5" t="s">
        <v>311</v>
      </c>
      <c r="BI5" t="s">
        <v>311</v>
      </c>
      <c r="BJ5" t="s">
        <v>311</v>
      </c>
      <c r="BK5" t="s">
        <v>311</v>
      </c>
      <c r="BL5" t="s">
        <v>311</v>
      </c>
      <c r="BM5" t="s">
        <v>311</v>
      </c>
      <c r="BN5" t="s">
        <v>311</v>
      </c>
      <c r="BO5" t="s">
        <v>311</v>
      </c>
      <c r="BP5" t="s">
        <v>311</v>
      </c>
      <c r="BQ5" t="s">
        <v>311</v>
      </c>
      <c r="BR5" t="s">
        <v>311</v>
      </c>
      <c r="BS5" t="s">
        <v>311</v>
      </c>
      <c r="BT5" t="s">
        <v>311</v>
      </c>
      <c r="BU5" t="s">
        <v>311</v>
      </c>
      <c r="BV5" t="s">
        <v>311</v>
      </c>
      <c r="BW5" t="s">
        <v>311</v>
      </c>
      <c r="BX5" t="s">
        <v>311</v>
      </c>
      <c r="BY5" t="s">
        <v>311</v>
      </c>
      <c r="BZ5">
        <v>0.08</v>
      </c>
      <c r="CA5">
        <v>25</v>
      </c>
      <c r="CB5" t="s">
        <v>1209</v>
      </c>
      <c r="CC5" t="s">
        <v>1210</v>
      </c>
      <c r="CD5" t="s">
        <v>311</v>
      </c>
      <c r="CE5" t="s">
        <v>311</v>
      </c>
      <c r="CF5" t="s">
        <v>311</v>
      </c>
      <c r="CG5" t="s">
        <v>1237</v>
      </c>
      <c r="CH5">
        <v>1983</v>
      </c>
      <c r="CI5">
        <v>0</v>
      </c>
      <c r="CJ5" s="38" t="s">
        <v>311</v>
      </c>
      <c r="CK5" s="38" t="s">
        <v>311</v>
      </c>
      <c r="CL5" s="38" t="s">
        <v>311</v>
      </c>
      <c r="CM5" s="38" t="s">
        <v>311</v>
      </c>
      <c r="CN5" s="38" t="s">
        <v>311</v>
      </c>
      <c r="CO5" s="38" t="s">
        <v>311</v>
      </c>
      <c r="CP5" s="38" t="s">
        <v>311</v>
      </c>
      <c r="CR5" t="s">
        <v>1574</v>
      </c>
    </row>
    <row r="6" spans="1:96">
      <c r="A6">
        <v>5</v>
      </c>
      <c r="B6">
        <v>3</v>
      </c>
      <c r="C6">
        <v>2</v>
      </c>
      <c r="D6" t="s">
        <v>30</v>
      </c>
      <c r="E6" t="s">
        <v>31</v>
      </c>
      <c r="F6" t="s">
        <v>32</v>
      </c>
      <c r="G6">
        <v>2018</v>
      </c>
      <c r="H6" t="s">
        <v>413</v>
      </c>
      <c r="I6" t="s">
        <v>414</v>
      </c>
      <c r="J6">
        <v>-14.683332999999999</v>
      </c>
      <c r="K6">
        <v>145.44999999999999</v>
      </c>
      <c r="L6" t="s">
        <v>370</v>
      </c>
      <c r="M6" t="s">
        <v>371</v>
      </c>
      <c r="N6" t="s">
        <v>594</v>
      </c>
      <c r="O6" t="s">
        <v>288</v>
      </c>
      <c r="P6" t="s">
        <v>289</v>
      </c>
      <c r="Q6" t="s">
        <v>291</v>
      </c>
      <c r="R6" t="s">
        <v>327</v>
      </c>
      <c r="S6" t="s">
        <v>717</v>
      </c>
      <c r="T6" t="s">
        <v>331</v>
      </c>
      <c r="U6">
        <v>1</v>
      </c>
      <c r="V6" t="s">
        <v>559</v>
      </c>
      <c r="W6">
        <v>2016</v>
      </c>
      <c r="X6" t="s">
        <v>292</v>
      </c>
      <c r="Y6" t="s">
        <v>696</v>
      </c>
      <c r="Z6" t="s">
        <v>302</v>
      </c>
      <c r="AA6" t="s">
        <v>303</v>
      </c>
      <c r="AB6" t="s">
        <v>770</v>
      </c>
      <c r="AC6" t="s">
        <v>771</v>
      </c>
      <c r="AD6" t="s">
        <v>309</v>
      </c>
      <c r="AE6" t="s">
        <v>801</v>
      </c>
      <c r="AF6" t="s">
        <v>802</v>
      </c>
      <c r="AH6" t="s">
        <v>820</v>
      </c>
      <c r="AI6" t="s">
        <v>803</v>
      </c>
      <c r="AJ6" t="s">
        <v>792</v>
      </c>
      <c r="AK6" t="s">
        <v>773</v>
      </c>
      <c r="AL6" t="s">
        <v>357</v>
      </c>
      <c r="AM6" t="s">
        <v>1059</v>
      </c>
      <c r="AN6" t="s">
        <v>1276</v>
      </c>
      <c r="AO6" t="s">
        <v>541</v>
      </c>
      <c r="AP6" t="s">
        <v>887</v>
      </c>
      <c r="AQ6" t="s">
        <v>887</v>
      </c>
      <c r="AR6">
        <v>1.8965517241379299</v>
      </c>
      <c r="AS6">
        <v>0.27586206896551002</v>
      </c>
      <c r="AT6" t="s">
        <v>311</v>
      </c>
      <c r="AU6">
        <v>5</v>
      </c>
      <c r="AV6">
        <v>1.0344827586206899</v>
      </c>
      <c r="AW6">
        <v>0.22413793103447999</v>
      </c>
      <c r="AX6" t="s">
        <v>311</v>
      </c>
      <c r="AY6">
        <v>5</v>
      </c>
      <c r="AZ6" t="s">
        <v>1678</v>
      </c>
      <c r="BA6" t="s">
        <v>1680</v>
      </c>
      <c r="BB6">
        <v>0</v>
      </c>
      <c r="BC6" t="s">
        <v>1672</v>
      </c>
      <c r="BD6" t="s">
        <v>311</v>
      </c>
      <c r="BE6" t="s">
        <v>1881</v>
      </c>
      <c r="BF6" t="s">
        <v>311</v>
      </c>
      <c r="BG6" t="s">
        <v>311</v>
      </c>
      <c r="BH6" t="s">
        <v>311</v>
      </c>
      <c r="BI6" t="s">
        <v>311</v>
      </c>
      <c r="BJ6" t="s">
        <v>311</v>
      </c>
      <c r="BK6" t="s">
        <v>311</v>
      </c>
      <c r="BL6" t="s">
        <v>311</v>
      </c>
      <c r="BM6" t="s">
        <v>311</v>
      </c>
      <c r="BN6" t="s">
        <v>311</v>
      </c>
      <c r="BO6" t="s">
        <v>311</v>
      </c>
      <c r="BP6" t="s">
        <v>311</v>
      </c>
      <c r="BQ6" t="s">
        <v>311</v>
      </c>
      <c r="BR6" t="s">
        <v>311</v>
      </c>
      <c r="BS6" t="s">
        <v>311</v>
      </c>
      <c r="BT6" t="s">
        <v>311</v>
      </c>
      <c r="BU6" t="s">
        <v>311</v>
      </c>
      <c r="BV6" t="s">
        <v>311</v>
      </c>
      <c r="BW6" t="s">
        <v>311</v>
      </c>
      <c r="BX6" t="s">
        <v>311</v>
      </c>
      <c r="BY6" t="s">
        <v>311</v>
      </c>
      <c r="BZ6">
        <v>0.08</v>
      </c>
      <c r="CA6">
        <v>25</v>
      </c>
      <c r="CB6" t="s">
        <v>1209</v>
      </c>
      <c r="CC6" t="s">
        <v>1210</v>
      </c>
      <c r="CD6" t="s">
        <v>311</v>
      </c>
      <c r="CE6" t="s">
        <v>311</v>
      </c>
      <c r="CF6" t="s">
        <v>311</v>
      </c>
      <c r="CG6" t="s">
        <v>1237</v>
      </c>
      <c r="CH6">
        <v>1983</v>
      </c>
      <c r="CI6">
        <v>0</v>
      </c>
      <c r="CJ6" s="38" t="s">
        <v>311</v>
      </c>
      <c r="CK6" s="38" t="s">
        <v>311</v>
      </c>
      <c r="CL6" s="38" t="s">
        <v>311</v>
      </c>
      <c r="CM6" s="38" t="s">
        <v>311</v>
      </c>
      <c r="CN6" s="38" t="s">
        <v>311</v>
      </c>
      <c r="CO6" s="38" t="s">
        <v>311</v>
      </c>
      <c r="CP6" s="38" t="s">
        <v>311</v>
      </c>
      <c r="CR6" t="s">
        <v>1575</v>
      </c>
    </row>
    <row r="7" spans="1:96">
      <c r="A7">
        <v>6</v>
      </c>
      <c r="B7">
        <v>3</v>
      </c>
      <c r="C7">
        <v>3</v>
      </c>
      <c r="D7" t="s">
        <v>30</v>
      </c>
      <c r="E7" t="s">
        <v>31</v>
      </c>
      <c r="F7" t="s">
        <v>32</v>
      </c>
      <c r="G7">
        <v>2018</v>
      </c>
      <c r="H7" t="s">
        <v>413</v>
      </c>
      <c r="I7" t="s">
        <v>414</v>
      </c>
      <c r="J7">
        <v>-14.683332999999999</v>
      </c>
      <c r="K7">
        <v>145.44999999999999</v>
      </c>
      <c r="L7" t="s">
        <v>370</v>
      </c>
      <c r="M7" t="s">
        <v>371</v>
      </c>
      <c r="N7" t="s">
        <v>594</v>
      </c>
      <c r="O7" t="s">
        <v>288</v>
      </c>
      <c r="P7" t="s">
        <v>289</v>
      </c>
      <c r="Q7" t="s">
        <v>291</v>
      </c>
      <c r="R7" t="s">
        <v>327</v>
      </c>
      <c r="S7" t="s">
        <v>717</v>
      </c>
      <c r="T7" t="s">
        <v>331</v>
      </c>
      <c r="U7">
        <v>1</v>
      </c>
      <c r="V7" t="s">
        <v>559</v>
      </c>
      <c r="W7">
        <v>2016</v>
      </c>
      <c r="X7" t="s">
        <v>292</v>
      </c>
      <c r="Y7" t="s">
        <v>696</v>
      </c>
      <c r="Z7" t="s">
        <v>302</v>
      </c>
      <c r="AA7" t="s">
        <v>303</v>
      </c>
      <c r="AB7" t="s">
        <v>770</v>
      </c>
      <c r="AC7" t="s">
        <v>771</v>
      </c>
      <c r="AD7" t="s">
        <v>292</v>
      </c>
      <c r="AE7" t="s">
        <v>657</v>
      </c>
      <c r="AF7" t="s">
        <v>304</v>
      </c>
      <c r="AH7" t="s">
        <v>305</v>
      </c>
      <c r="AI7" t="s">
        <v>655</v>
      </c>
      <c r="AJ7" t="s">
        <v>772</v>
      </c>
      <c r="AK7" t="s">
        <v>805</v>
      </c>
      <c r="AL7" t="s">
        <v>357</v>
      </c>
      <c r="AM7" t="s">
        <v>1059</v>
      </c>
      <c r="AN7" t="s">
        <v>1276</v>
      </c>
      <c r="AO7" t="s">
        <v>1070</v>
      </c>
      <c r="AP7" t="s">
        <v>887</v>
      </c>
      <c r="AQ7" t="s">
        <v>887</v>
      </c>
      <c r="AR7">
        <v>0.94078947368420995</v>
      </c>
      <c r="AS7">
        <v>0.13157894736842013</v>
      </c>
      <c r="AT7" t="s">
        <v>311</v>
      </c>
      <c r="AU7">
        <v>5</v>
      </c>
      <c r="AV7">
        <v>0.65296052631578905</v>
      </c>
      <c r="AW7">
        <v>8.2236842105262942E-2</v>
      </c>
      <c r="AX7" t="s">
        <v>311</v>
      </c>
      <c r="AY7">
        <v>5</v>
      </c>
      <c r="AZ7" t="s">
        <v>1055</v>
      </c>
      <c r="BA7" t="s">
        <v>1680</v>
      </c>
      <c r="BB7">
        <v>0</v>
      </c>
      <c r="BC7" t="s">
        <v>1672</v>
      </c>
      <c r="BD7" t="s">
        <v>311</v>
      </c>
      <c r="BE7" t="s">
        <v>1880</v>
      </c>
      <c r="BF7" t="s">
        <v>311</v>
      </c>
      <c r="BG7" t="s">
        <v>311</v>
      </c>
      <c r="BH7" t="s">
        <v>311</v>
      </c>
      <c r="BI7" t="s">
        <v>311</v>
      </c>
      <c r="BJ7" t="s">
        <v>311</v>
      </c>
      <c r="BK7" t="s">
        <v>311</v>
      </c>
      <c r="BL7" t="s">
        <v>311</v>
      </c>
      <c r="BM7" t="s">
        <v>311</v>
      </c>
      <c r="BN7" t="s">
        <v>311</v>
      </c>
      <c r="BO7" t="s">
        <v>311</v>
      </c>
      <c r="BP7" t="s">
        <v>311</v>
      </c>
      <c r="BQ7" t="s">
        <v>311</v>
      </c>
      <c r="BR7" t="s">
        <v>311</v>
      </c>
      <c r="BS7" t="s">
        <v>311</v>
      </c>
      <c r="BT7" t="s">
        <v>311</v>
      </c>
      <c r="BU7" t="s">
        <v>311</v>
      </c>
      <c r="BV7" t="s">
        <v>311</v>
      </c>
      <c r="BW7" t="s">
        <v>311</v>
      </c>
      <c r="BX7" t="s">
        <v>311</v>
      </c>
      <c r="BY7" t="s">
        <v>311</v>
      </c>
      <c r="BZ7">
        <v>0.08</v>
      </c>
      <c r="CA7">
        <v>25</v>
      </c>
      <c r="CB7" t="s">
        <v>1209</v>
      </c>
      <c r="CC7" t="s">
        <v>1210</v>
      </c>
      <c r="CD7" t="s">
        <v>311</v>
      </c>
      <c r="CE7" t="s">
        <v>311</v>
      </c>
      <c r="CF7" t="s">
        <v>311</v>
      </c>
      <c r="CG7" t="s">
        <v>1237</v>
      </c>
      <c r="CH7">
        <v>1983</v>
      </c>
      <c r="CI7">
        <v>0</v>
      </c>
      <c r="CJ7" s="38" t="s">
        <v>311</v>
      </c>
      <c r="CK7" s="38" t="s">
        <v>311</v>
      </c>
      <c r="CL7" s="38" t="s">
        <v>311</v>
      </c>
      <c r="CM7" s="38" t="s">
        <v>311</v>
      </c>
      <c r="CN7" s="38" t="s">
        <v>311</v>
      </c>
      <c r="CO7" s="38" t="s">
        <v>311</v>
      </c>
      <c r="CP7" s="38" t="s">
        <v>311</v>
      </c>
      <c r="CR7" t="s">
        <v>1575</v>
      </c>
    </row>
    <row r="8" spans="1:96">
      <c r="A8">
        <v>7</v>
      </c>
      <c r="B8">
        <v>3</v>
      </c>
      <c r="C8">
        <v>4</v>
      </c>
      <c r="D8" t="s">
        <v>30</v>
      </c>
      <c r="E8" t="s">
        <v>31</v>
      </c>
      <c r="F8" t="s">
        <v>32</v>
      </c>
      <c r="G8">
        <v>2018</v>
      </c>
      <c r="H8" t="s">
        <v>413</v>
      </c>
      <c r="I8" t="s">
        <v>414</v>
      </c>
      <c r="J8">
        <v>-14.683332999999999</v>
      </c>
      <c r="K8">
        <v>145.44999999999999</v>
      </c>
      <c r="L8" t="s">
        <v>370</v>
      </c>
      <c r="M8" t="s">
        <v>371</v>
      </c>
      <c r="N8" t="s">
        <v>594</v>
      </c>
      <c r="O8" t="s">
        <v>288</v>
      </c>
      <c r="P8" t="s">
        <v>289</v>
      </c>
      <c r="Q8" t="s">
        <v>291</v>
      </c>
      <c r="R8" t="s">
        <v>327</v>
      </c>
      <c r="S8" t="s">
        <v>717</v>
      </c>
      <c r="T8" t="s">
        <v>331</v>
      </c>
      <c r="U8">
        <v>1</v>
      </c>
      <c r="V8" t="s">
        <v>559</v>
      </c>
      <c r="W8">
        <v>2016</v>
      </c>
      <c r="X8" t="s">
        <v>292</v>
      </c>
      <c r="Y8" t="s">
        <v>696</v>
      </c>
      <c r="Z8" t="s">
        <v>302</v>
      </c>
      <c r="AA8" t="s">
        <v>303</v>
      </c>
      <c r="AB8" t="s">
        <v>770</v>
      </c>
      <c r="AC8" t="s">
        <v>771</v>
      </c>
      <c r="AD8" t="s">
        <v>292</v>
      </c>
      <c r="AE8" t="s">
        <v>657</v>
      </c>
      <c r="AF8" t="s">
        <v>304</v>
      </c>
      <c r="AH8" t="s">
        <v>305</v>
      </c>
      <c r="AI8" t="s">
        <v>655</v>
      </c>
      <c r="AJ8" t="s">
        <v>772</v>
      </c>
      <c r="AK8" t="s">
        <v>806</v>
      </c>
      <c r="AL8" t="s">
        <v>357</v>
      </c>
      <c r="AM8" t="s">
        <v>1059</v>
      </c>
      <c r="AN8" t="s">
        <v>1276</v>
      </c>
      <c r="AO8" t="s">
        <v>606</v>
      </c>
      <c r="AP8" t="s">
        <v>887</v>
      </c>
      <c r="AQ8" t="s">
        <v>887</v>
      </c>
      <c r="AR8">
        <v>0.76054421768707503</v>
      </c>
      <c r="AS8">
        <v>0.15238095238095195</v>
      </c>
      <c r="AT8" t="s">
        <v>311</v>
      </c>
      <c r="AU8">
        <v>5</v>
      </c>
      <c r="AV8">
        <v>0.72244897959183696</v>
      </c>
      <c r="AW8">
        <v>8.707482993197202E-2</v>
      </c>
      <c r="AX8" t="s">
        <v>311</v>
      </c>
      <c r="AY8">
        <v>5</v>
      </c>
      <c r="AZ8" t="s">
        <v>1055</v>
      </c>
      <c r="BA8" t="s">
        <v>1680</v>
      </c>
      <c r="BB8">
        <v>0</v>
      </c>
      <c r="BC8" t="s">
        <v>1672</v>
      </c>
      <c r="BD8" t="s">
        <v>311</v>
      </c>
      <c r="BE8" t="s">
        <v>1880</v>
      </c>
      <c r="BF8" t="s">
        <v>311</v>
      </c>
      <c r="BG8" t="s">
        <v>311</v>
      </c>
      <c r="BH8" t="s">
        <v>311</v>
      </c>
      <c r="BI8" t="s">
        <v>311</v>
      </c>
      <c r="BJ8" t="s">
        <v>311</v>
      </c>
      <c r="BK8" t="s">
        <v>311</v>
      </c>
      <c r="BL8" t="s">
        <v>311</v>
      </c>
      <c r="BM8" t="s">
        <v>311</v>
      </c>
      <c r="BN8" t="s">
        <v>311</v>
      </c>
      <c r="BO8" t="s">
        <v>311</v>
      </c>
      <c r="BP8" t="s">
        <v>311</v>
      </c>
      <c r="BQ8" t="s">
        <v>311</v>
      </c>
      <c r="BR8" t="s">
        <v>311</v>
      </c>
      <c r="BS8" t="s">
        <v>311</v>
      </c>
      <c r="BT8" t="s">
        <v>311</v>
      </c>
      <c r="BU8" t="s">
        <v>311</v>
      </c>
      <c r="BV8" t="s">
        <v>311</v>
      </c>
      <c r="BW8" t="s">
        <v>311</v>
      </c>
      <c r="BX8" t="s">
        <v>311</v>
      </c>
      <c r="BY8" t="s">
        <v>311</v>
      </c>
      <c r="BZ8">
        <v>0.08</v>
      </c>
      <c r="CA8">
        <v>25</v>
      </c>
      <c r="CB8" t="s">
        <v>1209</v>
      </c>
      <c r="CC8" t="s">
        <v>1210</v>
      </c>
      <c r="CD8" t="s">
        <v>311</v>
      </c>
      <c r="CE8" t="s">
        <v>311</v>
      </c>
      <c r="CF8" t="s">
        <v>311</v>
      </c>
      <c r="CG8" t="s">
        <v>1237</v>
      </c>
      <c r="CH8">
        <v>1983</v>
      </c>
      <c r="CI8">
        <v>0</v>
      </c>
      <c r="CJ8" s="38" t="s">
        <v>311</v>
      </c>
      <c r="CK8" s="38" t="s">
        <v>311</v>
      </c>
      <c r="CL8" s="38" t="s">
        <v>311</v>
      </c>
      <c r="CM8" s="38" t="s">
        <v>311</v>
      </c>
      <c r="CN8" s="38" t="s">
        <v>311</v>
      </c>
      <c r="CO8" s="38" t="s">
        <v>311</v>
      </c>
      <c r="CP8" s="38" t="s">
        <v>311</v>
      </c>
      <c r="CR8" t="s">
        <v>1575</v>
      </c>
    </row>
    <row r="9" spans="1:96" s="30" customFormat="1">
      <c r="A9">
        <v>8</v>
      </c>
      <c r="B9" s="30">
        <v>3</v>
      </c>
      <c r="C9" s="30">
        <v>5</v>
      </c>
      <c r="D9" s="30" t="s">
        <v>30</v>
      </c>
      <c r="E9" s="30" t="s">
        <v>31</v>
      </c>
      <c r="F9" s="30" t="s">
        <v>32</v>
      </c>
      <c r="G9" s="30">
        <v>2018</v>
      </c>
      <c r="H9" s="30" t="s">
        <v>413</v>
      </c>
      <c r="I9" s="30" t="s">
        <v>414</v>
      </c>
      <c r="J9" s="30">
        <v>-14.683332999999999</v>
      </c>
      <c r="K9" s="30">
        <v>145.44999999999999</v>
      </c>
      <c r="L9" s="30" t="s">
        <v>370</v>
      </c>
      <c r="M9" s="30" t="s">
        <v>371</v>
      </c>
      <c r="N9" s="30" t="s">
        <v>594</v>
      </c>
      <c r="O9" s="30" t="s">
        <v>288</v>
      </c>
      <c r="P9" s="30" t="s">
        <v>289</v>
      </c>
      <c r="Q9" s="30" t="s">
        <v>291</v>
      </c>
      <c r="R9" s="30" t="s">
        <v>327</v>
      </c>
      <c r="S9" s="30" t="s">
        <v>717</v>
      </c>
      <c r="T9" s="30" t="s">
        <v>330</v>
      </c>
      <c r="U9" s="30">
        <v>5</v>
      </c>
      <c r="V9" s="30" t="s">
        <v>535</v>
      </c>
      <c r="W9" s="30">
        <v>2015</v>
      </c>
      <c r="X9" s="30" t="s">
        <v>292</v>
      </c>
      <c r="Y9" s="30" t="s">
        <v>696</v>
      </c>
      <c r="Z9" s="30" t="s">
        <v>302</v>
      </c>
      <c r="AA9" s="30" t="s">
        <v>303</v>
      </c>
      <c r="AB9" s="30" t="s">
        <v>770</v>
      </c>
      <c r="AC9" s="30" t="s">
        <v>771</v>
      </c>
      <c r="AD9" s="30" t="s">
        <v>309</v>
      </c>
      <c r="AE9" s="30" t="s">
        <v>801</v>
      </c>
      <c r="AF9" s="30" t="s">
        <v>802</v>
      </c>
      <c r="AH9" s="30" t="s">
        <v>820</v>
      </c>
      <c r="AI9" s="30" t="s">
        <v>803</v>
      </c>
      <c r="AJ9" s="30" t="s">
        <v>792</v>
      </c>
      <c r="AK9" s="30" t="s">
        <v>815</v>
      </c>
      <c r="AL9" s="30" t="s">
        <v>357</v>
      </c>
      <c r="AM9" s="30" t="s">
        <v>1059</v>
      </c>
      <c r="AN9" s="30" t="s">
        <v>584</v>
      </c>
      <c r="AO9" s="30" t="s">
        <v>345</v>
      </c>
      <c r="AP9" s="30" t="s">
        <v>614</v>
      </c>
      <c r="AQ9" s="30" t="s">
        <v>614</v>
      </c>
      <c r="AR9" s="30">
        <v>1.2057684799583501</v>
      </c>
      <c r="AS9" s="30">
        <v>0.25944787132001085</v>
      </c>
      <c r="AT9" s="30" t="s">
        <v>311</v>
      </c>
      <c r="AU9" s="30">
        <v>9</v>
      </c>
      <c r="AV9" s="30">
        <v>0.45936361270171788</v>
      </c>
      <c r="AW9" s="30">
        <v>0.210669031057832</v>
      </c>
      <c r="AX9" s="30" t="s">
        <v>311</v>
      </c>
      <c r="AY9" s="30">
        <v>9</v>
      </c>
      <c r="AZ9" s="30" t="s">
        <v>1677</v>
      </c>
      <c r="BA9" s="30" t="s">
        <v>1679</v>
      </c>
      <c r="BB9">
        <v>64</v>
      </c>
      <c r="BC9" s="30" t="s">
        <v>1673</v>
      </c>
      <c r="BD9" s="30" t="s">
        <v>311</v>
      </c>
      <c r="BE9" s="30" t="s">
        <v>1881</v>
      </c>
      <c r="BF9" s="30" t="s">
        <v>311</v>
      </c>
      <c r="BG9" s="30" t="s">
        <v>311</v>
      </c>
      <c r="BH9" s="30" t="s">
        <v>311</v>
      </c>
      <c r="BI9" s="30" t="s">
        <v>311</v>
      </c>
      <c r="BJ9" s="30" t="s">
        <v>311</v>
      </c>
      <c r="BK9" s="30" t="s">
        <v>311</v>
      </c>
      <c r="BL9" s="30" t="s">
        <v>311</v>
      </c>
      <c r="BM9" s="30" t="s">
        <v>311</v>
      </c>
      <c r="BN9" s="30" t="s">
        <v>311</v>
      </c>
      <c r="BO9" s="30" t="s">
        <v>311</v>
      </c>
      <c r="BP9" s="30" t="s">
        <v>311</v>
      </c>
      <c r="BQ9" s="30" t="s">
        <v>311</v>
      </c>
      <c r="BR9" s="30" t="s">
        <v>311</v>
      </c>
      <c r="BS9" s="30" t="s">
        <v>311</v>
      </c>
      <c r="BT9" s="30" t="s">
        <v>311</v>
      </c>
      <c r="BU9" s="30" t="s">
        <v>311</v>
      </c>
      <c r="BV9" s="30" t="s">
        <v>311</v>
      </c>
      <c r="BW9" s="30" t="s">
        <v>311</v>
      </c>
      <c r="BX9" s="30" t="s">
        <v>311</v>
      </c>
      <c r="BY9" s="30" t="s">
        <v>311</v>
      </c>
      <c r="BZ9" s="30">
        <v>0.08</v>
      </c>
      <c r="CA9" s="30">
        <v>25</v>
      </c>
      <c r="CB9" s="30" t="s">
        <v>1209</v>
      </c>
      <c r="CC9" s="30" t="s">
        <v>1210</v>
      </c>
      <c r="CD9" s="30" t="s">
        <v>311</v>
      </c>
      <c r="CE9" s="30" t="s">
        <v>311</v>
      </c>
      <c r="CF9" s="30" t="s">
        <v>311</v>
      </c>
      <c r="CG9" s="30" t="s">
        <v>1237</v>
      </c>
      <c r="CH9" s="30">
        <v>1983</v>
      </c>
      <c r="CI9" s="30">
        <v>0</v>
      </c>
      <c r="CJ9" s="38" t="s">
        <v>311</v>
      </c>
      <c r="CK9" s="38" t="s">
        <v>311</v>
      </c>
      <c r="CL9" s="38" t="s">
        <v>311</v>
      </c>
      <c r="CM9" s="38" t="s">
        <v>311</v>
      </c>
      <c r="CN9" s="38" t="s">
        <v>311</v>
      </c>
      <c r="CO9" s="38" t="s">
        <v>311</v>
      </c>
      <c r="CP9" s="38" t="s">
        <v>311</v>
      </c>
      <c r="CR9" s="30" t="s">
        <v>1670</v>
      </c>
    </row>
    <row r="10" spans="1:96">
      <c r="A10">
        <v>9</v>
      </c>
      <c r="B10">
        <v>3</v>
      </c>
      <c r="C10">
        <v>6</v>
      </c>
      <c r="D10" t="s">
        <v>30</v>
      </c>
      <c r="E10" t="s">
        <v>31</v>
      </c>
      <c r="F10" t="s">
        <v>32</v>
      </c>
      <c r="G10">
        <v>2018</v>
      </c>
      <c r="H10" t="s">
        <v>413</v>
      </c>
      <c r="I10" t="s">
        <v>414</v>
      </c>
      <c r="J10">
        <v>-14.683332999999999</v>
      </c>
      <c r="K10">
        <v>145.44999999999999</v>
      </c>
      <c r="L10" t="s">
        <v>370</v>
      </c>
      <c r="M10" t="s">
        <v>371</v>
      </c>
      <c r="N10" t="s">
        <v>594</v>
      </c>
      <c r="O10" t="s">
        <v>288</v>
      </c>
      <c r="P10" t="s">
        <v>289</v>
      </c>
      <c r="Q10" t="s">
        <v>291</v>
      </c>
      <c r="R10" t="s">
        <v>327</v>
      </c>
      <c r="S10" t="s">
        <v>717</v>
      </c>
      <c r="T10" t="s">
        <v>330</v>
      </c>
      <c r="U10">
        <v>5</v>
      </c>
      <c r="V10" t="s">
        <v>535</v>
      </c>
      <c r="W10">
        <v>2015</v>
      </c>
      <c r="X10" t="s">
        <v>292</v>
      </c>
      <c r="Y10" t="s">
        <v>696</v>
      </c>
      <c r="Z10" t="s">
        <v>302</v>
      </c>
      <c r="AA10" t="s">
        <v>303</v>
      </c>
      <c r="AB10" t="s">
        <v>770</v>
      </c>
      <c r="AC10" t="s">
        <v>771</v>
      </c>
      <c r="AD10" t="s">
        <v>309</v>
      </c>
      <c r="AE10" t="s">
        <v>801</v>
      </c>
      <c r="AF10" t="s">
        <v>802</v>
      </c>
      <c r="AH10" t="s">
        <v>820</v>
      </c>
      <c r="AI10" t="s">
        <v>803</v>
      </c>
      <c r="AJ10" t="s">
        <v>792</v>
      </c>
      <c r="AK10" t="s">
        <v>1665</v>
      </c>
      <c r="AL10" t="s">
        <v>357</v>
      </c>
      <c r="AM10" t="s">
        <v>1059</v>
      </c>
      <c r="AN10" t="s">
        <v>584</v>
      </c>
      <c r="AO10" t="s">
        <v>345</v>
      </c>
      <c r="AP10" t="s">
        <v>887</v>
      </c>
      <c r="AQ10" t="s">
        <v>614</v>
      </c>
      <c r="AR10">
        <v>1.16034850310501</v>
      </c>
      <c r="AS10">
        <v>0.15362869589396988</v>
      </c>
      <c r="AT10" t="s">
        <v>311</v>
      </c>
      <c r="AU10">
        <v>9</v>
      </c>
      <c r="AV10">
        <v>0.89827602187413103</v>
      </c>
      <c r="AW10">
        <v>0.1084437853369089</v>
      </c>
      <c r="AX10" t="s">
        <v>311</v>
      </c>
      <c r="AY10">
        <v>9</v>
      </c>
      <c r="AZ10" t="s">
        <v>1677</v>
      </c>
      <c r="BA10" t="s">
        <v>1679</v>
      </c>
      <c r="BB10">
        <v>36</v>
      </c>
      <c r="BC10" t="s">
        <v>1672</v>
      </c>
      <c r="BD10" t="s">
        <v>1764</v>
      </c>
      <c r="BE10" t="s">
        <v>1881</v>
      </c>
      <c r="BF10" t="s">
        <v>311</v>
      </c>
      <c r="BG10" t="s">
        <v>311</v>
      </c>
      <c r="BH10" t="s">
        <v>311</v>
      </c>
      <c r="BI10" t="s">
        <v>311</v>
      </c>
      <c r="BJ10" t="s">
        <v>311</v>
      </c>
      <c r="BK10" t="s">
        <v>311</v>
      </c>
      <c r="BL10" t="s">
        <v>311</v>
      </c>
      <c r="BM10" t="s">
        <v>311</v>
      </c>
      <c r="BN10" t="s">
        <v>311</v>
      </c>
      <c r="BO10" t="s">
        <v>311</v>
      </c>
      <c r="BP10" t="s">
        <v>311</v>
      </c>
      <c r="BQ10" t="s">
        <v>311</v>
      </c>
      <c r="BR10" t="s">
        <v>311</v>
      </c>
      <c r="BS10" t="s">
        <v>311</v>
      </c>
      <c r="BT10" t="s">
        <v>311</v>
      </c>
      <c r="BU10" t="s">
        <v>311</v>
      </c>
      <c r="BV10" t="s">
        <v>311</v>
      </c>
      <c r="BW10" t="s">
        <v>311</v>
      </c>
      <c r="BX10" t="s">
        <v>311</v>
      </c>
      <c r="BY10" t="s">
        <v>311</v>
      </c>
      <c r="BZ10">
        <v>0.08</v>
      </c>
      <c r="CA10">
        <v>25</v>
      </c>
      <c r="CB10" t="s">
        <v>1209</v>
      </c>
      <c r="CC10" t="s">
        <v>1210</v>
      </c>
      <c r="CD10" t="s">
        <v>311</v>
      </c>
      <c r="CE10" t="s">
        <v>311</v>
      </c>
      <c r="CF10" t="s">
        <v>311</v>
      </c>
      <c r="CG10" t="s">
        <v>1237</v>
      </c>
      <c r="CH10">
        <v>1983</v>
      </c>
      <c r="CI10">
        <v>0</v>
      </c>
      <c r="CJ10" s="38" t="s">
        <v>311</v>
      </c>
      <c r="CK10" s="38" t="s">
        <v>311</v>
      </c>
      <c r="CL10" s="38" t="s">
        <v>311</v>
      </c>
      <c r="CM10" s="38" t="s">
        <v>311</v>
      </c>
      <c r="CN10" s="38" t="s">
        <v>311</v>
      </c>
      <c r="CO10" s="38" t="s">
        <v>311</v>
      </c>
      <c r="CP10" s="38" t="s">
        <v>311</v>
      </c>
      <c r="CQ10" t="s">
        <v>1683</v>
      </c>
      <c r="CR10" t="s">
        <v>1664</v>
      </c>
    </row>
    <row r="11" spans="1:96">
      <c r="A11">
        <v>10</v>
      </c>
      <c r="B11">
        <v>3</v>
      </c>
      <c r="C11">
        <v>7</v>
      </c>
      <c r="D11" t="s">
        <v>30</v>
      </c>
      <c r="E11" t="s">
        <v>31</v>
      </c>
      <c r="F11" t="s">
        <v>32</v>
      </c>
      <c r="G11">
        <v>2018</v>
      </c>
      <c r="H11" t="s">
        <v>413</v>
      </c>
      <c r="I11" t="s">
        <v>414</v>
      </c>
      <c r="J11">
        <v>-14.683332999999999</v>
      </c>
      <c r="K11">
        <v>145.44999999999999</v>
      </c>
      <c r="L11" t="s">
        <v>370</v>
      </c>
      <c r="M11" t="s">
        <v>371</v>
      </c>
      <c r="N11" t="s">
        <v>594</v>
      </c>
      <c r="O11" t="s">
        <v>288</v>
      </c>
      <c r="P11" t="s">
        <v>289</v>
      </c>
      <c r="Q11" t="s">
        <v>291</v>
      </c>
      <c r="R11" t="s">
        <v>327</v>
      </c>
      <c r="S11" t="s">
        <v>717</v>
      </c>
      <c r="T11" t="s">
        <v>330</v>
      </c>
      <c r="U11">
        <v>5</v>
      </c>
      <c r="V11" t="s">
        <v>535</v>
      </c>
      <c r="W11">
        <v>2015</v>
      </c>
      <c r="X11" t="s">
        <v>292</v>
      </c>
      <c r="Y11" t="s">
        <v>696</v>
      </c>
      <c r="Z11" t="s">
        <v>302</v>
      </c>
      <c r="AA11" t="s">
        <v>303</v>
      </c>
      <c r="AB11" t="s">
        <v>770</v>
      </c>
      <c r="AC11" t="s">
        <v>771</v>
      </c>
      <c r="AD11" t="s">
        <v>309</v>
      </c>
      <c r="AE11" t="s">
        <v>801</v>
      </c>
      <c r="AF11" t="s">
        <v>802</v>
      </c>
      <c r="AH11" t="s">
        <v>820</v>
      </c>
      <c r="AI11" t="s">
        <v>803</v>
      </c>
      <c r="AJ11" t="s">
        <v>792</v>
      </c>
      <c r="AK11" t="s">
        <v>1666</v>
      </c>
      <c r="AL11" t="s">
        <v>357</v>
      </c>
      <c r="AM11" t="s">
        <v>1059</v>
      </c>
      <c r="AN11" t="s">
        <v>584</v>
      </c>
      <c r="AO11" t="s">
        <v>345</v>
      </c>
      <c r="AP11" t="s">
        <v>887</v>
      </c>
      <c r="AQ11" t="s">
        <v>614</v>
      </c>
      <c r="AR11">
        <v>2.3362831858407</v>
      </c>
      <c r="AS11" s="6">
        <v>0.23893805000000001</v>
      </c>
      <c r="AT11" t="s">
        <v>311</v>
      </c>
      <c r="AU11">
        <v>9</v>
      </c>
      <c r="AV11">
        <v>1.4336283190000001</v>
      </c>
      <c r="AW11" s="6">
        <v>0.15929204</v>
      </c>
      <c r="AX11" t="s">
        <v>311</v>
      </c>
      <c r="AY11">
        <v>9</v>
      </c>
      <c r="AZ11" t="s">
        <v>1677</v>
      </c>
      <c r="BA11" t="s">
        <v>1679</v>
      </c>
      <c r="BB11">
        <v>64</v>
      </c>
      <c r="BC11" t="s">
        <v>1672</v>
      </c>
      <c r="BD11" t="s">
        <v>1763</v>
      </c>
      <c r="BE11" t="s">
        <v>1881</v>
      </c>
      <c r="BF11" t="s">
        <v>311</v>
      </c>
      <c r="BG11" t="s">
        <v>311</v>
      </c>
      <c r="BH11" t="s">
        <v>311</v>
      </c>
      <c r="BI11" t="s">
        <v>311</v>
      </c>
      <c r="BJ11" t="s">
        <v>311</v>
      </c>
      <c r="BK11" t="s">
        <v>311</v>
      </c>
      <c r="BL11" t="s">
        <v>311</v>
      </c>
      <c r="BM11" t="s">
        <v>311</v>
      </c>
      <c r="BN11" t="s">
        <v>311</v>
      </c>
      <c r="BO11" t="s">
        <v>311</v>
      </c>
      <c r="BP11" t="s">
        <v>311</v>
      </c>
      <c r="BQ11" t="s">
        <v>311</v>
      </c>
      <c r="BR11" t="s">
        <v>311</v>
      </c>
      <c r="BS11" t="s">
        <v>311</v>
      </c>
      <c r="BT11" t="s">
        <v>311</v>
      </c>
      <c r="BU11" t="s">
        <v>311</v>
      </c>
      <c r="BV11" t="s">
        <v>311</v>
      </c>
      <c r="BW11" t="s">
        <v>311</v>
      </c>
      <c r="BX11" t="s">
        <v>311</v>
      </c>
      <c r="BY11" t="s">
        <v>311</v>
      </c>
      <c r="BZ11">
        <v>0.08</v>
      </c>
      <c r="CA11">
        <v>25</v>
      </c>
      <c r="CB11" t="s">
        <v>1209</v>
      </c>
      <c r="CC11" t="s">
        <v>1210</v>
      </c>
      <c r="CD11" t="s">
        <v>311</v>
      </c>
      <c r="CE11" t="s">
        <v>311</v>
      </c>
      <c r="CF11" t="s">
        <v>311</v>
      </c>
      <c r="CG11" t="s">
        <v>1237</v>
      </c>
      <c r="CH11">
        <v>1983</v>
      </c>
      <c r="CI11">
        <v>0</v>
      </c>
      <c r="CJ11" s="38" t="s">
        <v>311</v>
      </c>
      <c r="CK11" s="38" t="s">
        <v>311</v>
      </c>
      <c r="CL11" s="38" t="s">
        <v>311</v>
      </c>
      <c r="CM11" s="38" t="s">
        <v>311</v>
      </c>
      <c r="CN11" s="38" t="s">
        <v>311</v>
      </c>
      <c r="CO11" s="38" t="s">
        <v>311</v>
      </c>
      <c r="CP11" s="38" t="s">
        <v>311</v>
      </c>
      <c r="CQ11" t="s">
        <v>1683</v>
      </c>
      <c r="CR11" t="s">
        <v>1663</v>
      </c>
    </row>
    <row r="12" spans="1:96" s="30" customFormat="1">
      <c r="A12">
        <v>11</v>
      </c>
      <c r="B12" s="30">
        <v>3</v>
      </c>
      <c r="C12" s="30">
        <v>8</v>
      </c>
      <c r="D12" s="30" t="s">
        <v>30</v>
      </c>
      <c r="E12" s="30" t="s">
        <v>31</v>
      </c>
      <c r="F12" s="30" t="s">
        <v>32</v>
      </c>
      <c r="G12" s="30">
        <v>2018</v>
      </c>
      <c r="H12" s="30" t="s">
        <v>413</v>
      </c>
      <c r="I12" s="30" t="s">
        <v>414</v>
      </c>
      <c r="J12" s="30">
        <v>-14.683332999999999</v>
      </c>
      <c r="K12" s="30">
        <v>145.44999999999999</v>
      </c>
      <c r="L12" s="30" t="s">
        <v>370</v>
      </c>
      <c r="M12" s="30" t="s">
        <v>371</v>
      </c>
      <c r="N12" s="30" t="s">
        <v>594</v>
      </c>
      <c r="O12" s="30" t="s">
        <v>288</v>
      </c>
      <c r="P12" s="30" t="s">
        <v>289</v>
      </c>
      <c r="Q12" s="30" t="s">
        <v>291</v>
      </c>
      <c r="R12" s="30" t="s">
        <v>327</v>
      </c>
      <c r="S12" s="30" t="s">
        <v>717</v>
      </c>
      <c r="T12" s="30" t="s">
        <v>330</v>
      </c>
      <c r="U12" s="30">
        <v>5</v>
      </c>
      <c r="V12" s="30" t="s">
        <v>535</v>
      </c>
      <c r="W12" s="30">
        <v>2015</v>
      </c>
      <c r="X12" s="30" t="s">
        <v>292</v>
      </c>
      <c r="Y12" s="30" t="s">
        <v>696</v>
      </c>
      <c r="Z12" s="30" t="s">
        <v>302</v>
      </c>
      <c r="AA12" s="30" t="s">
        <v>303</v>
      </c>
      <c r="AB12" s="30" t="s">
        <v>770</v>
      </c>
      <c r="AC12" s="30" t="s">
        <v>771</v>
      </c>
      <c r="AD12" s="30" t="s">
        <v>309</v>
      </c>
      <c r="AE12" s="30" t="s">
        <v>801</v>
      </c>
      <c r="AF12" s="30" t="s">
        <v>802</v>
      </c>
      <c r="AH12" s="30" t="s">
        <v>820</v>
      </c>
      <c r="AI12" s="30" t="s">
        <v>803</v>
      </c>
      <c r="AJ12" s="30" t="s">
        <v>792</v>
      </c>
      <c r="AK12" s="30" t="s">
        <v>816</v>
      </c>
      <c r="AL12" s="30" t="s">
        <v>357</v>
      </c>
      <c r="AM12" s="30" t="s">
        <v>1059</v>
      </c>
      <c r="AN12" s="30" t="s">
        <v>1276</v>
      </c>
      <c r="AO12" s="30" t="s">
        <v>541</v>
      </c>
      <c r="AP12" s="30" t="s">
        <v>614</v>
      </c>
      <c r="AQ12" s="30" t="s">
        <v>614</v>
      </c>
      <c r="AR12" s="30">
        <v>1.98913043478261</v>
      </c>
      <c r="AS12" s="30">
        <v>0.45571246675307958</v>
      </c>
      <c r="AT12" s="30" t="s">
        <v>311</v>
      </c>
      <c r="AU12" s="30">
        <v>9</v>
      </c>
      <c r="AV12" s="30">
        <v>1.1083208395802098</v>
      </c>
      <c r="AW12" s="30">
        <v>0.42513084363138792</v>
      </c>
      <c r="AX12" s="30" t="s">
        <v>311</v>
      </c>
      <c r="AY12" s="30">
        <v>9</v>
      </c>
      <c r="AZ12" s="30" t="s">
        <v>1678</v>
      </c>
      <c r="BA12" s="30" t="s">
        <v>1679</v>
      </c>
      <c r="BB12">
        <v>64</v>
      </c>
      <c r="BC12" s="30" t="s">
        <v>1673</v>
      </c>
      <c r="BD12" s="30" t="s">
        <v>311</v>
      </c>
      <c r="BE12" s="30" t="s">
        <v>1881</v>
      </c>
      <c r="BF12" s="30" t="s">
        <v>311</v>
      </c>
      <c r="BG12" s="30" t="s">
        <v>311</v>
      </c>
      <c r="BH12" s="30" t="s">
        <v>311</v>
      </c>
      <c r="BI12" s="30" t="s">
        <v>311</v>
      </c>
      <c r="BJ12" s="30" t="s">
        <v>311</v>
      </c>
      <c r="BK12" s="30" t="s">
        <v>311</v>
      </c>
      <c r="BL12" s="30" t="s">
        <v>311</v>
      </c>
      <c r="BM12" s="30" t="s">
        <v>311</v>
      </c>
      <c r="BN12" s="30" t="s">
        <v>311</v>
      </c>
      <c r="BO12" s="30" t="s">
        <v>311</v>
      </c>
      <c r="BP12" s="30" t="s">
        <v>311</v>
      </c>
      <c r="BQ12" s="30" t="s">
        <v>311</v>
      </c>
      <c r="BR12" s="30" t="s">
        <v>311</v>
      </c>
      <c r="BS12" s="30" t="s">
        <v>311</v>
      </c>
      <c r="BT12" s="30" t="s">
        <v>311</v>
      </c>
      <c r="BU12" s="30" t="s">
        <v>311</v>
      </c>
      <c r="BV12" s="30" t="s">
        <v>311</v>
      </c>
      <c r="BW12" s="30" t="s">
        <v>311</v>
      </c>
      <c r="BX12" s="30" t="s">
        <v>311</v>
      </c>
      <c r="BY12" s="30" t="s">
        <v>311</v>
      </c>
      <c r="BZ12" s="30">
        <v>0.08</v>
      </c>
      <c r="CA12" s="30">
        <v>25</v>
      </c>
      <c r="CB12" s="30" t="s">
        <v>1209</v>
      </c>
      <c r="CC12" s="30" t="s">
        <v>1210</v>
      </c>
      <c r="CD12" s="30" t="s">
        <v>311</v>
      </c>
      <c r="CE12" s="30" t="s">
        <v>311</v>
      </c>
      <c r="CF12" s="30" t="s">
        <v>311</v>
      </c>
      <c r="CG12" s="30" t="s">
        <v>1237</v>
      </c>
      <c r="CH12" s="30">
        <v>1983</v>
      </c>
      <c r="CI12" s="30">
        <v>0</v>
      </c>
      <c r="CJ12" s="38" t="s">
        <v>311</v>
      </c>
      <c r="CK12" s="38" t="s">
        <v>311</v>
      </c>
      <c r="CL12" s="38" t="s">
        <v>311</v>
      </c>
      <c r="CM12" s="38" t="s">
        <v>311</v>
      </c>
      <c r="CN12" s="38" t="s">
        <v>311</v>
      </c>
      <c r="CO12" s="38" t="s">
        <v>311</v>
      </c>
      <c r="CP12" s="38" t="s">
        <v>311</v>
      </c>
      <c r="CR12" s="30" t="s">
        <v>1669</v>
      </c>
    </row>
    <row r="13" spans="1:96">
      <c r="A13">
        <v>12</v>
      </c>
      <c r="B13">
        <v>3</v>
      </c>
      <c r="C13">
        <v>9</v>
      </c>
      <c r="D13" t="s">
        <v>30</v>
      </c>
      <c r="E13" t="s">
        <v>31</v>
      </c>
      <c r="F13" t="s">
        <v>32</v>
      </c>
      <c r="G13">
        <v>2018</v>
      </c>
      <c r="H13" t="s">
        <v>413</v>
      </c>
      <c r="I13" t="s">
        <v>414</v>
      </c>
      <c r="J13">
        <v>-14.683332999999999</v>
      </c>
      <c r="K13">
        <v>145.44999999999999</v>
      </c>
      <c r="L13" t="s">
        <v>370</v>
      </c>
      <c r="M13" t="s">
        <v>371</v>
      </c>
      <c r="N13" t="s">
        <v>594</v>
      </c>
      <c r="O13" t="s">
        <v>288</v>
      </c>
      <c r="P13" t="s">
        <v>289</v>
      </c>
      <c r="Q13" t="s">
        <v>291</v>
      </c>
      <c r="R13" t="s">
        <v>327</v>
      </c>
      <c r="S13" t="s">
        <v>717</v>
      </c>
      <c r="T13" t="s">
        <v>330</v>
      </c>
      <c r="U13">
        <v>5</v>
      </c>
      <c r="V13" t="s">
        <v>535</v>
      </c>
      <c r="W13">
        <v>2015</v>
      </c>
      <c r="X13" t="s">
        <v>292</v>
      </c>
      <c r="Y13" t="s">
        <v>696</v>
      </c>
      <c r="Z13" t="s">
        <v>302</v>
      </c>
      <c r="AA13" t="s">
        <v>303</v>
      </c>
      <c r="AB13" t="s">
        <v>770</v>
      </c>
      <c r="AC13" t="s">
        <v>771</v>
      </c>
      <c r="AD13" t="s">
        <v>309</v>
      </c>
      <c r="AE13" t="s">
        <v>801</v>
      </c>
      <c r="AF13" t="s">
        <v>802</v>
      </c>
      <c r="AH13" t="s">
        <v>820</v>
      </c>
      <c r="AI13" t="s">
        <v>803</v>
      </c>
      <c r="AJ13" t="s">
        <v>792</v>
      </c>
      <c r="AK13" t="s">
        <v>1644</v>
      </c>
      <c r="AL13" t="s">
        <v>357</v>
      </c>
      <c r="AM13" t="s">
        <v>1059</v>
      </c>
      <c r="AN13" t="s">
        <v>1276</v>
      </c>
      <c r="AO13" t="s">
        <v>541</v>
      </c>
      <c r="AP13" t="s">
        <v>887</v>
      </c>
      <c r="AQ13" t="s">
        <v>614</v>
      </c>
      <c r="AR13">
        <v>1.92913385826771</v>
      </c>
      <c r="AS13">
        <v>0.26574803149605986</v>
      </c>
      <c r="AT13" t="s">
        <v>311</v>
      </c>
      <c r="AU13">
        <v>9</v>
      </c>
      <c r="AV13">
        <v>1.3188976377952699</v>
      </c>
      <c r="AW13">
        <v>0.28543307086614012</v>
      </c>
      <c r="AX13" t="s">
        <v>311</v>
      </c>
      <c r="AY13">
        <v>9</v>
      </c>
      <c r="AZ13" t="s">
        <v>1678</v>
      </c>
      <c r="BA13" t="s">
        <v>1679</v>
      </c>
      <c r="BB13">
        <v>36</v>
      </c>
      <c r="BC13" t="s">
        <v>1672</v>
      </c>
      <c r="BD13" t="s">
        <v>1764</v>
      </c>
      <c r="BE13" t="s">
        <v>1881</v>
      </c>
      <c r="BF13" t="s">
        <v>311</v>
      </c>
      <c r="BG13" t="s">
        <v>311</v>
      </c>
      <c r="BH13" t="s">
        <v>311</v>
      </c>
      <c r="BI13" t="s">
        <v>311</v>
      </c>
      <c r="BJ13" t="s">
        <v>311</v>
      </c>
      <c r="BK13" t="s">
        <v>311</v>
      </c>
      <c r="BL13" t="s">
        <v>311</v>
      </c>
      <c r="BM13" t="s">
        <v>311</v>
      </c>
      <c r="BN13" t="s">
        <v>311</v>
      </c>
      <c r="BO13" t="s">
        <v>311</v>
      </c>
      <c r="BP13" t="s">
        <v>311</v>
      </c>
      <c r="BQ13" t="s">
        <v>311</v>
      </c>
      <c r="BR13" t="s">
        <v>311</v>
      </c>
      <c r="BS13" t="s">
        <v>311</v>
      </c>
      <c r="BT13" t="s">
        <v>311</v>
      </c>
      <c r="BU13" t="s">
        <v>311</v>
      </c>
      <c r="BV13" t="s">
        <v>311</v>
      </c>
      <c r="BW13" t="s">
        <v>311</v>
      </c>
      <c r="BX13" t="s">
        <v>311</v>
      </c>
      <c r="BY13" t="s">
        <v>311</v>
      </c>
      <c r="BZ13">
        <v>0.08</v>
      </c>
      <c r="CA13">
        <v>25</v>
      </c>
      <c r="CB13" t="s">
        <v>1209</v>
      </c>
      <c r="CC13" t="s">
        <v>1210</v>
      </c>
      <c r="CD13" t="s">
        <v>311</v>
      </c>
      <c r="CE13" t="s">
        <v>311</v>
      </c>
      <c r="CF13" t="s">
        <v>311</v>
      </c>
      <c r="CG13" t="s">
        <v>1237</v>
      </c>
      <c r="CH13">
        <v>1983</v>
      </c>
      <c r="CI13">
        <v>0</v>
      </c>
      <c r="CJ13" s="38" t="s">
        <v>311</v>
      </c>
      <c r="CK13" s="38" t="s">
        <v>311</v>
      </c>
      <c r="CL13" s="38" t="s">
        <v>311</v>
      </c>
      <c r="CM13" s="38" t="s">
        <v>311</v>
      </c>
      <c r="CN13" s="38" t="s">
        <v>311</v>
      </c>
      <c r="CO13" s="38" t="s">
        <v>311</v>
      </c>
      <c r="CP13" s="38" t="s">
        <v>311</v>
      </c>
      <c r="CQ13" t="s">
        <v>1684</v>
      </c>
      <c r="CR13" t="s">
        <v>1642</v>
      </c>
    </row>
    <row r="14" spans="1:96">
      <c r="A14">
        <v>13</v>
      </c>
      <c r="B14">
        <v>3</v>
      </c>
      <c r="C14">
        <v>10</v>
      </c>
      <c r="D14" t="s">
        <v>30</v>
      </c>
      <c r="E14" t="s">
        <v>31</v>
      </c>
      <c r="F14" t="s">
        <v>32</v>
      </c>
      <c r="G14">
        <v>2018</v>
      </c>
      <c r="H14" t="s">
        <v>413</v>
      </c>
      <c r="I14" t="s">
        <v>414</v>
      </c>
      <c r="J14">
        <v>-14.683332999999999</v>
      </c>
      <c r="K14">
        <v>145.44999999999999</v>
      </c>
      <c r="L14" t="s">
        <v>370</v>
      </c>
      <c r="M14" t="s">
        <v>371</v>
      </c>
      <c r="N14" t="s">
        <v>594</v>
      </c>
      <c r="O14" t="s">
        <v>288</v>
      </c>
      <c r="P14" t="s">
        <v>289</v>
      </c>
      <c r="Q14" t="s">
        <v>291</v>
      </c>
      <c r="R14" t="s">
        <v>327</v>
      </c>
      <c r="S14" t="s">
        <v>717</v>
      </c>
      <c r="T14" t="s">
        <v>330</v>
      </c>
      <c r="U14">
        <v>5</v>
      </c>
      <c r="V14" t="s">
        <v>535</v>
      </c>
      <c r="W14">
        <v>2015</v>
      </c>
      <c r="X14" t="s">
        <v>292</v>
      </c>
      <c r="Y14" t="s">
        <v>696</v>
      </c>
      <c r="Z14" t="s">
        <v>302</v>
      </c>
      <c r="AA14" t="s">
        <v>303</v>
      </c>
      <c r="AB14" t="s">
        <v>770</v>
      </c>
      <c r="AC14" t="s">
        <v>771</v>
      </c>
      <c r="AD14" t="s">
        <v>309</v>
      </c>
      <c r="AE14" t="s">
        <v>801</v>
      </c>
      <c r="AF14" t="s">
        <v>802</v>
      </c>
      <c r="AH14" t="s">
        <v>820</v>
      </c>
      <c r="AI14" t="s">
        <v>803</v>
      </c>
      <c r="AJ14" t="s">
        <v>792</v>
      </c>
      <c r="AK14" t="s">
        <v>1645</v>
      </c>
      <c r="AL14" t="s">
        <v>357</v>
      </c>
      <c r="AM14" t="s">
        <v>1059</v>
      </c>
      <c r="AN14" t="s">
        <v>1276</v>
      </c>
      <c r="AO14" t="s">
        <v>541</v>
      </c>
      <c r="AP14" t="s">
        <v>887</v>
      </c>
      <c r="AQ14" t="s">
        <v>614</v>
      </c>
      <c r="AR14">
        <v>3.7548638132295702</v>
      </c>
      <c r="AS14">
        <v>0.40856031128403991</v>
      </c>
      <c r="AT14" t="s">
        <v>311</v>
      </c>
      <c r="AU14">
        <v>9</v>
      </c>
      <c r="AV14">
        <v>2.52918287937743</v>
      </c>
      <c r="AW14">
        <v>0.36964980544746995</v>
      </c>
      <c r="AX14" t="s">
        <v>311</v>
      </c>
      <c r="AY14">
        <v>9</v>
      </c>
      <c r="AZ14" t="s">
        <v>1678</v>
      </c>
      <c r="BA14" t="s">
        <v>1679</v>
      </c>
      <c r="BB14">
        <v>64</v>
      </c>
      <c r="BC14" t="s">
        <v>1672</v>
      </c>
      <c r="BD14" t="s">
        <v>1763</v>
      </c>
      <c r="BE14" t="s">
        <v>1881</v>
      </c>
      <c r="BF14" t="s">
        <v>311</v>
      </c>
      <c r="BG14" t="s">
        <v>311</v>
      </c>
      <c r="BH14" t="s">
        <v>311</v>
      </c>
      <c r="BI14" t="s">
        <v>311</v>
      </c>
      <c r="BJ14" t="s">
        <v>311</v>
      </c>
      <c r="BK14" t="s">
        <v>311</v>
      </c>
      <c r="BL14" t="s">
        <v>311</v>
      </c>
      <c r="BM14" t="s">
        <v>311</v>
      </c>
      <c r="BN14" t="s">
        <v>311</v>
      </c>
      <c r="BO14" t="s">
        <v>311</v>
      </c>
      <c r="BP14" t="s">
        <v>311</v>
      </c>
      <c r="BQ14" t="s">
        <v>311</v>
      </c>
      <c r="BR14" t="s">
        <v>311</v>
      </c>
      <c r="BS14" t="s">
        <v>311</v>
      </c>
      <c r="BT14" t="s">
        <v>311</v>
      </c>
      <c r="BU14" t="s">
        <v>311</v>
      </c>
      <c r="BV14" t="s">
        <v>311</v>
      </c>
      <c r="BW14" t="s">
        <v>311</v>
      </c>
      <c r="BX14" t="s">
        <v>311</v>
      </c>
      <c r="BY14" t="s">
        <v>311</v>
      </c>
      <c r="BZ14">
        <v>0.08</v>
      </c>
      <c r="CA14">
        <v>25</v>
      </c>
      <c r="CB14" t="s">
        <v>1209</v>
      </c>
      <c r="CC14" t="s">
        <v>1210</v>
      </c>
      <c r="CD14" t="s">
        <v>311</v>
      </c>
      <c r="CE14" t="s">
        <v>311</v>
      </c>
      <c r="CF14" t="s">
        <v>311</v>
      </c>
      <c r="CG14" t="s">
        <v>1237</v>
      </c>
      <c r="CH14">
        <v>1983</v>
      </c>
      <c r="CI14">
        <v>0</v>
      </c>
      <c r="CJ14" s="38" t="s">
        <v>311</v>
      </c>
      <c r="CK14" s="38" t="s">
        <v>311</v>
      </c>
      <c r="CL14" s="38" t="s">
        <v>311</v>
      </c>
      <c r="CM14" s="38" t="s">
        <v>311</v>
      </c>
      <c r="CN14" s="38" t="s">
        <v>311</v>
      </c>
      <c r="CO14" s="38" t="s">
        <v>311</v>
      </c>
      <c r="CP14" s="38" t="s">
        <v>311</v>
      </c>
      <c r="CQ14" t="s">
        <v>1683</v>
      </c>
      <c r="CR14" t="s">
        <v>1643</v>
      </c>
    </row>
    <row r="15" spans="1:96">
      <c r="A15">
        <v>14</v>
      </c>
      <c r="B15">
        <v>3</v>
      </c>
      <c r="C15">
        <v>11</v>
      </c>
      <c r="D15" t="s">
        <v>30</v>
      </c>
      <c r="E15" t="s">
        <v>31</v>
      </c>
      <c r="F15" t="s">
        <v>32</v>
      </c>
      <c r="G15">
        <v>2018</v>
      </c>
      <c r="H15" t="s">
        <v>413</v>
      </c>
      <c r="I15" t="s">
        <v>414</v>
      </c>
      <c r="J15">
        <v>-14.683332999999999</v>
      </c>
      <c r="K15">
        <v>145.44999999999999</v>
      </c>
      <c r="L15" t="s">
        <v>370</v>
      </c>
      <c r="M15" t="s">
        <v>371</v>
      </c>
      <c r="N15" t="s">
        <v>594</v>
      </c>
      <c r="O15" t="s">
        <v>288</v>
      </c>
      <c r="P15" t="s">
        <v>289</v>
      </c>
      <c r="Q15" t="s">
        <v>291</v>
      </c>
      <c r="R15" t="s">
        <v>327</v>
      </c>
      <c r="S15" t="s">
        <v>717</v>
      </c>
      <c r="T15" t="s">
        <v>330</v>
      </c>
      <c r="U15">
        <v>5</v>
      </c>
      <c r="V15" t="s">
        <v>535</v>
      </c>
      <c r="W15">
        <v>2015</v>
      </c>
      <c r="X15" t="s">
        <v>292</v>
      </c>
      <c r="Y15" t="s">
        <v>696</v>
      </c>
      <c r="Z15" t="s">
        <v>302</v>
      </c>
      <c r="AA15" t="s">
        <v>303</v>
      </c>
      <c r="AB15" t="s">
        <v>770</v>
      </c>
      <c r="AC15" t="s">
        <v>771</v>
      </c>
      <c r="AD15" t="s">
        <v>292</v>
      </c>
      <c r="AE15" t="s">
        <v>657</v>
      </c>
      <c r="AF15" t="s">
        <v>304</v>
      </c>
      <c r="AH15" t="s">
        <v>305</v>
      </c>
      <c r="AI15" t="s">
        <v>655</v>
      </c>
      <c r="AJ15" t="s">
        <v>772</v>
      </c>
      <c r="AK15" t="s">
        <v>817</v>
      </c>
      <c r="AL15" t="s">
        <v>357</v>
      </c>
      <c r="AM15" t="s">
        <v>1059</v>
      </c>
      <c r="AN15" t="s">
        <v>1276</v>
      </c>
      <c r="AO15" t="s">
        <v>1070</v>
      </c>
      <c r="AP15" t="s">
        <v>614</v>
      </c>
      <c r="AQ15" t="s">
        <v>614</v>
      </c>
      <c r="AR15">
        <v>-4.1769115442278015E-2</v>
      </c>
      <c r="AS15">
        <v>0.20955594849830667</v>
      </c>
      <c r="AT15" t="s">
        <v>311</v>
      </c>
      <c r="AU15">
        <v>9</v>
      </c>
      <c r="AV15">
        <v>-0.11232383808096003</v>
      </c>
      <c r="AW15">
        <v>0.18013504171755976</v>
      </c>
      <c r="AX15" t="s">
        <v>311</v>
      </c>
      <c r="AY15">
        <v>9</v>
      </c>
      <c r="AZ15" t="s">
        <v>1055</v>
      </c>
      <c r="BA15" t="s">
        <v>1679</v>
      </c>
      <c r="BB15">
        <v>64</v>
      </c>
      <c r="BC15" t="s">
        <v>1672</v>
      </c>
      <c r="BD15" t="s">
        <v>311</v>
      </c>
      <c r="BE15" t="s">
        <v>1880</v>
      </c>
      <c r="BF15" t="s">
        <v>311</v>
      </c>
      <c r="BG15" t="s">
        <v>311</v>
      </c>
      <c r="BH15" t="s">
        <v>311</v>
      </c>
      <c r="BI15" t="s">
        <v>311</v>
      </c>
      <c r="BJ15" t="s">
        <v>311</v>
      </c>
      <c r="BK15" t="s">
        <v>311</v>
      </c>
      <c r="BL15" t="s">
        <v>311</v>
      </c>
      <c r="BM15" t="s">
        <v>311</v>
      </c>
      <c r="BN15" t="s">
        <v>311</v>
      </c>
      <c r="BO15" t="s">
        <v>311</v>
      </c>
      <c r="BP15" t="s">
        <v>311</v>
      </c>
      <c r="BQ15" t="s">
        <v>311</v>
      </c>
      <c r="BR15" t="s">
        <v>311</v>
      </c>
      <c r="BS15" t="s">
        <v>311</v>
      </c>
      <c r="BT15" t="s">
        <v>311</v>
      </c>
      <c r="BU15" t="s">
        <v>311</v>
      </c>
      <c r="BV15" t="s">
        <v>311</v>
      </c>
      <c r="BW15" t="s">
        <v>311</v>
      </c>
      <c r="BX15" t="s">
        <v>311</v>
      </c>
      <c r="BY15" t="s">
        <v>311</v>
      </c>
      <c r="BZ15">
        <v>0.08</v>
      </c>
      <c r="CA15">
        <v>25</v>
      </c>
      <c r="CB15" t="s">
        <v>1209</v>
      </c>
      <c r="CC15" t="s">
        <v>1210</v>
      </c>
      <c r="CD15" t="s">
        <v>311</v>
      </c>
      <c r="CE15" t="s">
        <v>311</v>
      </c>
      <c r="CF15" t="s">
        <v>311</v>
      </c>
      <c r="CG15" t="s">
        <v>1237</v>
      </c>
      <c r="CH15">
        <v>1983</v>
      </c>
      <c r="CI15">
        <v>0</v>
      </c>
      <c r="CJ15" s="38" t="s">
        <v>311</v>
      </c>
      <c r="CK15" s="38" t="s">
        <v>311</v>
      </c>
      <c r="CL15" s="38" t="s">
        <v>311</v>
      </c>
      <c r="CM15" s="38" t="s">
        <v>311</v>
      </c>
      <c r="CN15" s="38" t="s">
        <v>311</v>
      </c>
      <c r="CO15" s="38" t="s">
        <v>311</v>
      </c>
      <c r="CP15" s="38" t="s">
        <v>311</v>
      </c>
      <c r="CR15" t="s">
        <v>1576</v>
      </c>
    </row>
    <row r="16" spans="1:96">
      <c r="A16">
        <v>15</v>
      </c>
      <c r="B16">
        <v>3</v>
      </c>
      <c r="C16">
        <v>12</v>
      </c>
      <c r="D16" t="s">
        <v>30</v>
      </c>
      <c r="E16" t="s">
        <v>31</v>
      </c>
      <c r="F16" t="s">
        <v>32</v>
      </c>
      <c r="G16">
        <v>2018</v>
      </c>
      <c r="H16" t="s">
        <v>413</v>
      </c>
      <c r="I16" t="s">
        <v>414</v>
      </c>
      <c r="J16">
        <v>-14.683332999999999</v>
      </c>
      <c r="K16">
        <v>145.44999999999999</v>
      </c>
      <c r="L16" t="s">
        <v>370</v>
      </c>
      <c r="M16" t="s">
        <v>371</v>
      </c>
      <c r="N16" t="s">
        <v>594</v>
      </c>
      <c r="O16" t="s">
        <v>288</v>
      </c>
      <c r="P16" t="s">
        <v>289</v>
      </c>
      <c r="Q16" t="s">
        <v>291</v>
      </c>
      <c r="R16" t="s">
        <v>327</v>
      </c>
      <c r="S16" t="s">
        <v>717</v>
      </c>
      <c r="T16" t="s">
        <v>330</v>
      </c>
      <c r="U16">
        <v>5</v>
      </c>
      <c r="V16" t="s">
        <v>535</v>
      </c>
      <c r="W16">
        <v>2015</v>
      </c>
      <c r="X16" t="s">
        <v>292</v>
      </c>
      <c r="Y16" t="s">
        <v>696</v>
      </c>
      <c r="Z16" t="s">
        <v>302</v>
      </c>
      <c r="AA16" t="s">
        <v>303</v>
      </c>
      <c r="AB16" t="s">
        <v>770</v>
      </c>
      <c r="AC16" t="s">
        <v>771</v>
      </c>
      <c r="AD16" t="s">
        <v>292</v>
      </c>
      <c r="AE16" t="s">
        <v>657</v>
      </c>
      <c r="AF16" t="s">
        <v>304</v>
      </c>
      <c r="AH16" t="s">
        <v>305</v>
      </c>
      <c r="AI16" t="s">
        <v>655</v>
      </c>
      <c r="AJ16" t="s">
        <v>772</v>
      </c>
      <c r="AK16" t="s">
        <v>818</v>
      </c>
      <c r="AL16" t="s">
        <v>357</v>
      </c>
      <c r="AM16" t="s">
        <v>1059</v>
      </c>
      <c r="AN16" t="s">
        <v>1276</v>
      </c>
      <c r="AO16" t="s">
        <v>606</v>
      </c>
      <c r="AP16" t="s">
        <v>614</v>
      </c>
      <c r="AQ16" t="s">
        <v>614</v>
      </c>
      <c r="AR16">
        <v>0.39473684210525495</v>
      </c>
      <c r="AS16">
        <v>0.10608233879340685</v>
      </c>
      <c r="AT16" t="s">
        <v>311</v>
      </c>
      <c r="AU16">
        <v>9</v>
      </c>
      <c r="AV16">
        <v>0.26315789473683904</v>
      </c>
      <c r="AW16">
        <v>0.17155795803164609</v>
      </c>
      <c r="AX16" t="s">
        <v>311</v>
      </c>
      <c r="AY16">
        <v>9</v>
      </c>
      <c r="AZ16" t="s">
        <v>1055</v>
      </c>
      <c r="BA16" t="s">
        <v>1679</v>
      </c>
      <c r="BB16">
        <v>64</v>
      </c>
      <c r="BC16" t="s">
        <v>1672</v>
      </c>
      <c r="BD16" t="s">
        <v>311</v>
      </c>
      <c r="BE16" t="s">
        <v>1880</v>
      </c>
      <c r="BF16" t="s">
        <v>311</v>
      </c>
      <c r="BG16" t="s">
        <v>311</v>
      </c>
      <c r="BH16" t="s">
        <v>311</v>
      </c>
      <c r="BI16" t="s">
        <v>311</v>
      </c>
      <c r="BJ16" t="s">
        <v>311</v>
      </c>
      <c r="BK16" t="s">
        <v>311</v>
      </c>
      <c r="BL16" t="s">
        <v>311</v>
      </c>
      <c r="BM16" t="s">
        <v>311</v>
      </c>
      <c r="BN16" t="s">
        <v>311</v>
      </c>
      <c r="BO16" t="s">
        <v>311</v>
      </c>
      <c r="BP16" t="s">
        <v>311</v>
      </c>
      <c r="BQ16" t="s">
        <v>311</v>
      </c>
      <c r="BR16" t="s">
        <v>311</v>
      </c>
      <c r="BS16" t="s">
        <v>311</v>
      </c>
      <c r="BT16" t="s">
        <v>311</v>
      </c>
      <c r="BU16" t="s">
        <v>311</v>
      </c>
      <c r="BV16" t="s">
        <v>311</v>
      </c>
      <c r="BW16" t="s">
        <v>311</v>
      </c>
      <c r="BX16" t="s">
        <v>311</v>
      </c>
      <c r="BY16" t="s">
        <v>311</v>
      </c>
      <c r="BZ16">
        <v>0.08</v>
      </c>
      <c r="CA16">
        <v>25</v>
      </c>
      <c r="CB16" t="s">
        <v>1209</v>
      </c>
      <c r="CC16" t="s">
        <v>1210</v>
      </c>
      <c r="CD16" t="s">
        <v>311</v>
      </c>
      <c r="CE16" t="s">
        <v>311</v>
      </c>
      <c r="CF16" t="s">
        <v>311</v>
      </c>
      <c r="CG16" t="s">
        <v>1237</v>
      </c>
      <c r="CH16">
        <v>1983</v>
      </c>
      <c r="CI16">
        <v>0</v>
      </c>
      <c r="CJ16" s="38" t="s">
        <v>311</v>
      </c>
      <c r="CK16" s="38" t="s">
        <v>311</v>
      </c>
      <c r="CL16" s="38" t="s">
        <v>311</v>
      </c>
      <c r="CM16" s="38" t="s">
        <v>311</v>
      </c>
      <c r="CN16" s="38" t="s">
        <v>311</v>
      </c>
      <c r="CO16" s="38" t="s">
        <v>311</v>
      </c>
      <c r="CP16" s="38" t="s">
        <v>311</v>
      </c>
      <c r="CR16" t="s">
        <v>1577</v>
      </c>
    </row>
    <row r="17" spans="1:96" s="30" customFormat="1">
      <c r="A17">
        <v>16</v>
      </c>
      <c r="B17" s="30">
        <v>3</v>
      </c>
      <c r="C17" s="30">
        <v>13</v>
      </c>
      <c r="D17" s="30" t="s">
        <v>30</v>
      </c>
      <c r="E17" s="30" t="s">
        <v>31</v>
      </c>
      <c r="F17" s="30" t="s">
        <v>32</v>
      </c>
      <c r="G17" s="30">
        <v>2018</v>
      </c>
      <c r="H17" s="30" t="s">
        <v>413</v>
      </c>
      <c r="I17" s="30" t="s">
        <v>414</v>
      </c>
      <c r="J17" s="30">
        <v>-14.683332999999999</v>
      </c>
      <c r="K17" s="30">
        <v>145.44999999999999</v>
      </c>
      <c r="L17" s="30" t="s">
        <v>370</v>
      </c>
      <c r="M17" s="30" t="s">
        <v>371</v>
      </c>
      <c r="N17" s="30" t="s">
        <v>594</v>
      </c>
      <c r="O17" s="30" t="s">
        <v>288</v>
      </c>
      <c r="P17" s="30" t="s">
        <v>289</v>
      </c>
      <c r="Q17" s="30" t="s">
        <v>291</v>
      </c>
      <c r="R17" s="30" t="s">
        <v>327</v>
      </c>
      <c r="S17" s="30" t="s">
        <v>717</v>
      </c>
      <c r="T17" s="30" t="s">
        <v>330</v>
      </c>
      <c r="U17" s="30">
        <v>5</v>
      </c>
      <c r="V17" s="30" t="s">
        <v>535</v>
      </c>
      <c r="W17" s="30">
        <v>2015</v>
      </c>
      <c r="X17" s="30" t="s">
        <v>292</v>
      </c>
      <c r="Y17" s="30" t="s">
        <v>696</v>
      </c>
      <c r="Z17" s="30" t="s">
        <v>302</v>
      </c>
      <c r="AA17" s="30" t="s">
        <v>303</v>
      </c>
      <c r="AB17" s="30" t="s">
        <v>770</v>
      </c>
      <c r="AC17" s="30" t="s">
        <v>771</v>
      </c>
      <c r="AD17" s="30" t="s">
        <v>292</v>
      </c>
      <c r="AE17" s="30" t="s">
        <v>657</v>
      </c>
      <c r="AF17" s="30" t="s">
        <v>304</v>
      </c>
      <c r="AH17" s="30" t="s">
        <v>305</v>
      </c>
      <c r="AI17" s="30" t="s">
        <v>655</v>
      </c>
      <c r="AJ17" s="30" t="s">
        <v>772</v>
      </c>
      <c r="AK17" s="30" t="s">
        <v>1668</v>
      </c>
      <c r="AL17" s="30" t="s">
        <v>357</v>
      </c>
      <c r="AM17" s="30" t="s">
        <v>1059</v>
      </c>
      <c r="AN17" s="30" t="s">
        <v>1276</v>
      </c>
      <c r="AO17" s="30" t="s">
        <v>606</v>
      </c>
      <c r="AP17" s="30" t="s">
        <v>887</v>
      </c>
      <c r="AQ17" s="30" t="s">
        <v>614</v>
      </c>
      <c r="AR17" s="30">
        <v>1.0526315789473599</v>
      </c>
      <c r="AS17" s="30">
        <v>9.2105263157900019E-2</v>
      </c>
      <c r="AT17" s="30" t="s">
        <v>311</v>
      </c>
      <c r="AU17" s="30">
        <v>9</v>
      </c>
      <c r="AV17" s="30">
        <v>1.09210526315789</v>
      </c>
      <c r="AW17" s="30">
        <v>0.14473684210525994</v>
      </c>
      <c r="AX17" s="30" t="s">
        <v>311</v>
      </c>
      <c r="AY17" s="30">
        <v>9</v>
      </c>
      <c r="AZ17" s="30" t="s">
        <v>1055</v>
      </c>
      <c r="BA17" s="30" t="s">
        <v>1679</v>
      </c>
      <c r="BB17">
        <v>64</v>
      </c>
      <c r="BC17" s="30" t="s">
        <v>1673</v>
      </c>
      <c r="BD17" s="30" t="s">
        <v>1763</v>
      </c>
      <c r="BE17" s="30" t="s">
        <v>1880</v>
      </c>
      <c r="BF17" s="30" t="s">
        <v>311</v>
      </c>
      <c r="BG17" s="30" t="s">
        <v>311</v>
      </c>
      <c r="BH17" s="30" t="s">
        <v>311</v>
      </c>
      <c r="BI17" s="30" t="s">
        <v>311</v>
      </c>
      <c r="BJ17" s="30" t="s">
        <v>311</v>
      </c>
      <c r="BK17" s="30" t="s">
        <v>311</v>
      </c>
      <c r="BL17" s="30" t="s">
        <v>311</v>
      </c>
      <c r="BM17" s="30" t="s">
        <v>311</v>
      </c>
      <c r="BN17" s="30" t="s">
        <v>311</v>
      </c>
      <c r="BO17" s="30" t="s">
        <v>311</v>
      </c>
      <c r="BP17" s="30" t="s">
        <v>311</v>
      </c>
      <c r="BQ17" s="30" t="s">
        <v>311</v>
      </c>
      <c r="BR17" s="30" t="s">
        <v>311</v>
      </c>
      <c r="BS17" s="30" t="s">
        <v>311</v>
      </c>
      <c r="BT17" s="30" t="s">
        <v>311</v>
      </c>
      <c r="BU17" s="30" t="s">
        <v>311</v>
      </c>
      <c r="BV17" s="30" t="s">
        <v>311</v>
      </c>
      <c r="BW17" s="30" t="s">
        <v>311</v>
      </c>
      <c r="BX17" s="30" t="s">
        <v>311</v>
      </c>
      <c r="BY17" s="30" t="s">
        <v>311</v>
      </c>
      <c r="BZ17" s="30">
        <v>0.08</v>
      </c>
      <c r="CA17" s="30">
        <v>25</v>
      </c>
      <c r="CB17" s="30" t="s">
        <v>1209</v>
      </c>
      <c r="CC17" s="30" t="s">
        <v>1210</v>
      </c>
      <c r="CD17" s="30" t="s">
        <v>311</v>
      </c>
      <c r="CE17" s="30" t="s">
        <v>311</v>
      </c>
      <c r="CF17" s="30" t="s">
        <v>311</v>
      </c>
      <c r="CG17" s="30" t="s">
        <v>1237</v>
      </c>
      <c r="CH17" s="30">
        <v>1983</v>
      </c>
      <c r="CI17" s="30">
        <v>0</v>
      </c>
      <c r="CJ17" s="38" t="s">
        <v>311</v>
      </c>
      <c r="CK17" s="38" t="s">
        <v>311</v>
      </c>
      <c r="CL17" s="38" t="s">
        <v>311</v>
      </c>
      <c r="CM17" s="38" t="s">
        <v>311</v>
      </c>
      <c r="CN17" s="38" t="s">
        <v>311</v>
      </c>
      <c r="CO17" s="38" t="s">
        <v>311</v>
      </c>
      <c r="CP17" s="38" t="s">
        <v>311</v>
      </c>
      <c r="CR17" s="30" t="s">
        <v>1863</v>
      </c>
    </row>
    <row r="18" spans="1:96">
      <c r="A18">
        <v>17</v>
      </c>
      <c r="B18">
        <v>4</v>
      </c>
      <c r="C18">
        <v>1</v>
      </c>
      <c r="D18" t="s">
        <v>36</v>
      </c>
      <c r="E18" t="s">
        <v>37</v>
      </c>
      <c r="F18" t="s">
        <v>38</v>
      </c>
      <c r="G18">
        <v>2018</v>
      </c>
      <c r="H18" t="s">
        <v>1227</v>
      </c>
      <c r="I18" t="s">
        <v>1228</v>
      </c>
      <c r="J18">
        <v>26.345583000000001</v>
      </c>
      <c r="K18">
        <v>-77.000266999999994</v>
      </c>
      <c r="L18" t="s">
        <v>358</v>
      </c>
      <c r="M18" t="s">
        <v>364</v>
      </c>
      <c r="N18" t="s">
        <v>531</v>
      </c>
      <c r="O18" t="s">
        <v>532</v>
      </c>
      <c r="P18" t="s">
        <v>693</v>
      </c>
      <c r="Q18" t="s">
        <v>419</v>
      </c>
      <c r="R18" t="s">
        <v>550</v>
      </c>
      <c r="S18" t="s">
        <v>1222</v>
      </c>
      <c r="T18" t="s">
        <v>331</v>
      </c>
      <c r="U18">
        <v>1</v>
      </c>
      <c r="V18" t="s">
        <v>311</v>
      </c>
      <c r="W18" t="s">
        <v>1559</v>
      </c>
      <c r="X18" t="s">
        <v>340</v>
      </c>
      <c r="Y18" t="s">
        <v>311</v>
      </c>
      <c r="Z18" t="s">
        <v>302</v>
      </c>
      <c r="AA18" t="s">
        <v>303</v>
      </c>
      <c r="AB18" t="s">
        <v>311</v>
      </c>
      <c r="AC18" t="s">
        <v>311</v>
      </c>
      <c r="AD18" t="s">
        <v>292</v>
      </c>
      <c r="AE18" t="s">
        <v>607</v>
      </c>
      <c r="AF18" t="s">
        <v>552</v>
      </c>
      <c r="AH18" t="s">
        <v>555</v>
      </c>
      <c r="AI18" t="s">
        <v>553</v>
      </c>
      <c r="AJ18" t="s">
        <v>554</v>
      </c>
      <c r="AK18" t="s">
        <v>613</v>
      </c>
      <c r="AL18" t="s">
        <v>357</v>
      </c>
      <c r="AM18" t="s">
        <v>1059</v>
      </c>
      <c r="AN18" t="s">
        <v>1277</v>
      </c>
      <c r="AO18" t="s">
        <v>1283</v>
      </c>
      <c r="AP18" t="s">
        <v>614</v>
      </c>
      <c r="AQ18" t="s">
        <v>887</v>
      </c>
      <c r="AR18">
        <v>55.752212389380503</v>
      </c>
      <c r="AS18" t="s">
        <v>311</v>
      </c>
      <c r="AT18">
        <v>0.7509098561272618</v>
      </c>
      <c r="AU18">
        <v>4</v>
      </c>
      <c r="AV18">
        <v>48.849557522123845</v>
      </c>
      <c r="AW18" t="s">
        <v>311</v>
      </c>
      <c r="AX18">
        <v>0.750909856127292</v>
      </c>
      <c r="AY18">
        <v>4</v>
      </c>
      <c r="AZ18" t="s">
        <v>1055</v>
      </c>
      <c r="BA18" t="s">
        <v>1679</v>
      </c>
      <c r="BB18">
        <v>60</v>
      </c>
      <c r="BC18" t="s">
        <v>1672</v>
      </c>
      <c r="BD18" t="s">
        <v>311</v>
      </c>
      <c r="BE18" t="s">
        <v>1880</v>
      </c>
      <c r="BF18" t="s">
        <v>311</v>
      </c>
      <c r="BG18" t="s">
        <v>311</v>
      </c>
      <c r="BH18" t="s">
        <v>311</v>
      </c>
      <c r="BI18" t="s">
        <v>311</v>
      </c>
      <c r="BJ18" t="s">
        <v>311</v>
      </c>
      <c r="BK18" t="s">
        <v>311</v>
      </c>
      <c r="BL18" t="s">
        <v>311</v>
      </c>
      <c r="BM18" t="s">
        <v>311</v>
      </c>
      <c r="BN18" t="s">
        <v>311</v>
      </c>
      <c r="BO18" t="s">
        <v>311</v>
      </c>
      <c r="BP18" t="s">
        <v>311</v>
      </c>
      <c r="BQ18" t="s">
        <v>311</v>
      </c>
      <c r="BR18" t="s">
        <v>311</v>
      </c>
      <c r="BS18" t="s">
        <v>311</v>
      </c>
      <c r="BT18">
        <v>0.78787878787878796</v>
      </c>
      <c r="BU18">
        <v>2.2727272727272541E-2</v>
      </c>
      <c r="BV18">
        <v>0.174242424242424</v>
      </c>
      <c r="BW18">
        <v>7.5757575757574996E-3</v>
      </c>
      <c r="BX18" t="s">
        <v>1127</v>
      </c>
      <c r="BY18" t="s">
        <v>1200</v>
      </c>
      <c r="BZ18">
        <v>4.8000000000000001E-2</v>
      </c>
      <c r="CA18">
        <v>25</v>
      </c>
      <c r="CB18" t="s">
        <v>1210</v>
      </c>
      <c r="CC18" t="s">
        <v>1209</v>
      </c>
      <c r="CD18" t="s">
        <v>1226</v>
      </c>
      <c r="CE18">
        <v>2019</v>
      </c>
      <c r="CF18">
        <v>20</v>
      </c>
      <c r="CG18" t="s">
        <v>311</v>
      </c>
      <c r="CH18" t="s">
        <v>311</v>
      </c>
      <c r="CI18" t="s">
        <v>311</v>
      </c>
      <c r="CJ18" s="38" t="s">
        <v>311</v>
      </c>
      <c r="CK18" s="38" t="s">
        <v>311</v>
      </c>
      <c r="CL18" s="38" t="s">
        <v>311</v>
      </c>
      <c r="CM18" s="38" t="s">
        <v>311</v>
      </c>
      <c r="CN18" s="38" t="s">
        <v>311</v>
      </c>
      <c r="CO18" s="38" t="s">
        <v>311</v>
      </c>
      <c r="CP18" s="38">
        <v>0.113</v>
      </c>
      <c r="CQ18" t="s">
        <v>1685</v>
      </c>
      <c r="CR18" t="s">
        <v>1582</v>
      </c>
    </row>
    <row r="19" spans="1:96">
      <c r="A19">
        <v>18</v>
      </c>
      <c r="B19">
        <v>4</v>
      </c>
      <c r="C19">
        <v>2</v>
      </c>
      <c r="D19" t="s">
        <v>36</v>
      </c>
      <c r="E19" t="s">
        <v>37</v>
      </c>
      <c r="F19" t="s">
        <v>38</v>
      </c>
      <c r="G19">
        <v>2018</v>
      </c>
      <c r="H19" t="s">
        <v>1227</v>
      </c>
      <c r="I19" t="s">
        <v>1228</v>
      </c>
      <c r="J19">
        <v>26.345583000000001</v>
      </c>
      <c r="K19">
        <v>-77.000266999999994</v>
      </c>
      <c r="L19" t="s">
        <v>358</v>
      </c>
      <c r="M19" t="s">
        <v>364</v>
      </c>
      <c r="N19" t="s">
        <v>531</v>
      </c>
      <c r="O19" t="s">
        <v>532</v>
      </c>
      <c r="P19" t="s">
        <v>693</v>
      </c>
      <c r="Q19" t="s">
        <v>419</v>
      </c>
      <c r="R19" t="s">
        <v>550</v>
      </c>
      <c r="S19" t="s">
        <v>1222</v>
      </c>
      <c r="T19" t="s">
        <v>331</v>
      </c>
      <c r="U19">
        <v>1</v>
      </c>
      <c r="V19" t="s">
        <v>311</v>
      </c>
      <c r="W19" t="s">
        <v>1559</v>
      </c>
      <c r="X19" t="s">
        <v>340</v>
      </c>
      <c r="Y19" t="s">
        <v>311</v>
      </c>
      <c r="Z19" t="s">
        <v>302</v>
      </c>
      <c r="AA19" t="s">
        <v>303</v>
      </c>
      <c r="AB19" t="s">
        <v>311</v>
      </c>
      <c r="AC19" t="s">
        <v>311</v>
      </c>
      <c r="AD19" t="s">
        <v>292</v>
      </c>
      <c r="AE19" t="s">
        <v>607</v>
      </c>
      <c r="AF19" t="s">
        <v>552</v>
      </c>
      <c r="AH19" t="s">
        <v>555</v>
      </c>
      <c r="AI19" t="s">
        <v>553</v>
      </c>
      <c r="AJ19" t="s">
        <v>554</v>
      </c>
      <c r="AK19" t="s">
        <v>1581</v>
      </c>
      <c r="AL19" t="s">
        <v>357</v>
      </c>
      <c r="AM19" t="s">
        <v>1059</v>
      </c>
      <c r="AN19" t="s">
        <v>1277</v>
      </c>
      <c r="AO19" t="s">
        <v>345</v>
      </c>
      <c r="AP19" t="s">
        <v>887</v>
      </c>
      <c r="AQ19" t="s">
        <v>887</v>
      </c>
      <c r="AR19">
        <v>5.9999999999999947</v>
      </c>
      <c r="AS19" t="s">
        <v>311</v>
      </c>
      <c r="AT19">
        <v>0.61950063130503163</v>
      </c>
      <c r="AU19">
        <v>4</v>
      </c>
      <c r="AV19">
        <v>4.9778761061946852</v>
      </c>
      <c r="AW19" t="s">
        <v>311</v>
      </c>
      <c r="AX19">
        <v>0.30036394245092518</v>
      </c>
      <c r="AY19">
        <v>4</v>
      </c>
      <c r="AZ19" t="s">
        <v>1677</v>
      </c>
      <c r="BA19" t="s">
        <v>1680</v>
      </c>
      <c r="BB19">
        <v>1003</v>
      </c>
      <c r="BC19" t="s">
        <v>1672</v>
      </c>
      <c r="BD19" t="s">
        <v>311</v>
      </c>
      <c r="BE19" t="s">
        <v>1880</v>
      </c>
      <c r="BF19" t="s">
        <v>311</v>
      </c>
      <c r="BG19" t="s">
        <v>311</v>
      </c>
      <c r="BH19" t="s">
        <v>311</v>
      </c>
      <c r="BI19" t="s">
        <v>311</v>
      </c>
      <c r="BJ19" t="s">
        <v>311</v>
      </c>
      <c r="BK19" t="s">
        <v>311</v>
      </c>
      <c r="BL19" t="s">
        <v>311</v>
      </c>
      <c r="BM19" t="s">
        <v>311</v>
      </c>
      <c r="BN19" t="s">
        <v>311</v>
      </c>
      <c r="BO19" t="s">
        <v>311</v>
      </c>
      <c r="BP19" t="s">
        <v>311</v>
      </c>
      <c r="BQ19" t="s">
        <v>311</v>
      </c>
      <c r="BR19" t="s">
        <v>311</v>
      </c>
      <c r="BS19" t="s">
        <v>311</v>
      </c>
      <c r="BT19">
        <v>0.78787878787878796</v>
      </c>
      <c r="BU19">
        <v>2.2727272727272541E-2</v>
      </c>
      <c r="BV19">
        <v>0.174242424242424</v>
      </c>
      <c r="BW19">
        <v>7.5757575757574996E-3</v>
      </c>
      <c r="BX19" t="s">
        <v>1127</v>
      </c>
      <c r="BY19" t="s">
        <v>1200</v>
      </c>
      <c r="BZ19">
        <v>4.8000000000000001E-2</v>
      </c>
      <c r="CA19">
        <v>25</v>
      </c>
      <c r="CB19" t="s">
        <v>1210</v>
      </c>
      <c r="CC19" t="s">
        <v>1209</v>
      </c>
      <c r="CD19" t="s">
        <v>1226</v>
      </c>
      <c r="CE19">
        <v>2019</v>
      </c>
      <c r="CF19">
        <v>20</v>
      </c>
      <c r="CG19" t="s">
        <v>311</v>
      </c>
      <c r="CH19" t="s">
        <v>311</v>
      </c>
      <c r="CI19" t="s">
        <v>311</v>
      </c>
      <c r="CJ19" s="38" t="s">
        <v>311</v>
      </c>
      <c r="CK19" s="38" t="s">
        <v>311</v>
      </c>
      <c r="CL19" s="38" t="s">
        <v>311</v>
      </c>
      <c r="CM19" s="38" t="s">
        <v>311</v>
      </c>
      <c r="CN19" s="38" t="s">
        <v>311</v>
      </c>
      <c r="CO19" s="38" t="s">
        <v>311</v>
      </c>
      <c r="CP19" s="38">
        <v>0.113</v>
      </c>
      <c r="CQ19" t="s">
        <v>1686</v>
      </c>
      <c r="CR19" t="s">
        <v>1223</v>
      </c>
    </row>
    <row r="20" spans="1:96">
      <c r="A20">
        <v>19</v>
      </c>
      <c r="B20">
        <v>4</v>
      </c>
      <c r="C20">
        <v>3</v>
      </c>
      <c r="D20" t="s">
        <v>36</v>
      </c>
      <c r="E20" t="s">
        <v>37</v>
      </c>
      <c r="F20" t="s">
        <v>38</v>
      </c>
      <c r="G20">
        <v>2018</v>
      </c>
      <c r="H20" t="s">
        <v>1227</v>
      </c>
      <c r="I20" t="s">
        <v>1228</v>
      </c>
      <c r="J20">
        <v>26.345583000000001</v>
      </c>
      <c r="K20">
        <v>-77.000266999999994</v>
      </c>
      <c r="L20" t="s">
        <v>358</v>
      </c>
      <c r="M20" t="s">
        <v>364</v>
      </c>
      <c r="N20" t="s">
        <v>531</v>
      </c>
      <c r="O20" t="s">
        <v>532</v>
      </c>
      <c r="P20" t="s">
        <v>693</v>
      </c>
      <c r="Q20" t="s">
        <v>419</v>
      </c>
      <c r="R20" t="s">
        <v>550</v>
      </c>
      <c r="S20" t="s">
        <v>1222</v>
      </c>
      <c r="T20" t="s">
        <v>331</v>
      </c>
      <c r="U20">
        <v>1</v>
      </c>
      <c r="V20" t="s">
        <v>311</v>
      </c>
      <c r="W20" t="s">
        <v>1559</v>
      </c>
      <c r="X20" t="s">
        <v>340</v>
      </c>
      <c r="Y20" t="s">
        <v>311</v>
      </c>
      <c r="Z20" t="s">
        <v>302</v>
      </c>
      <c r="AA20" t="s">
        <v>303</v>
      </c>
      <c r="AB20" t="s">
        <v>311</v>
      </c>
      <c r="AC20" t="s">
        <v>311</v>
      </c>
      <c r="AD20" t="s">
        <v>340</v>
      </c>
      <c r="AE20" t="s">
        <v>311</v>
      </c>
      <c r="AF20" t="s">
        <v>567</v>
      </c>
      <c r="AG20" t="s">
        <v>1900</v>
      </c>
      <c r="AH20" t="s">
        <v>311</v>
      </c>
      <c r="AI20" t="s">
        <v>311</v>
      </c>
      <c r="AJ20" t="s">
        <v>311</v>
      </c>
      <c r="AK20" t="s">
        <v>1060</v>
      </c>
      <c r="AL20" t="s">
        <v>357</v>
      </c>
      <c r="AM20" t="s">
        <v>1059</v>
      </c>
      <c r="AN20" t="s">
        <v>584</v>
      </c>
      <c r="AO20" t="s">
        <v>606</v>
      </c>
      <c r="AP20" t="s">
        <v>887</v>
      </c>
      <c r="AQ20" t="s">
        <v>887</v>
      </c>
      <c r="AR20">
        <v>6.4159663865546204</v>
      </c>
      <c r="AS20">
        <v>0.28361344537814936</v>
      </c>
      <c r="AT20" t="s">
        <v>311</v>
      </c>
      <c r="AU20">
        <v>336</v>
      </c>
      <c r="AV20">
        <v>5.3445378151260501</v>
      </c>
      <c r="AW20">
        <v>0.49369747899158956</v>
      </c>
      <c r="AX20" t="s">
        <v>311</v>
      </c>
      <c r="AY20">
        <v>336</v>
      </c>
      <c r="AZ20" t="s">
        <v>1677</v>
      </c>
      <c r="BA20" t="s">
        <v>1680</v>
      </c>
      <c r="BB20">
        <v>1003</v>
      </c>
      <c r="BC20" t="s">
        <v>1672</v>
      </c>
      <c r="BD20" t="s">
        <v>311</v>
      </c>
      <c r="BE20" t="s">
        <v>1880</v>
      </c>
      <c r="BF20" t="s">
        <v>311</v>
      </c>
      <c r="BG20" t="s">
        <v>311</v>
      </c>
      <c r="BH20" t="s">
        <v>311</v>
      </c>
      <c r="BI20" t="s">
        <v>311</v>
      </c>
      <c r="BJ20" t="s">
        <v>311</v>
      </c>
      <c r="BK20" t="s">
        <v>311</v>
      </c>
      <c r="BL20" t="s">
        <v>311</v>
      </c>
      <c r="BM20" t="s">
        <v>311</v>
      </c>
      <c r="BN20" t="s">
        <v>311</v>
      </c>
      <c r="BO20" t="s">
        <v>311</v>
      </c>
      <c r="BP20" t="s">
        <v>311</v>
      </c>
      <c r="BQ20" t="s">
        <v>311</v>
      </c>
      <c r="BR20" t="s">
        <v>311</v>
      </c>
      <c r="BS20" t="s">
        <v>311</v>
      </c>
      <c r="BT20">
        <v>0.78787878787878796</v>
      </c>
      <c r="BU20">
        <v>2.2727272727272541E-2</v>
      </c>
      <c r="BV20">
        <v>0.174242424242424</v>
      </c>
      <c r="BW20">
        <v>7.5757575757574996E-3</v>
      </c>
      <c r="BX20" t="s">
        <v>1127</v>
      </c>
      <c r="BY20" t="s">
        <v>1200</v>
      </c>
      <c r="BZ20">
        <v>4.8000000000000001E-2</v>
      </c>
      <c r="CA20">
        <v>25</v>
      </c>
      <c r="CB20" t="s">
        <v>1210</v>
      </c>
      <c r="CC20" t="s">
        <v>1209</v>
      </c>
      <c r="CD20" t="s">
        <v>1226</v>
      </c>
      <c r="CE20">
        <v>2019</v>
      </c>
      <c r="CF20">
        <v>20</v>
      </c>
      <c r="CG20" t="s">
        <v>311</v>
      </c>
      <c r="CH20" t="s">
        <v>311</v>
      </c>
      <c r="CI20" t="s">
        <v>311</v>
      </c>
      <c r="CJ20" s="38" t="s">
        <v>311</v>
      </c>
      <c r="CK20" s="38" t="s">
        <v>311</v>
      </c>
      <c r="CL20" s="38" t="s">
        <v>311</v>
      </c>
      <c r="CM20" s="38" t="s">
        <v>311</v>
      </c>
      <c r="CN20" s="38" t="s">
        <v>311</v>
      </c>
      <c r="CO20" s="38" t="s">
        <v>311</v>
      </c>
      <c r="CP20" s="38">
        <v>0.113</v>
      </c>
      <c r="CQ20" t="s">
        <v>1686</v>
      </c>
      <c r="CR20" t="s">
        <v>1225</v>
      </c>
    </row>
    <row r="21" spans="1:96">
      <c r="A21">
        <v>20</v>
      </c>
      <c r="B21">
        <v>5</v>
      </c>
      <c r="C21">
        <v>1</v>
      </c>
      <c r="D21" t="s">
        <v>45</v>
      </c>
      <c r="E21" t="s">
        <v>46</v>
      </c>
      <c r="F21" t="s">
        <v>47</v>
      </c>
      <c r="G21">
        <v>2018</v>
      </c>
      <c r="H21" t="s">
        <v>1232</v>
      </c>
      <c r="I21" t="s">
        <v>1233</v>
      </c>
      <c r="J21">
        <v>31.407492000000001</v>
      </c>
      <c r="K21">
        <v>-81.289876000000007</v>
      </c>
      <c r="L21" t="s">
        <v>361</v>
      </c>
      <c r="M21" t="s">
        <v>368</v>
      </c>
      <c r="N21" t="s">
        <v>531</v>
      </c>
      <c r="O21" t="s">
        <v>532</v>
      </c>
      <c r="P21" t="s">
        <v>693</v>
      </c>
      <c r="Q21" t="s">
        <v>419</v>
      </c>
      <c r="R21" t="s">
        <v>832</v>
      </c>
      <c r="S21" t="s">
        <v>311</v>
      </c>
      <c r="T21" t="s">
        <v>331</v>
      </c>
      <c r="U21">
        <v>4</v>
      </c>
      <c r="V21" t="s">
        <v>311</v>
      </c>
      <c r="W21" t="s">
        <v>838</v>
      </c>
      <c r="X21" t="s">
        <v>292</v>
      </c>
      <c r="Y21" t="s">
        <v>536</v>
      </c>
      <c r="Z21" t="s">
        <v>537</v>
      </c>
      <c r="AA21" t="s">
        <v>538</v>
      </c>
      <c r="AB21" t="s">
        <v>833</v>
      </c>
      <c r="AC21" t="s">
        <v>834</v>
      </c>
      <c r="AD21" t="s">
        <v>292</v>
      </c>
      <c r="AE21" t="s">
        <v>835</v>
      </c>
      <c r="AF21" t="s">
        <v>609</v>
      </c>
      <c r="AH21" t="s">
        <v>555</v>
      </c>
      <c r="AI21" t="s">
        <v>837</v>
      </c>
      <c r="AJ21" t="s">
        <v>836</v>
      </c>
      <c r="AK21" t="s">
        <v>564</v>
      </c>
      <c r="AL21" t="s">
        <v>357</v>
      </c>
      <c r="AM21" t="s">
        <v>1059</v>
      </c>
      <c r="AN21" t="s">
        <v>1278</v>
      </c>
      <c r="AO21" t="s">
        <v>870</v>
      </c>
      <c r="AP21" t="s">
        <v>614</v>
      </c>
      <c r="AQ21" t="s">
        <v>614</v>
      </c>
      <c r="AR21">
        <v>4.1020320100000003</v>
      </c>
      <c r="AS21">
        <v>0.48507463000000001</v>
      </c>
      <c r="AT21" t="s">
        <v>311</v>
      </c>
      <c r="AU21">
        <v>12</v>
      </c>
      <c r="AV21">
        <v>2.84270365477611</v>
      </c>
      <c r="AW21">
        <v>0.36380597014926019</v>
      </c>
      <c r="AX21" t="s">
        <v>311</v>
      </c>
      <c r="AY21">
        <v>12</v>
      </c>
      <c r="AZ21" t="s">
        <v>1677</v>
      </c>
      <c r="BA21" t="s">
        <v>1679</v>
      </c>
      <c r="BB21">
        <v>487</v>
      </c>
      <c r="BC21" t="s">
        <v>1672</v>
      </c>
      <c r="BD21" t="s">
        <v>311</v>
      </c>
      <c r="BE21" t="s">
        <v>1880</v>
      </c>
      <c r="BF21" t="s">
        <v>311</v>
      </c>
      <c r="BG21" t="s">
        <v>311</v>
      </c>
      <c r="BH21" t="s">
        <v>311</v>
      </c>
      <c r="BI21" t="s">
        <v>311</v>
      </c>
      <c r="BJ21">
        <v>0</v>
      </c>
      <c r="BK21" t="s">
        <v>311</v>
      </c>
      <c r="BL21">
        <v>0</v>
      </c>
      <c r="BM21" t="s">
        <v>311</v>
      </c>
      <c r="BN21">
        <v>12</v>
      </c>
      <c r="BO21">
        <v>12</v>
      </c>
      <c r="BP21">
        <v>11.1111111111111</v>
      </c>
      <c r="BQ21">
        <v>4.1666666666666003</v>
      </c>
      <c r="BR21">
        <v>2.7777777777777701</v>
      </c>
      <c r="BS21">
        <v>2.7777777777777799</v>
      </c>
      <c r="BT21" t="s">
        <v>311</v>
      </c>
      <c r="BU21" t="s">
        <v>311</v>
      </c>
      <c r="BV21" t="s">
        <v>311</v>
      </c>
      <c r="BW21" t="s">
        <v>311</v>
      </c>
      <c r="BX21" t="s">
        <v>1126</v>
      </c>
      <c r="BY21" t="s">
        <v>1203</v>
      </c>
      <c r="BZ21">
        <v>2.7777777777777701</v>
      </c>
      <c r="CA21">
        <v>23</v>
      </c>
      <c r="CB21" t="s">
        <v>1210</v>
      </c>
      <c r="CC21" t="s">
        <v>1209</v>
      </c>
      <c r="CD21" t="s">
        <v>1230</v>
      </c>
      <c r="CE21" t="s">
        <v>1231</v>
      </c>
      <c r="CF21">
        <v>0</v>
      </c>
      <c r="CG21" t="s">
        <v>311</v>
      </c>
      <c r="CH21" t="s">
        <v>311</v>
      </c>
      <c r="CI21" t="s">
        <v>311</v>
      </c>
      <c r="CJ21" s="38" t="s">
        <v>311</v>
      </c>
      <c r="CK21" s="38" t="s">
        <v>311</v>
      </c>
      <c r="CL21" s="38" t="s">
        <v>311</v>
      </c>
      <c r="CM21" s="38" t="s">
        <v>311</v>
      </c>
      <c r="CN21" s="38">
        <v>53</v>
      </c>
      <c r="CO21" s="38">
        <v>33</v>
      </c>
      <c r="CP21" s="38" t="s">
        <v>311</v>
      </c>
      <c r="CQ21" t="s">
        <v>1687</v>
      </c>
      <c r="CR21" t="s">
        <v>1892</v>
      </c>
    </row>
    <row r="22" spans="1:96" s="30" customFormat="1">
      <c r="A22">
        <v>21</v>
      </c>
      <c r="B22" s="30">
        <v>5</v>
      </c>
      <c r="C22" s="30">
        <v>2</v>
      </c>
      <c r="D22" s="30" t="s">
        <v>45</v>
      </c>
      <c r="E22" s="30" t="s">
        <v>46</v>
      </c>
      <c r="F22" s="30" t="s">
        <v>47</v>
      </c>
      <c r="G22" s="30">
        <v>2018</v>
      </c>
      <c r="H22" s="30" t="s">
        <v>1232</v>
      </c>
      <c r="I22" s="30" t="s">
        <v>1233</v>
      </c>
      <c r="J22" s="30">
        <v>31.407492000000001</v>
      </c>
      <c r="K22" s="30">
        <v>-81.289876000000007</v>
      </c>
      <c r="L22" s="30" t="s">
        <v>361</v>
      </c>
      <c r="M22" s="30" t="s">
        <v>368</v>
      </c>
      <c r="N22" s="30" t="s">
        <v>531</v>
      </c>
      <c r="O22" s="30" t="s">
        <v>532</v>
      </c>
      <c r="P22" s="30" t="s">
        <v>693</v>
      </c>
      <c r="Q22" s="30" t="s">
        <v>419</v>
      </c>
      <c r="R22" s="30" t="s">
        <v>832</v>
      </c>
      <c r="S22" s="30" t="s">
        <v>311</v>
      </c>
      <c r="T22" s="30" t="s">
        <v>331</v>
      </c>
      <c r="U22" s="30">
        <v>4</v>
      </c>
      <c r="V22" s="30" t="s">
        <v>311</v>
      </c>
      <c r="W22" s="30" t="s">
        <v>838</v>
      </c>
      <c r="X22" s="30" t="s">
        <v>292</v>
      </c>
      <c r="Y22" s="30" t="s">
        <v>536</v>
      </c>
      <c r="Z22" s="30" t="s">
        <v>537</v>
      </c>
      <c r="AA22" s="30" t="s">
        <v>538</v>
      </c>
      <c r="AB22" s="30" t="s">
        <v>833</v>
      </c>
      <c r="AC22" s="30" t="s">
        <v>834</v>
      </c>
      <c r="AD22" s="30" t="s">
        <v>292</v>
      </c>
      <c r="AE22" s="30" t="s">
        <v>835</v>
      </c>
      <c r="AF22" s="30" t="s">
        <v>609</v>
      </c>
      <c r="AH22" s="30" t="s">
        <v>555</v>
      </c>
      <c r="AI22" s="30" t="s">
        <v>837</v>
      </c>
      <c r="AJ22" s="30" t="s">
        <v>836</v>
      </c>
      <c r="AK22" s="30" t="s">
        <v>564</v>
      </c>
      <c r="AL22" s="30" t="s">
        <v>357</v>
      </c>
      <c r="AM22" s="30" t="s">
        <v>1059</v>
      </c>
      <c r="AN22" s="30" t="s">
        <v>1278</v>
      </c>
      <c r="AO22" s="30" t="s">
        <v>870</v>
      </c>
      <c r="AP22" s="30" t="s">
        <v>887</v>
      </c>
      <c r="AQ22" s="30" t="s">
        <v>614</v>
      </c>
      <c r="AR22" s="30">
        <v>4.1511194029850698</v>
      </c>
      <c r="AS22" s="30">
        <v>0.48507462686567049</v>
      </c>
      <c r="AT22" s="30" t="s">
        <v>311</v>
      </c>
      <c r="AU22" s="30">
        <v>12</v>
      </c>
      <c r="AV22" s="30">
        <v>2.8917910447761099</v>
      </c>
      <c r="AW22" s="30">
        <v>0.36380597014926019</v>
      </c>
      <c r="AX22" s="30" t="s">
        <v>311</v>
      </c>
      <c r="AY22" s="30">
        <v>12</v>
      </c>
      <c r="AZ22" s="30" t="s">
        <v>1677</v>
      </c>
      <c r="BA22" s="30" t="s">
        <v>1679</v>
      </c>
      <c r="BB22">
        <v>487</v>
      </c>
      <c r="BC22" s="30" t="s">
        <v>1673</v>
      </c>
      <c r="BD22" s="30" t="s">
        <v>1763</v>
      </c>
      <c r="BE22" s="30" t="s">
        <v>1880</v>
      </c>
      <c r="BF22" s="30" t="s">
        <v>311</v>
      </c>
      <c r="BG22" s="30" t="s">
        <v>311</v>
      </c>
      <c r="BH22" s="30" t="s">
        <v>311</v>
      </c>
      <c r="BI22" s="30" t="s">
        <v>311</v>
      </c>
      <c r="BJ22" s="30">
        <v>0</v>
      </c>
      <c r="BK22" s="30" t="s">
        <v>311</v>
      </c>
      <c r="BL22" s="30">
        <v>0</v>
      </c>
      <c r="BM22" s="30" t="s">
        <v>311</v>
      </c>
      <c r="BN22" s="30">
        <v>12</v>
      </c>
      <c r="BO22" s="30">
        <v>12</v>
      </c>
      <c r="BP22" s="30">
        <v>11.1111111111111</v>
      </c>
      <c r="BQ22" s="30">
        <v>4.1666666666666003</v>
      </c>
      <c r="BR22" s="30">
        <v>2.7777777777777701</v>
      </c>
      <c r="BS22" s="30">
        <v>2.7777777777777799</v>
      </c>
      <c r="BT22" s="30" t="s">
        <v>311</v>
      </c>
      <c r="BU22" s="30" t="s">
        <v>311</v>
      </c>
      <c r="BV22" s="30" t="s">
        <v>311</v>
      </c>
      <c r="BW22" s="30" t="s">
        <v>311</v>
      </c>
      <c r="BX22" s="30" t="s">
        <v>1126</v>
      </c>
      <c r="BY22" s="30" t="s">
        <v>1203</v>
      </c>
      <c r="BZ22" s="30">
        <v>2.7777777777777701</v>
      </c>
      <c r="CA22" s="30">
        <v>23</v>
      </c>
      <c r="CB22" s="30" t="s">
        <v>1210</v>
      </c>
      <c r="CC22" s="30" t="s">
        <v>1209</v>
      </c>
      <c r="CD22" s="30" t="s">
        <v>1230</v>
      </c>
      <c r="CE22" s="30" t="s">
        <v>1231</v>
      </c>
      <c r="CF22" s="30">
        <v>0</v>
      </c>
      <c r="CG22" s="30" t="s">
        <v>311</v>
      </c>
      <c r="CH22" s="30" t="s">
        <v>311</v>
      </c>
      <c r="CI22" s="30" t="s">
        <v>311</v>
      </c>
      <c r="CJ22" s="38" t="s">
        <v>311</v>
      </c>
      <c r="CK22" s="38" t="s">
        <v>311</v>
      </c>
      <c r="CL22" s="38" t="s">
        <v>311</v>
      </c>
      <c r="CM22" s="38" t="s">
        <v>311</v>
      </c>
      <c r="CN22" s="38">
        <v>53</v>
      </c>
      <c r="CO22" s="38">
        <v>33</v>
      </c>
      <c r="CP22" s="38" t="s">
        <v>311</v>
      </c>
      <c r="CQ22" s="30" t="s">
        <v>1767</v>
      </c>
      <c r="CR22" s="30" t="s">
        <v>1768</v>
      </c>
    </row>
    <row r="23" spans="1:96">
      <c r="A23">
        <v>22</v>
      </c>
      <c r="B23">
        <v>5</v>
      </c>
      <c r="C23">
        <v>3</v>
      </c>
      <c r="D23" t="s">
        <v>45</v>
      </c>
      <c r="E23" t="s">
        <v>46</v>
      </c>
      <c r="F23" t="s">
        <v>47</v>
      </c>
      <c r="G23">
        <v>2018</v>
      </c>
      <c r="H23" t="s">
        <v>1232</v>
      </c>
      <c r="I23" t="s">
        <v>1233</v>
      </c>
      <c r="J23">
        <v>31.407492000000001</v>
      </c>
      <c r="K23">
        <v>-81.289876000000007</v>
      </c>
      <c r="L23" t="s">
        <v>361</v>
      </c>
      <c r="M23" t="s">
        <v>368</v>
      </c>
      <c r="N23" t="s">
        <v>531</v>
      </c>
      <c r="O23" t="s">
        <v>532</v>
      </c>
      <c r="P23" t="s">
        <v>693</v>
      </c>
      <c r="Q23" t="s">
        <v>419</v>
      </c>
      <c r="R23" t="s">
        <v>832</v>
      </c>
      <c r="S23" t="s">
        <v>311</v>
      </c>
      <c r="T23" t="s">
        <v>331</v>
      </c>
      <c r="U23">
        <v>4</v>
      </c>
      <c r="V23" t="s">
        <v>311</v>
      </c>
      <c r="W23" t="s">
        <v>838</v>
      </c>
      <c r="X23" t="s">
        <v>292</v>
      </c>
      <c r="Y23" t="s">
        <v>536</v>
      </c>
      <c r="Z23" t="s">
        <v>537</v>
      </c>
      <c r="AA23" t="s">
        <v>538</v>
      </c>
      <c r="AB23" t="s">
        <v>833</v>
      </c>
      <c r="AC23" t="s">
        <v>834</v>
      </c>
      <c r="AD23" t="s">
        <v>292</v>
      </c>
      <c r="AE23" t="s">
        <v>835</v>
      </c>
      <c r="AF23" t="s">
        <v>609</v>
      </c>
      <c r="AH23" t="s">
        <v>555</v>
      </c>
      <c r="AI23" t="s">
        <v>837</v>
      </c>
      <c r="AJ23" t="s">
        <v>836</v>
      </c>
      <c r="AK23" t="s">
        <v>589</v>
      </c>
      <c r="AL23" t="s">
        <v>357</v>
      </c>
      <c r="AM23" t="s">
        <v>1059</v>
      </c>
      <c r="AN23" t="s">
        <v>1279</v>
      </c>
      <c r="AO23" t="s">
        <v>606</v>
      </c>
      <c r="AP23" t="s">
        <v>887</v>
      </c>
      <c r="AQ23" t="s">
        <v>887</v>
      </c>
      <c r="AR23">
        <v>748.93617021276498</v>
      </c>
      <c r="AS23">
        <v>88.510638297873015</v>
      </c>
      <c r="AT23" t="s">
        <v>311</v>
      </c>
      <c r="AU23">
        <v>12</v>
      </c>
      <c r="AV23">
        <v>486.80851063829698</v>
      </c>
      <c r="AW23">
        <v>61.276595744681003</v>
      </c>
      <c r="AX23" t="s">
        <v>311</v>
      </c>
      <c r="AY23">
        <v>12</v>
      </c>
      <c r="AZ23" t="s">
        <v>1677</v>
      </c>
      <c r="BA23" t="s">
        <v>1679</v>
      </c>
      <c r="BB23">
        <v>487</v>
      </c>
      <c r="BC23" t="s">
        <v>1672</v>
      </c>
      <c r="BD23" t="s">
        <v>311</v>
      </c>
      <c r="BE23" t="s">
        <v>1880</v>
      </c>
      <c r="BF23" t="s">
        <v>311</v>
      </c>
      <c r="BG23" t="s">
        <v>311</v>
      </c>
      <c r="BH23" t="s">
        <v>311</v>
      </c>
      <c r="BI23" t="s">
        <v>311</v>
      </c>
      <c r="BJ23">
        <v>0</v>
      </c>
      <c r="BK23" t="s">
        <v>311</v>
      </c>
      <c r="BL23">
        <v>0</v>
      </c>
      <c r="BM23" t="s">
        <v>311</v>
      </c>
      <c r="BN23">
        <v>12</v>
      </c>
      <c r="BO23">
        <v>12</v>
      </c>
      <c r="BP23">
        <v>11.1111111111111</v>
      </c>
      <c r="BQ23">
        <v>4.1666666666666003</v>
      </c>
      <c r="BR23">
        <v>2.7777777777777701</v>
      </c>
      <c r="BS23">
        <v>2.7777777777777799</v>
      </c>
      <c r="BT23" t="s">
        <v>311</v>
      </c>
      <c r="BU23" t="s">
        <v>311</v>
      </c>
      <c r="BV23" t="s">
        <v>311</v>
      </c>
      <c r="BW23" t="s">
        <v>311</v>
      </c>
      <c r="BX23" t="s">
        <v>1126</v>
      </c>
      <c r="BY23" t="s">
        <v>1203</v>
      </c>
      <c r="BZ23">
        <v>2.7777777777777701</v>
      </c>
      <c r="CA23">
        <v>23</v>
      </c>
      <c r="CB23" t="s">
        <v>1210</v>
      </c>
      <c r="CC23" t="s">
        <v>1209</v>
      </c>
      <c r="CD23" t="s">
        <v>1230</v>
      </c>
      <c r="CE23" t="s">
        <v>1231</v>
      </c>
      <c r="CF23">
        <v>0</v>
      </c>
      <c r="CG23" t="s">
        <v>311</v>
      </c>
      <c r="CH23" t="s">
        <v>311</v>
      </c>
      <c r="CI23" t="s">
        <v>311</v>
      </c>
      <c r="CJ23" s="38" t="s">
        <v>311</v>
      </c>
      <c r="CK23" s="38" t="s">
        <v>311</v>
      </c>
      <c r="CL23" s="38" t="s">
        <v>311</v>
      </c>
      <c r="CM23" s="38" t="s">
        <v>311</v>
      </c>
      <c r="CN23" s="38" t="s">
        <v>311</v>
      </c>
      <c r="CO23" s="38" t="s">
        <v>311</v>
      </c>
      <c r="CP23" s="38" t="s">
        <v>311</v>
      </c>
      <c r="CQ23" t="s">
        <v>1688</v>
      </c>
      <c r="CR23" t="s">
        <v>1189</v>
      </c>
    </row>
    <row r="24" spans="1:96">
      <c r="A24">
        <v>23</v>
      </c>
      <c r="B24">
        <v>6</v>
      </c>
      <c r="C24">
        <v>1</v>
      </c>
      <c r="D24" t="s">
        <v>54</v>
      </c>
      <c r="E24" t="s">
        <v>55</v>
      </c>
      <c r="F24" t="s">
        <v>56</v>
      </c>
      <c r="G24">
        <v>2017</v>
      </c>
      <c r="H24" t="s">
        <v>430</v>
      </c>
      <c r="I24" t="s">
        <v>431</v>
      </c>
      <c r="J24">
        <v>74.216667000000001</v>
      </c>
      <c r="K24">
        <v>-84.033332999999999</v>
      </c>
      <c r="L24" t="s">
        <v>362</v>
      </c>
      <c r="M24" t="s">
        <v>365</v>
      </c>
      <c r="N24" t="s">
        <v>531</v>
      </c>
      <c r="O24" t="s">
        <v>630</v>
      </c>
      <c r="P24" t="s">
        <v>289</v>
      </c>
      <c r="Q24" t="s">
        <v>421</v>
      </c>
      <c r="R24" t="s">
        <v>550</v>
      </c>
      <c r="S24" t="s">
        <v>311</v>
      </c>
      <c r="T24" t="s">
        <v>331</v>
      </c>
      <c r="U24">
        <v>1</v>
      </c>
      <c r="V24" t="s">
        <v>535</v>
      </c>
      <c r="W24">
        <v>2012</v>
      </c>
      <c r="X24" t="s">
        <v>340</v>
      </c>
      <c r="Y24" t="s">
        <v>311</v>
      </c>
      <c r="Z24" t="s">
        <v>563</v>
      </c>
      <c r="AA24" t="s">
        <v>303</v>
      </c>
      <c r="AB24" t="s">
        <v>311</v>
      </c>
      <c r="AC24" t="s">
        <v>311</v>
      </c>
      <c r="AD24" t="s">
        <v>340</v>
      </c>
      <c r="AE24" t="s">
        <v>311</v>
      </c>
      <c r="AF24" t="s">
        <v>342</v>
      </c>
      <c r="AH24" t="s">
        <v>311</v>
      </c>
      <c r="AI24" t="s">
        <v>311</v>
      </c>
      <c r="AJ24" t="s">
        <v>311</v>
      </c>
      <c r="AK24" t="s">
        <v>631</v>
      </c>
      <c r="AL24" t="s">
        <v>631</v>
      </c>
      <c r="AM24" t="s">
        <v>1059</v>
      </c>
      <c r="AN24" t="s">
        <v>1280</v>
      </c>
      <c r="AO24" t="s">
        <v>541</v>
      </c>
      <c r="AP24" t="s">
        <v>887</v>
      </c>
      <c r="AQ24" t="s">
        <v>887</v>
      </c>
      <c r="AR24">
        <v>0.1</v>
      </c>
      <c r="AS24" t="s">
        <v>311</v>
      </c>
      <c r="AT24">
        <v>2.6739483914241875E-2</v>
      </c>
      <c r="AU24">
        <v>4</v>
      </c>
      <c r="AV24">
        <v>0.11600000000000001</v>
      </c>
      <c r="AW24" t="s">
        <v>311</v>
      </c>
      <c r="AX24">
        <v>5.211285829812063E-2</v>
      </c>
      <c r="AY24">
        <v>3</v>
      </c>
      <c r="AZ24" t="s">
        <v>1678</v>
      </c>
      <c r="BA24" t="s">
        <v>1680</v>
      </c>
      <c r="BB24">
        <v>0</v>
      </c>
      <c r="BC24" t="s">
        <v>1672</v>
      </c>
      <c r="BD24" t="s">
        <v>311</v>
      </c>
      <c r="BE24" t="s">
        <v>1881</v>
      </c>
      <c r="BF24">
        <v>1.1870000000000001</v>
      </c>
      <c r="BG24">
        <v>0.11208654999999999</v>
      </c>
      <c r="BH24" t="s">
        <v>311</v>
      </c>
      <c r="BI24" t="s">
        <v>311</v>
      </c>
      <c r="BJ24" t="s">
        <v>311</v>
      </c>
      <c r="BK24" t="s">
        <v>311</v>
      </c>
      <c r="BL24" t="s">
        <v>311</v>
      </c>
      <c r="BM24" t="s">
        <v>311</v>
      </c>
      <c r="BN24">
        <v>4</v>
      </c>
      <c r="BO24">
        <v>3</v>
      </c>
      <c r="BP24" t="s">
        <v>311</v>
      </c>
      <c r="BQ24" t="s">
        <v>311</v>
      </c>
      <c r="BR24" t="s">
        <v>311</v>
      </c>
      <c r="BS24" t="s">
        <v>311</v>
      </c>
      <c r="BT24">
        <v>11.555000000000001</v>
      </c>
      <c r="BU24">
        <v>1.1076544286614547</v>
      </c>
      <c r="BV24">
        <v>10.616666666666667</v>
      </c>
      <c r="BW24">
        <v>1.4404755107150196</v>
      </c>
      <c r="BX24" t="s">
        <v>1126</v>
      </c>
      <c r="BY24" t="s">
        <v>1203</v>
      </c>
      <c r="BZ24">
        <v>10.616666666666667</v>
      </c>
      <c r="CA24">
        <v>-0.23428571428571424</v>
      </c>
      <c r="CB24" t="s">
        <v>1209</v>
      </c>
      <c r="CC24" t="s">
        <v>1209</v>
      </c>
      <c r="CD24" t="s">
        <v>311</v>
      </c>
      <c r="CE24" t="s">
        <v>311</v>
      </c>
      <c r="CF24" t="s">
        <v>311</v>
      </c>
      <c r="CG24" t="s">
        <v>311</v>
      </c>
      <c r="CH24" t="s">
        <v>311</v>
      </c>
      <c r="CI24" t="s">
        <v>311</v>
      </c>
      <c r="CJ24" s="38">
        <v>1.2224999999999999</v>
      </c>
      <c r="CK24" s="38">
        <v>1.1133333329999999</v>
      </c>
      <c r="CL24" s="38" t="s">
        <v>311</v>
      </c>
      <c r="CM24" s="38" t="s">
        <v>311</v>
      </c>
      <c r="CN24" s="38" t="s">
        <v>311</v>
      </c>
      <c r="CO24" s="38" t="s">
        <v>311</v>
      </c>
      <c r="CP24" s="38">
        <v>1.1133333329999999</v>
      </c>
      <c r="CR24" t="s">
        <v>896</v>
      </c>
    </row>
    <row r="25" spans="1:96">
      <c r="A25">
        <v>24</v>
      </c>
      <c r="B25">
        <v>6</v>
      </c>
      <c r="C25">
        <v>2</v>
      </c>
      <c r="D25" t="s">
        <v>54</v>
      </c>
      <c r="E25" t="s">
        <v>55</v>
      </c>
      <c r="F25" t="s">
        <v>56</v>
      </c>
      <c r="G25">
        <v>2017</v>
      </c>
      <c r="H25" t="s">
        <v>430</v>
      </c>
      <c r="I25" t="s">
        <v>431</v>
      </c>
      <c r="J25">
        <v>74.216667000000001</v>
      </c>
      <c r="K25">
        <v>-84.033332999999999</v>
      </c>
      <c r="L25" t="s">
        <v>362</v>
      </c>
      <c r="M25" t="s">
        <v>365</v>
      </c>
      <c r="N25" t="s">
        <v>531</v>
      </c>
      <c r="O25" t="s">
        <v>630</v>
      </c>
      <c r="P25" t="s">
        <v>289</v>
      </c>
      <c r="Q25" t="s">
        <v>421</v>
      </c>
      <c r="R25" t="s">
        <v>550</v>
      </c>
      <c r="S25" t="s">
        <v>311</v>
      </c>
      <c r="T25" t="s">
        <v>331</v>
      </c>
      <c r="U25">
        <v>1</v>
      </c>
      <c r="V25" t="s">
        <v>535</v>
      </c>
      <c r="W25">
        <v>2012</v>
      </c>
      <c r="X25" t="s">
        <v>340</v>
      </c>
      <c r="Y25" t="s">
        <v>311</v>
      </c>
      <c r="Z25" t="s">
        <v>563</v>
      </c>
      <c r="AA25" t="s">
        <v>303</v>
      </c>
      <c r="AB25" t="s">
        <v>311</v>
      </c>
      <c r="AC25" t="s">
        <v>311</v>
      </c>
      <c r="AD25" t="s">
        <v>340</v>
      </c>
      <c r="AE25" t="s">
        <v>311</v>
      </c>
      <c r="AF25" t="s">
        <v>342</v>
      </c>
      <c r="AH25" t="s">
        <v>311</v>
      </c>
      <c r="AI25" t="s">
        <v>311</v>
      </c>
      <c r="AJ25" t="s">
        <v>311</v>
      </c>
      <c r="AK25" t="s">
        <v>631</v>
      </c>
      <c r="AL25" t="s">
        <v>631</v>
      </c>
      <c r="AM25" t="s">
        <v>1059</v>
      </c>
      <c r="AN25" t="s">
        <v>1280</v>
      </c>
      <c r="AO25" t="s">
        <v>541</v>
      </c>
      <c r="AP25" t="s">
        <v>887</v>
      </c>
      <c r="AQ25" t="s">
        <v>887</v>
      </c>
      <c r="AR25">
        <v>0.495</v>
      </c>
      <c r="AS25" t="s">
        <v>311</v>
      </c>
      <c r="AT25">
        <v>5.7893580530717449E-2</v>
      </c>
      <c r="AU25">
        <v>4</v>
      </c>
      <c r="AV25">
        <v>0.53666666666666663</v>
      </c>
      <c r="AW25" t="s">
        <v>311</v>
      </c>
      <c r="AX25">
        <v>9.4146887169127169E-2</v>
      </c>
      <c r="AY25">
        <v>3</v>
      </c>
      <c r="AZ25" t="s">
        <v>1678</v>
      </c>
      <c r="BA25" t="s">
        <v>1680</v>
      </c>
      <c r="BB25">
        <v>0</v>
      </c>
      <c r="BC25" t="s">
        <v>1672</v>
      </c>
      <c r="BD25" t="s">
        <v>311</v>
      </c>
      <c r="BE25" t="s">
        <v>1881</v>
      </c>
      <c r="BF25" t="s">
        <v>311</v>
      </c>
      <c r="BG25" t="s">
        <v>311</v>
      </c>
      <c r="BH25" t="s">
        <v>311</v>
      </c>
      <c r="BI25" t="s">
        <v>311</v>
      </c>
      <c r="BJ25" t="s">
        <v>311</v>
      </c>
      <c r="BK25" t="s">
        <v>311</v>
      </c>
      <c r="BL25" t="s">
        <v>311</v>
      </c>
      <c r="BM25" t="s">
        <v>311</v>
      </c>
      <c r="BN25">
        <v>4</v>
      </c>
      <c r="BO25">
        <v>3</v>
      </c>
      <c r="BP25" t="s">
        <v>311</v>
      </c>
      <c r="BQ25" t="s">
        <v>311</v>
      </c>
      <c r="BR25" t="s">
        <v>311</v>
      </c>
      <c r="BS25" t="s">
        <v>311</v>
      </c>
      <c r="BT25">
        <v>11.555000000000001</v>
      </c>
      <c r="BU25">
        <v>1.1076544286614547</v>
      </c>
      <c r="BV25">
        <v>10.616666666666667</v>
      </c>
      <c r="BW25">
        <v>1.4404755107150196</v>
      </c>
      <c r="BX25" t="s">
        <v>1126</v>
      </c>
      <c r="BY25" t="s">
        <v>1203</v>
      </c>
      <c r="BZ25">
        <v>10.616666666666667</v>
      </c>
      <c r="CA25">
        <v>-0.23428571428571424</v>
      </c>
      <c r="CB25" t="s">
        <v>1209</v>
      </c>
      <c r="CC25" t="s">
        <v>1209</v>
      </c>
      <c r="CD25" t="s">
        <v>311</v>
      </c>
      <c r="CE25" t="s">
        <v>311</v>
      </c>
      <c r="CF25" t="s">
        <v>311</v>
      </c>
      <c r="CG25" t="s">
        <v>311</v>
      </c>
      <c r="CH25" t="s">
        <v>311</v>
      </c>
      <c r="CI25" t="s">
        <v>311</v>
      </c>
      <c r="CJ25" s="38">
        <v>1.2224999999999999</v>
      </c>
      <c r="CK25" s="38">
        <v>1.1133333329999999</v>
      </c>
      <c r="CL25" s="38" t="s">
        <v>311</v>
      </c>
      <c r="CM25" s="38" t="s">
        <v>311</v>
      </c>
      <c r="CN25" s="38" t="s">
        <v>311</v>
      </c>
      <c r="CO25" s="38" t="s">
        <v>311</v>
      </c>
      <c r="CP25" s="38">
        <v>1.1133333329999999</v>
      </c>
      <c r="CR25" t="s">
        <v>897</v>
      </c>
    </row>
    <row r="26" spans="1:96">
      <c r="A26">
        <v>25</v>
      </c>
      <c r="B26">
        <v>7</v>
      </c>
      <c r="C26">
        <v>1</v>
      </c>
      <c r="D26" t="s">
        <v>57</v>
      </c>
      <c r="E26" t="s">
        <v>58</v>
      </c>
      <c r="F26" t="s">
        <v>59</v>
      </c>
      <c r="G26">
        <v>2016</v>
      </c>
      <c r="H26" t="s">
        <v>432</v>
      </c>
      <c r="I26" s="21" t="s">
        <v>433</v>
      </c>
      <c r="J26">
        <v>30.279878</v>
      </c>
      <c r="K26">
        <v>-115.913456</v>
      </c>
      <c r="L26" t="s">
        <v>359</v>
      </c>
      <c r="M26" t="s">
        <v>434</v>
      </c>
      <c r="N26" t="s">
        <v>531</v>
      </c>
      <c r="O26" t="s">
        <v>288</v>
      </c>
      <c r="P26" t="s">
        <v>1435</v>
      </c>
      <c r="Q26" t="s">
        <v>419</v>
      </c>
      <c r="R26" t="s">
        <v>550</v>
      </c>
      <c r="S26" t="s">
        <v>717</v>
      </c>
      <c r="T26" t="s">
        <v>331</v>
      </c>
      <c r="U26">
        <v>3</v>
      </c>
      <c r="V26" t="s">
        <v>559</v>
      </c>
      <c r="W26">
        <v>2015</v>
      </c>
      <c r="X26" t="s">
        <v>292</v>
      </c>
      <c r="Y26" t="s">
        <v>617</v>
      </c>
      <c r="Z26" t="s">
        <v>537</v>
      </c>
      <c r="AA26" t="s">
        <v>538</v>
      </c>
      <c r="AB26" t="s">
        <v>615</v>
      </c>
      <c r="AC26" t="s">
        <v>616</v>
      </c>
      <c r="AD26" t="s">
        <v>292</v>
      </c>
      <c r="AE26" t="s">
        <v>618</v>
      </c>
      <c r="AF26" t="s">
        <v>552</v>
      </c>
      <c r="AH26" t="s">
        <v>555</v>
      </c>
      <c r="AI26" t="s">
        <v>619</v>
      </c>
      <c r="AJ26" t="s">
        <v>620</v>
      </c>
      <c r="AK26" t="s">
        <v>621</v>
      </c>
      <c r="AL26" t="s">
        <v>357</v>
      </c>
      <c r="AM26" t="s">
        <v>1059</v>
      </c>
      <c r="AN26" t="s">
        <v>1277</v>
      </c>
      <c r="AO26" t="s">
        <v>1284</v>
      </c>
      <c r="AP26" t="s">
        <v>887</v>
      </c>
      <c r="AQ26" t="s">
        <v>887</v>
      </c>
      <c r="AR26" s="6">
        <v>204.356436</v>
      </c>
      <c r="AS26" s="6">
        <v>5.6435643600000001</v>
      </c>
      <c r="AT26" t="s">
        <v>311</v>
      </c>
      <c r="AU26">
        <v>4</v>
      </c>
      <c r="AV26" s="6">
        <v>147.623762</v>
      </c>
      <c r="AW26" s="6">
        <v>2.9702970299999998</v>
      </c>
      <c r="AX26" t="s">
        <v>311</v>
      </c>
      <c r="AY26">
        <v>4</v>
      </c>
      <c r="AZ26" t="s">
        <v>1678</v>
      </c>
      <c r="BA26" t="s">
        <v>1680</v>
      </c>
      <c r="BB26">
        <v>4.1669999999999999E-2</v>
      </c>
      <c r="BC26" t="s">
        <v>1672</v>
      </c>
      <c r="BD26" t="s">
        <v>1764</v>
      </c>
      <c r="BE26" t="s">
        <v>1881</v>
      </c>
      <c r="BF26">
        <v>1.6</v>
      </c>
      <c r="BG26">
        <v>0.3</v>
      </c>
      <c r="BH26">
        <v>0.6</v>
      </c>
      <c r="BI26">
        <v>0.2</v>
      </c>
      <c r="BJ26">
        <v>0.49</v>
      </c>
      <c r="BK26">
        <v>0.1</v>
      </c>
      <c r="BL26">
        <v>0.47</v>
      </c>
      <c r="BM26">
        <v>0.1</v>
      </c>
      <c r="BN26">
        <v>6</v>
      </c>
      <c r="BO26">
        <v>6</v>
      </c>
      <c r="BP26">
        <v>192</v>
      </c>
      <c r="BQ26">
        <v>16</v>
      </c>
      <c r="BR26">
        <v>422</v>
      </c>
      <c r="BS26">
        <v>31</v>
      </c>
      <c r="BT26" t="s">
        <v>311</v>
      </c>
      <c r="BU26" t="s">
        <v>311</v>
      </c>
      <c r="BV26" t="s">
        <v>311</v>
      </c>
      <c r="BW26" t="s">
        <v>311</v>
      </c>
      <c r="BX26" t="s">
        <v>1126</v>
      </c>
      <c r="BY26" t="s">
        <v>1203</v>
      </c>
      <c r="BZ26">
        <v>1.0699999999999998</v>
      </c>
      <c r="CA26">
        <v>18</v>
      </c>
      <c r="CB26" t="s">
        <v>1209</v>
      </c>
      <c r="CC26" t="s">
        <v>1209</v>
      </c>
      <c r="CD26" t="s">
        <v>311</v>
      </c>
      <c r="CE26" t="s">
        <v>311</v>
      </c>
      <c r="CF26" t="s">
        <v>311</v>
      </c>
      <c r="CG26" t="s">
        <v>311</v>
      </c>
      <c r="CH26" t="s">
        <v>311</v>
      </c>
      <c r="CI26" t="s">
        <v>311</v>
      </c>
      <c r="CJ26" s="38" t="s">
        <v>311</v>
      </c>
      <c r="CK26" s="38" t="s">
        <v>311</v>
      </c>
      <c r="CL26" s="38" t="s">
        <v>311</v>
      </c>
      <c r="CM26" s="38" t="s">
        <v>311</v>
      </c>
      <c r="CN26" s="38" t="s">
        <v>311</v>
      </c>
      <c r="CO26" s="38" t="s">
        <v>311</v>
      </c>
      <c r="CP26" s="38" t="s">
        <v>311</v>
      </c>
      <c r="CQ26" t="s">
        <v>1775</v>
      </c>
      <c r="CR26" t="s">
        <v>1868</v>
      </c>
    </row>
    <row r="27" spans="1:96">
      <c r="A27">
        <v>26</v>
      </c>
      <c r="B27">
        <v>7</v>
      </c>
      <c r="C27">
        <v>2</v>
      </c>
      <c r="D27" t="s">
        <v>57</v>
      </c>
      <c r="E27" t="s">
        <v>58</v>
      </c>
      <c r="F27" t="s">
        <v>59</v>
      </c>
      <c r="G27">
        <v>2016</v>
      </c>
      <c r="H27" t="s">
        <v>432</v>
      </c>
      <c r="I27" s="21" t="s">
        <v>433</v>
      </c>
      <c r="J27">
        <v>30.279878</v>
      </c>
      <c r="K27">
        <v>-115.913456</v>
      </c>
      <c r="L27" t="s">
        <v>359</v>
      </c>
      <c r="M27" t="s">
        <v>434</v>
      </c>
      <c r="N27" t="s">
        <v>531</v>
      </c>
      <c r="O27" t="s">
        <v>288</v>
      </c>
      <c r="P27" t="s">
        <v>1435</v>
      </c>
      <c r="Q27" t="s">
        <v>419</v>
      </c>
      <c r="R27" t="s">
        <v>550</v>
      </c>
      <c r="S27" t="s">
        <v>717</v>
      </c>
      <c r="T27" t="s">
        <v>331</v>
      </c>
      <c r="U27">
        <v>3</v>
      </c>
      <c r="V27" t="s">
        <v>559</v>
      </c>
      <c r="W27">
        <v>2015</v>
      </c>
      <c r="X27" t="s">
        <v>292</v>
      </c>
      <c r="Y27" t="s">
        <v>617</v>
      </c>
      <c r="Z27" t="s">
        <v>537</v>
      </c>
      <c r="AA27" t="s">
        <v>538</v>
      </c>
      <c r="AB27" t="s">
        <v>615</v>
      </c>
      <c r="AC27" t="s">
        <v>616</v>
      </c>
      <c r="AD27" t="s">
        <v>292</v>
      </c>
      <c r="AE27" t="s">
        <v>618</v>
      </c>
      <c r="AF27" t="s">
        <v>552</v>
      </c>
      <c r="AH27" t="s">
        <v>555</v>
      </c>
      <c r="AI27" t="s">
        <v>619</v>
      </c>
      <c r="AJ27" t="s">
        <v>620</v>
      </c>
      <c r="AK27" t="s">
        <v>621</v>
      </c>
      <c r="AL27" t="s">
        <v>357</v>
      </c>
      <c r="AM27" t="s">
        <v>1059</v>
      </c>
      <c r="AN27" t="s">
        <v>1277</v>
      </c>
      <c r="AO27" t="s">
        <v>1284</v>
      </c>
      <c r="AP27" t="s">
        <v>887</v>
      </c>
      <c r="AQ27" t="s">
        <v>887</v>
      </c>
      <c r="AR27" s="6">
        <v>216.23762400000001</v>
      </c>
      <c r="AS27" s="6">
        <v>7.72277228</v>
      </c>
      <c r="AT27" t="s">
        <v>311</v>
      </c>
      <c r="AU27">
        <v>4</v>
      </c>
      <c r="AV27" s="6">
        <v>157.72277199999999</v>
      </c>
      <c r="AW27" s="6">
        <v>9.8019801999999991</v>
      </c>
      <c r="AX27" t="s">
        <v>311</v>
      </c>
      <c r="AY27">
        <v>4</v>
      </c>
      <c r="AZ27" t="s">
        <v>1678</v>
      </c>
      <c r="BA27" t="s">
        <v>1680</v>
      </c>
      <c r="BB27">
        <v>4.1669999999999999E-2</v>
      </c>
      <c r="BC27" t="s">
        <v>1672</v>
      </c>
      <c r="BD27" t="s">
        <v>1764</v>
      </c>
      <c r="BE27" t="s">
        <v>1881</v>
      </c>
      <c r="BF27">
        <v>1.6</v>
      </c>
      <c r="BG27">
        <v>0.3</v>
      </c>
      <c r="BH27">
        <v>0.6</v>
      </c>
      <c r="BI27">
        <v>0.2</v>
      </c>
      <c r="BJ27">
        <v>0.49</v>
      </c>
      <c r="BK27">
        <v>0.1</v>
      </c>
      <c r="BL27">
        <v>0.47</v>
      </c>
      <c r="BM27">
        <v>0.1</v>
      </c>
      <c r="BN27">
        <v>6</v>
      </c>
      <c r="BO27">
        <v>6</v>
      </c>
      <c r="BP27">
        <v>192</v>
      </c>
      <c r="BQ27">
        <v>16</v>
      </c>
      <c r="BR27">
        <v>422</v>
      </c>
      <c r="BS27">
        <v>31</v>
      </c>
      <c r="BT27" t="s">
        <v>311</v>
      </c>
      <c r="BU27" t="s">
        <v>311</v>
      </c>
      <c r="BV27" t="s">
        <v>311</v>
      </c>
      <c r="BW27" t="s">
        <v>311</v>
      </c>
      <c r="BX27" t="s">
        <v>1126</v>
      </c>
      <c r="BY27" t="s">
        <v>1203</v>
      </c>
      <c r="BZ27">
        <v>1.0699999999999998</v>
      </c>
      <c r="CA27">
        <v>18</v>
      </c>
      <c r="CB27" t="s">
        <v>1209</v>
      </c>
      <c r="CC27" t="s">
        <v>1209</v>
      </c>
      <c r="CD27" t="s">
        <v>311</v>
      </c>
      <c r="CE27" t="s">
        <v>311</v>
      </c>
      <c r="CF27" t="s">
        <v>311</v>
      </c>
      <c r="CG27" t="s">
        <v>311</v>
      </c>
      <c r="CH27" t="s">
        <v>311</v>
      </c>
      <c r="CI27" t="s">
        <v>311</v>
      </c>
      <c r="CJ27" s="38" t="s">
        <v>311</v>
      </c>
      <c r="CK27" s="38" t="s">
        <v>311</v>
      </c>
      <c r="CL27" s="38" t="s">
        <v>311</v>
      </c>
      <c r="CM27" s="38" t="s">
        <v>311</v>
      </c>
      <c r="CN27" s="38" t="s">
        <v>311</v>
      </c>
      <c r="CO27" s="38" t="s">
        <v>311</v>
      </c>
      <c r="CP27" s="38" t="s">
        <v>311</v>
      </c>
      <c r="CQ27" t="s">
        <v>1775</v>
      </c>
      <c r="CR27" t="s">
        <v>1773</v>
      </c>
    </row>
    <row r="28" spans="1:96">
      <c r="A28">
        <v>27</v>
      </c>
      <c r="B28">
        <v>7</v>
      </c>
      <c r="C28">
        <v>3</v>
      </c>
      <c r="D28" t="s">
        <v>57</v>
      </c>
      <c r="E28" t="s">
        <v>58</v>
      </c>
      <c r="F28" t="s">
        <v>59</v>
      </c>
      <c r="G28">
        <v>2016</v>
      </c>
      <c r="H28" t="s">
        <v>432</v>
      </c>
      <c r="I28" s="21" t="s">
        <v>433</v>
      </c>
      <c r="J28">
        <v>30.279878</v>
      </c>
      <c r="K28">
        <v>-115.913456</v>
      </c>
      <c r="L28" t="s">
        <v>359</v>
      </c>
      <c r="M28" t="s">
        <v>434</v>
      </c>
      <c r="N28" t="s">
        <v>531</v>
      </c>
      <c r="O28" t="s">
        <v>288</v>
      </c>
      <c r="P28" t="s">
        <v>1435</v>
      </c>
      <c r="Q28" t="s">
        <v>419</v>
      </c>
      <c r="R28" t="s">
        <v>550</v>
      </c>
      <c r="S28" t="s">
        <v>717</v>
      </c>
      <c r="T28" t="s">
        <v>331</v>
      </c>
      <c r="U28">
        <v>3</v>
      </c>
      <c r="V28" t="s">
        <v>559</v>
      </c>
      <c r="W28">
        <v>2015</v>
      </c>
      <c r="X28" t="s">
        <v>292</v>
      </c>
      <c r="Y28" t="s">
        <v>617</v>
      </c>
      <c r="Z28" t="s">
        <v>537</v>
      </c>
      <c r="AA28" t="s">
        <v>538</v>
      </c>
      <c r="AB28" t="s">
        <v>615</v>
      </c>
      <c r="AC28" t="s">
        <v>616</v>
      </c>
      <c r="AD28" t="s">
        <v>292</v>
      </c>
      <c r="AE28" t="s">
        <v>618</v>
      </c>
      <c r="AF28" t="s">
        <v>552</v>
      </c>
      <c r="AH28" t="s">
        <v>555</v>
      </c>
      <c r="AI28" t="s">
        <v>619</v>
      </c>
      <c r="AJ28" t="s">
        <v>620</v>
      </c>
      <c r="AK28" t="s">
        <v>621</v>
      </c>
      <c r="AL28" t="s">
        <v>357</v>
      </c>
      <c r="AM28" t="s">
        <v>1059</v>
      </c>
      <c r="AN28" t="s">
        <v>1277</v>
      </c>
      <c r="AO28" t="s">
        <v>1284</v>
      </c>
      <c r="AP28" t="s">
        <v>887</v>
      </c>
      <c r="AQ28" t="s">
        <v>887</v>
      </c>
      <c r="AR28" s="6">
        <v>213.564356</v>
      </c>
      <c r="AS28" s="6">
        <v>9.5049504999999996</v>
      </c>
      <c r="AT28" t="s">
        <v>311</v>
      </c>
      <c r="AU28">
        <v>4</v>
      </c>
      <c r="AV28" s="6">
        <v>156.831683</v>
      </c>
      <c r="AW28" s="6">
        <v>14.8514851</v>
      </c>
      <c r="AX28" t="s">
        <v>311</v>
      </c>
      <c r="AY28">
        <v>4</v>
      </c>
      <c r="AZ28" t="s">
        <v>1678</v>
      </c>
      <c r="BA28" t="s">
        <v>1680</v>
      </c>
      <c r="BB28">
        <v>4.1669999999999999E-2</v>
      </c>
      <c r="BC28" t="s">
        <v>1672</v>
      </c>
      <c r="BD28" t="s">
        <v>1764</v>
      </c>
      <c r="BE28" t="s">
        <v>1881</v>
      </c>
      <c r="BF28">
        <v>1.6</v>
      </c>
      <c r="BG28">
        <v>0.3</v>
      </c>
      <c r="BH28">
        <v>0.6</v>
      </c>
      <c r="BI28">
        <v>0.2</v>
      </c>
      <c r="BJ28">
        <v>0.49</v>
      </c>
      <c r="BK28">
        <v>0.1</v>
      </c>
      <c r="BL28">
        <v>0.47</v>
      </c>
      <c r="BM28">
        <v>0.1</v>
      </c>
      <c r="BN28">
        <v>6</v>
      </c>
      <c r="BO28">
        <v>6</v>
      </c>
      <c r="BP28">
        <v>192</v>
      </c>
      <c r="BQ28">
        <v>16</v>
      </c>
      <c r="BR28">
        <v>422</v>
      </c>
      <c r="BS28">
        <v>31</v>
      </c>
      <c r="BT28" t="s">
        <v>311</v>
      </c>
      <c r="BU28" t="s">
        <v>311</v>
      </c>
      <c r="BV28" t="s">
        <v>311</v>
      </c>
      <c r="BW28" t="s">
        <v>311</v>
      </c>
      <c r="BX28" t="s">
        <v>1126</v>
      </c>
      <c r="BY28" t="s">
        <v>1203</v>
      </c>
      <c r="BZ28">
        <v>1.0699999999999998</v>
      </c>
      <c r="CA28">
        <v>18</v>
      </c>
      <c r="CB28" t="s">
        <v>1209</v>
      </c>
      <c r="CC28" t="s">
        <v>1209</v>
      </c>
      <c r="CD28" t="s">
        <v>311</v>
      </c>
      <c r="CE28" t="s">
        <v>311</v>
      </c>
      <c r="CF28" t="s">
        <v>311</v>
      </c>
      <c r="CG28" t="s">
        <v>311</v>
      </c>
      <c r="CH28" t="s">
        <v>311</v>
      </c>
      <c r="CI28" t="s">
        <v>311</v>
      </c>
      <c r="CJ28" s="38" t="s">
        <v>311</v>
      </c>
      <c r="CK28" s="38" t="s">
        <v>311</v>
      </c>
      <c r="CL28" s="38" t="s">
        <v>311</v>
      </c>
      <c r="CM28" s="38" t="s">
        <v>311</v>
      </c>
      <c r="CN28" s="38" t="s">
        <v>311</v>
      </c>
      <c r="CO28" s="38" t="s">
        <v>311</v>
      </c>
      <c r="CP28" s="38" t="s">
        <v>311</v>
      </c>
      <c r="CQ28" t="s">
        <v>1775</v>
      </c>
      <c r="CR28" t="s">
        <v>1769</v>
      </c>
    </row>
    <row r="29" spans="1:96">
      <c r="A29">
        <v>28</v>
      </c>
      <c r="B29">
        <v>7</v>
      </c>
      <c r="C29">
        <v>4</v>
      </c>
      <c r="D29" t="s">
        <v>57</v>
      </c>
      <c r="E29" t="s">
        <v>58</v>
      </c>
      <c r="F29" t="s">
        <v>59</v>
      </c>
      <c r="G29">
        <v>2016</v>
      </c>
      <c r="H29" t="s">
        <v>432</v>
      </c>
      <c r="I29" s="21" t="s">
        <v>433</v>
      </c>
      <c r="J29">
        <v>30.279878</v>
      </c>
      <c r="K29">
        <v>-115.913456</v>
      </c>
      <c r="L29" t="s">
        <v>359</v>
      </c>
      <c r="M29" t="s">
        <v>434</v>
      </c>
      <c r="N29" t="s">
        <v>531</v>
      </c>
      <c r="O29" t="s">
        <v>288</v>
      </c>
      <c r="P29" t="s">
        <v>1435</v>
      </c>
      <c r="Q29" t="s">
        <v>419</v>
      </c>
      <c r="R29" t="s">
        <v>550</v>
      </c>
      <c r="S29" t="s">
        <v>717</v>
      </c>
      <c r="T29" t="s">
        <v>331</v>
      </c>
      <c r="U29">
        <v>3</v>
      </c>
      <c r="V29" t="s">
        <v>559</v>
      </c>
      <c r="W29">
        <v>2015</v>
      </c>
      <c r="X29" t="s">
        <v>292</v>
      </c>
      <c r="Y29" t="s">
        <v>617</v>
      </c>
      <c r="Z29" t="s">
        <v>537</v>
      </c>
      <c r="AA29" t="s">
        <v>538</v>
      </c>
      <c r="AB29" t="s">
        <v>615</v>
      </c>
      <c r="AC29" t="s">
        <v>616</v>
      </c>
      <c r="AD29" t="s">
        <v>292</v>
      </c>
      <c r="AE29" t="s">
        <v>618</v>
      </c>
      <c r="AF29" t="s">
        <v>552</v>
      </c>
      <c r="AH29" t="s">
        <v>555</v>
      </c>
      <c r="AI29" t="s">
        <v>619</v>
      </c>
      <c r="AJ29" t="s">
        <v>620</v>
      </c>
      <c r="AK29" t="s">
        <v>621</v>
      </c>
      <c r="AL29" t="s">
        <v>357</v>
      </c>
      <c r="AM29" t="s">
        <v>1059</v>
      </c>
      <c r="AN29" t="s">
        <v>1277</v>
      </c>
      <c r="AO29" t="s">
        <v>1284</v>
      </c>
      <c r="AP29" t="s">
        <v>887</v>
      </c>
      <c r="AQ29" t="s">
        <v>887</v>
      </c>
      <c r="AR29" s="6">
        <v>152.07920799999999</v>
      </c>
      <c r="AS29" s="6">
        <v>20.198019800000001</v>
      </c>
      <c r="AT29" t="s">
        <v>311</v>
      </c>
      <c r="AU29">
        <v>4</v>
      </c>
      <c r="AV29" s="6">
        <v>149.40594100000001</v>
      </c>
      <c r="AW29" s="6">
        <v>16.3366337</v>
      </c>
      <c r="AX29" t="s">
        <v>311</v>
      </c>
      <c r="AY29">
        <v>4</v>
      </c>
      <c r="AZ29" t="s">
        <v>1678</v>
      </c>
      <c r="BA29" t="s">
        <v>1680</v>
      </c>
      <c r="BB29">
        <v>4.1669999999999999E-2</v>
      </c>
      <c r="BC29" t="s">
        <v>1672</v>
      </c>
      <c r="BD29" t="s">
        <v>1764</v>
      </c>
      <c r="BE29" t="s">
        <v>1881</v>
      </c>
      <c r="BF29">
        <v>1.6</v>
      </c>
      <c r="BG29">
        <v>0.3</v>
      </c>
      <c r="BH29">
        <v>0.6</v>
      </c>
      <c r="BI29">
        <v>0.2</v>
      </c>
      <c r="BJ29">
        <v>0.49</v>
      </c>
      <c r="BK29">
        <v>0.1</v>
      </c>
      <c r="BL29">
        <v>0.47</v>
      </c>
      <c r="BM29">
        <v>0.1</v>
      </c>
      <c r="BN29">
        <v>6</v>
      </c>
      <c r="BO29">
        <v>6</v>
      </c>
      <c r="BP29">
        <v>192</v>
      </c>
      <c r="BQ29">
        <v>16</v>
      </c>
      <c r="BR29">
        <v>422</v>
      </c>
      <c r="BS29">
        <v>31</v>
      </c>
      <c r="BT29" t="s">
        <v>311</v>
      </c>
      <c r="BU29" t="s">
        <v>311</v>
      </c>
      <c r="BV29" t="s">
        <v>311</v>
      </c>
      <c r="BW29" t="s">
        <v>311</v>
      </c>
      <c r="BX29" t="s">
        <v>1126</v>
      </c>
      <c r="BY29" t="s">
        <v>1203</v>
      </c>
      <c r="BZ29">
        <v>1.0699999999999998</v>
      </c>
      <c r="CA29">
        <v>18</v>
      </c>
      <c r="CB29" t="s">
        <v>1209</v>
      </c>
      <c r="CC29" t="s">
        <v>1209</v>
      </c>
      <c r="CD29" t="s">
        <v>311</v>
      </c>
      <c r="CE29" t="s">
        <v>311</v>
      </c>
      <c r="CF29" t="s">
        <v>311</v>
      </c>
      <c r="CG29" t="s">
        <v>311</v>
      </c>
      <c r="CH29" t="s">
        <v>311</v>
      </c>
      <c r="CI29" t="s">
        <v>311</v>
      </c>
      <c r="CJ29" s="38" t="s">
        <v>311</v>
      </c>
      <c r="CK29" s="38" t="s">
        <v>311</v>
      </c>
      <c r="CL29" s="38" t="s">
        <v>311</v>
      </c>
      <c r="CM29" s="38" t="s">
        <v>311</v>
      </c>
      <c r="CN29" s="38" t="s">
        <v>311</v>
      </c>
      <c r="CO29" s="38" t="s">
        <v>311</v>
      </c>
      <c r="CP29" s="38" t="s">
        <v>311</v>
      </c>
      <c r="CQ29" t="s">
        <v>1775</v>
      </c>
      <c r="CR29" t="s">
        <v>1770</v>
      </c>
    </row>
    <row r="30" spans="1:96">
      <c r="A30">
        <v>29</v>
      </c>
      <c r="B30">
        <v>7</v>
      </c>
      <c r="C30">
        <v>5</v>
      </c>
      <c r="D30" t="s">
        <v>57</v>
      </c>
      <c r="E30" t="s">
        <v>58</v>
      </c>
      <c r="F30" t="s">
        <v>59</v>
      </c>
      <c r="G30">
        <v>2016</v>
      </c>
      <c r="H30" t="s">
        <v>432</v>
      </c>
      <c r="I30" s="21" t="s">
        <v>433</v>
      </c>
      <c r="J30">
        <v>30.279878</v>
      </c>
      <c r="K30">
        <v>-115.913456</v>
      </c>
      <c r="L30" t="s">
        <v>359</v>
      </c>
      <c r="M30" t="s">
        <v>434</v>
      </c>
      <c r="N30" t="s">
        <v>531</v>
      </c>
      <c r="O30" t="s">
        <v>288</v>
      </c>
      <c r="P30" t="s">
        <v>1435</v>
      </c>
      <c r="Q30" t="s">
        <v>419</v>
      </c>
      <c r="R30" t="s">
        <v>550</v>
      </c>
      <c r="S30" t="s">
        <v>717</v>
      </c>
      <c r="T30" t="s">
        <v>331</v>
      </c>
      <c r="U30">
        <v>3</v>
      </c>
      <c r="V30" t="s">
        <v>559</v>
      </c>
      <c r="W30">
        <v>2015</v>
      </c>
      <c r="X30" t="s">
        <v>292</v>
      </c>
      <c r="Y30" t="s">
        <v>617</v>
      </c>
      <c r="Z30" t="s">
        <v>537</v>
      </c>
      <c r="AA30" t="s">
        <v>538</v>
      </c>
      <c r="AB30" t="s">
        <v>615</v>
      </c>
      <c r="AC30" t="s">
        <v>616</v>
      </c>
      <c r="AD30" t="s">
        <v>292</v>
      </c>
      <c r="AE30" t="s">
        <v>618</v>
      </c>
      <c r="AF30" t="s">
        <v>552</v>
      </c>
      <c r="AH30" t="s">
        <v>555</v>
      </c>
      <c r="AI30" t="s">
        <v>619</v>
      </c>
      <c r="AJ30" t="s">
        <v>620</v>
      </c>
      <c r="AK30" t="s">
        <v>621</v>
      </c>
      <c r="AL30" t="s">
        <v>357</v>
      </c>
      <c r="AM30" t="s">
        <v>1059</v>
      </c>
      <c r="AN30" t="s">
        <v>1277</v>
      </c>
      <c r="AO30" t="s">
        <v>1284</v>
      </c>
      <c r="AP30" t="s">
        <v>887</v>
      </c>
      <c r="AQ30" t="s">
        <v>887</v>
      </c>
      <c r="AR30" s="6">
        <v>164.55445499999999</v>
      </c>
      <c r="AS30" s="6">
        <v>15.1485149</v>
      </c>
      <c r="AT30" t="s">
        <v>311</v>
      </c>
      <c r="AU30">
        <v>4</v>
      </c>
      <c r="AV30" s="6">
        <v>118.217822</v>
      </c>
      <c r="AW30" s="6">
        <v>6.8316831699999998</v>
      </c>
      <c r="AX30" t="s">
        <v>311</v>
      </c>
      <c r="AY30">
        <v>4</v>
      </c>
      <c r="AZ30" t="s">
        <v>1678</v>
      </c>
      <c r="BA30" t="s">
        <v>1680</v>
      </c>
      <c r="BB30">
        <v>4.1669999999999999E-2</v>
      </c>
      <c r="BC30" t="s">
        <v>1672</v>
      </c>
      <c r="BD30" t="s">
        <v>1764</v>
      </c>
      <c r="BE30" t="s">
        <v>1881</v>
      </c>
      <c r="BF30">
        <v>1.6</v>
      </c>
      <c r="BG30">
        <v>0.3</v>
      </c>
      <c r="BH30">
        <v>0.6</v>
      </c>
      <c r="BI30">
        <v>0.2</v>
      </c>
      <c r="BJ30">
        <v>0.49</v>
      </c>
      <c r="BK30">
        <v>0.1</v>
      </c>
      <c r="BL30">
        <v>0.47</v>
      </c>
      <c r="BM30">
        <v>0.1</v>
      </c>
      <c r="BN30">
        <v>6</v>
      </c>
      <c r="BO30">
        <v>6</v>
      </c>
      <c r="BP30">
        <v>192</v>
      </c>
      <c r="BQ30">
        <v>16</v>
      </c>
      <c r="BR30">
        <v>422</v>
      </c>
      <c r="BS30">
        <v>31</v>
      </c>
      <c r="BT30" t="s">
        <v>311</v>
      </c>
      <c r="BU30" t="s">
        <v>311</v>
      </c>
      <c r="BV30" t="s">
        <v>311</v>
      </c>
      <c r="BW30" t="s">
        <v>311</v>
      </c>
      <c r="BX30" t="s">
        <v>1126</v>
      </c>
      <c r="BY30" t="s">
        <v>1203</v>
      </c>
      <c r="BZ30">
        <v>1.0699999999999998</v>
      </c>
      <c r="CA30">
        <v>18</v>
      </c>
      <c r="CB30" t="s">
        <v>1209</v>
      </c>
      <c r="CC30" t="s">
        <v>1209</v>
      </c>
      <c r="CD30" t="s">
        <v>311</v>
      </c>
      <c r="CE30" t="s">
        <v>311</v>
      </c>
      <c r="CF30" t="s">
        <v>311</v>
      </c>
      <c r="CG30" t="s">
        <v>311</v>
      </c>
      <c r="CH30" t="s">
        <v>311</v>
      </c>
      <c r="CI30" t="s">
        <v>311</v>
      </c>
      <c r="CJ30" s="38" t="s">
        <v>311</v>
      </c>
      <c r="CK30" s="38" t="s">
        <v>311</v>
      </c>
      <c r="CL30" s="38" t="s">
        <v>311</v>
      </c>
      <c r="CM30" s="38" t="s">
        <v>311</v>
      </c>
      <c r="CN30" s="38" t="s">
        <v>311</v>
      </c>
      <c r="CO30" s="38" t="s">
        <v>311</v>
      </c>
      <c r="CP30" s="38" t="s">
        <v>311</v>
      </c>
      <c r="CQ30" t="s">
        <v>1775</v>
      </c>
      <c r="CR30" t="s">
        <v>1771</v>
      </c>
    </row>
    <row r="31" spans="1:96">
      <c r="A31">
        <v>30</v>
      </c>
      <c r="B31">
        <v>7</v>
      </c>
      <c r="C31">
        <v>6</v>
      </c>
      <c r="D31" t="s">
        <v>57</v>
      </c>
      <c r="E31" t="s">
        <v>58</v>
      </c>
      <c r="F31" t="s">
        <v>59</v>
      </c>
      <c r="G31">
        <v>2016</v>
      </c>
      <c r="H31" t="s">
        <v>432</v>
      </c>
      <c r="I31" s="21" t="s">
        <v>433</v>
      </c>
      <c r="J31">
        <v>30.279878</v>
      </c>
      <c r="K31">
        <v>-115.913456</v>
      </c>
      <c r="L31" t="s">
        <v>359</v>
      </c>
      <c r="M31" t="s">
        <v>434</v>
      </c>
      <c r="N31" t="s">
        <v>531</v>
      </c>
      <c r="O31" t="s">
        <v>288</v>
      </c>
      <c r="P31" t="s">
        <v>1435</v>
      </c>
      <c r="Q31" t="s">
        <v>419</v>
      </c>
      <c r="R31" t="s">
        <v>550</v>
      </c>
      <c r="S31" t="s">
        <v>717</v>
      </c>
      <c r="T31" t="s">
        <v>331</v>
      </c>
      <c r="U31">
        <v>3</v>
      </c>
      <c r="V31" t="s">
        <v>559</v>
      </c>
      <c r="W31">
        <v>2015</v>
      </c>
      <c r="X31" t="s">
        <v>292</v>
      </c>
      <c r="Y31" t="s">
        <v>617</v>
      </c>
      <c r="Z31" t="s">
        <v>537</v>
      </c>
      <c r="AA31" t="s">
        <v>538</v>
      </c>
      <c r="AB31" t="s">
        <v>615</v>
      </c>
      <c r="AC31" t="s">
        <v>616</v>
      </c>
      <c r="AD31" t="s">
        <v>292</v>
      </c>
      <c r="AE31" t="s">
        <v>618</v>
      </c>
      <c r="AF31" t="s">
        <v>552</v>
      </c>
      <c r="AH31" t="s">
        <v>555</v>
      </c>
      <c r="AI31" t="s">
        <v>619</v>
      </c>
      <c r="AJ31" t="s">
        <v>620</v>
      </c>
      <c r="AK31" t="s">
        <v>621</v>
      </c>
      <c r="AL31" t="s">
        <v>357</v>
      </c>
      <c r="AM31" t="s">
        <v>1059</v>
      </c>
      <c r="AN31" t="s">
        <v>1277</v>
      </c>
      <c r="AO31" t="s">
        <v>1284</v>
      </c>
      <c r="AP31" t="s">
        <v>887</v>
      </c>
      <c r="AQ31" t="s">
        <v>887</v>
      </c>
      <c r="AR31" s="6">
        <v>120.89108899999999</v>
      </c>
      <c r="AS31" s="6">
        <v>17.821782200000001</v>
      </c>
      <c r="AT31" t="s">
        <v>311</v>
      </c>
      <c r="AU31">
        <v>4</v>
      </c>
      <c r="AV31" s="6">
        <v>112.574257</v>
      </c>
      <c r="AW31" s="6">
        <v>16.6336634</v>
      </c>
      <c r="AX31" t="s">
        <v>311</v>
      </c>
      <c r="AY31">
        <v>4</v>
      </c>
      <c r="AZ31" t="s">
        <v>1678</v>
      </c>
      <c r="BA31" t="s">
        <v>1680</v>
      </c>
      <c r="BB31">
        <v>4.1669999999999999E-2</v>
      </c>
      <c r="BC31" t="s">
        <v>1672</v>
      </c>
      <c r="BD31" t="s">
        <v>1763</v>
      </c>
      <c r="BE31" t="s">
        <v>1881</v>
      </c>
      <c r="BF31">
        <v>1.6</v>
      </c>
      <c r="BG31">
        <v>0.3</v>
      </c>
      <c r="BH31">
        <v>0.6</v>
      </c>
      <c r="BI31">
        <v>0.2</v>
      </c>
      <c r="BJ31">
        <v>0.49</v>
      </c>
      <c r="BK31">
        <v>0.1</v>
      </c>
      <c r="BL31">
        <v>0.47</v>
      </c>
      <c r="BM31">
        <v>0.1</v>
      </c>
      <c r="BN31">
        <v>6</v>
      </c>
      <c r="BO31">
        <v>6</v>
      </c>
      <c r="BP31">
        <v>192</v>
      </c>
      <c r="BQ31">
        <v>16</v>
      </c>
      <c r="BR31">
        <v>422</v>
      </c>
      <c r="BS31">
        <v>31</v>
      </c>
      <c r="BT31" t="s">
        <v>311</v>
      </c>
      <c r="BU31" t="s">
        <v>311</v>
      </c>
      <c r="BV31" t="s">
        <v>311</v>
      </c>
      <c r="BW31" t="s">
        <v>311</v>
      </c>
      <c r="BX31" t="s">
        <v>1126</v>
      </c>
      <c r="BY31" t="s">
        <v>1203</v>
      </c>
      <c r="BZ31">
        <v>1.0699999999999998</v>
      </c>
      <c r="CA31">
        <v>18</v>
      </c>
      <c r="CB31" t="s">
        <v>1209</v>
      </c>
      <c r="CC31" t="s">
        <v>1209</v>
      </c>
      <c r="CD31" t="s">
        <v>311</v>
      </c>
      <c r="CE31" t="s">
        <v>311</v>
      </c>
      <c r="CF31" t="s">
        <v>311</v>
      </c>
      <c r="CG31" t="s">
        <v>311</v>
      </c>
      <c r="CH31" t="s">
        <v>311</v>
      </c>
      <c r="CI31" t="s">
        <v>311</v>
      </c>
      <c r="CJ31" s="38" t="s">
        <v>311</v>
      </c>
      <c r="CK31" s="38" t="s">
        <v>311</v>
      </c>
      <c r="CL31" s="38" t="s">
        <v>311</v>
      </c>
      <c r="CM31" s="38" t="s">
        <v>311</v>
      </c>
      <c r="CN31" s="38" t="s">
        <v>311</v>
      </c>
      <c r="CO31" s="38" t="s">
        <v>311</v>
      </c>
      <c r="CP31" s="38" t="s">
        <v>311</v>
      </c>
      <c r="CQ31" t="s">
        <v>1775</v>
      </c>
      <c r="CR31" t="s">
        <v>1772</v>
      </c>
    </row>
    <row r="32" spans="1:96">
      <c r="A32">
        <v>31</v>
      </c>
      <c r="B32">
        <v>7</v>
      </c>
      <c r="C32">
        <v>8</v>
      </c>
      <c r="D32" t="s">
        <v>57</v>
      </c>
      <c r="E32" t="s">
        <v>58</v>
      </c>
      <c r="F32" t="s">
        <v>59</v>
      </c>
      <c r="G32">
        <v>2016</v>
      </c>
      <c r="H32" t="s">
        <v>432</v>
      </c>
      <c r="I32" s="21" t="s">
        <v>433</v>
      </c>
      <c r="J32">
        <v>30.279878</v>
      </c>
      <c r="K32">
        <v>-115.913456</v>
      </c>
      <c r="L32" t="s">
        <v>359</v>
      </c>
      <c r="M32" t="s">
        <v>434</v>
      </c>
      <c r="N32" t="s">
        <v>531</v>
      </c>
      <c r="O32" t="s">
        <v>288</v>
      </c>
      <c r="P32" t="s">
        <v>1435</v>
      </c>
      <c r="Q32" t="s">
        <v>419</v>
      </c>
      <c r="R32" t="s">
        <v>550</v>
      </c>
      <c r="S32" t="s">
        <v>717</v>
      </c>
      <c r="T32" t="s">
        <v>331</v>
      </c>
      <c r="U32">
        <v>3</v>
      </c>
      <c r="V32" t="s">
        <v>559</v>
      </c>
      <c r="W32">
        <v>2015</v>
      </c>
      <c r="X32" t="s">
        <v>292</v>
      </c>
      <c r="Y32" t="s">
        <v>617</v>
      </c>
      <c r="Z32" t="s">
        <v>537</v>
      </c>
      <c r="AA32" t="s">
        <v>538</v>
      </c>
      <c r="AB32" t="s">
        <v>615</v>
      </c>
      <c r="AC32" t="s">
        <v>616</v>
      </c>
      <c r="AD32" t="s">
        <v>292</v>
      </c>
      <c r="AE32" t="s">
        <v>618</v>
      </c>
      <c r="AF32" t="s">
        <v>552</v>
      </c>
      <c r="AH32" t="s">
        <v>555</v>
      </c>
      <c r="AI32" t="s">
        <v>619</v>
      </c>
      <c r="AJ32" t="s">
        <v>620</v>
      </c>
      <c r="AK32" t="s">
        <v>925</v>
      </c>
      <c r="AL32" t="s">
        <v>357</v>
      </c>
      <c r="AM32" t="s">
        <v>1059</v>
      </c>
      <c r="AN32" t="s">
        <v>1281</v>
      </c>
      <c r="AO32" t="s">
        <v>870</v>
      </c>
      <c r="AP32" t="s">
        <v>887</v>
      </c>
      <c r="AQ32" t="s">
        <v>887</v>
      </c>
      <c r="AR32">
        <v>210.6</v>
      </c>
      <c r="AS32">
        <v>8.1</v>
      </c>
      <c r="AT32" t="s">
        <v>311</v>
      </c>
      <c r="AU32">
        <v>10</v>
      </c>
      <c r="AV32">
        <v>165.8</v>
      </c>
      <c r="AW32">
        <v>7.6</v>
      </c>
      <c r="AX32" t="s">
        <v>311</v>
      </c>
      <c r="AY32">
        <v>10</v>
      </c>
      <c r="AZ32" t="s">
        <v>1055</v>
      </c>
      <c r="BA32" t="s">
        <v>1680</v>
      </c>
      <c r="BB32">
        <v>0</v>
      </c>
      <c r="BC32" t="s">
        <v>1672</v>
      </c>
      <c r="BD32" t="s">
        <v>311</v>
      </c>
      <c r="BE32" t="s">
        <v>1880</v>
      </c>
      <c r="BF32">
        <v>1.6</v>
      </c>
      <c r="BG32">
        <v>0.3</v>
      </c>
      <c r="BH32">
        <v>0.6</v>
      </c>
      <c r="BI32">
        <v>0.2</v>
      </c>
      <c r="BJ32">
        <v>0.49</v>
      </c>
      <c r="BK32">
        <v>0.1</v>
      </c>
      <c r="BL32">
        <v>0.47</v>
      </c>
      <c r="BM32">
        <v>0.1</v>
      </c>
      <c r="BN32">
        <v>6</v>
      </c>
      <c r="BO32">
        <v>6</v>
      </c>
      <c r="BP32">
        <v>192</v>
      </c>
      <c r="BQ32">
        <v>16</v>
      </c>
      <c r="BR32">
        <v>422</v>
      </c>
      <c r="BS32">
        <v>31</v>
      </c>
      <c r="BT32" t="s">
        <v>311</v>
      </c>
      <c r="BU32" t="s">
        <v>311</v>
      </c>
      <c r="BV32" t="s">
        <v>311</v>
      </c>
      <c r="BW32" t="s">
        <v>311</v>
      </c>
      <c r="BX32" t="s">
        <v>1126</v>
      </c>
      <c r="BY32" t="s">
        <v>1203</v>
      </c>
      <c r="BZ32">
        <v>1.0699999999999998</v>
      </c>
      <c r="CA32">
        <v>18</v>
      </c>
      <c r="CB32" t="s">
        <v>1209</v>
      </c>
      <c r="CC32" t="s">
        <v>1209</v>
      </c>
      <c r="CD32" t="s">
        <v>311</v>
      </c>
      <c r="CE32" t="s">
        <v>311</v>
      </c>
      <c r="CF32" t="s">
        <v>311</v>
      </c>
      <c r="CG32" t="s">
        <v>311</v>
      </c>
      <c r="CH32" t="s">
        <v>311</v>
      </c>
      <c r="CI32" t="s">
        <v>311</v>
      </c>
      <c r="CJ32" s="38" t="s">
        <v>311</v>
      </c>
      <c r="CK32" s="38" t="s">
        <v>311</v>
      </c>
      <c r="CL32" s="38" t="s">
        <v>311</v>
      </c>
      <c r="CM32" s="38" t="s">
        <v>311</v>
      </c>
      <c r="CN32" s="38" t="s">
        <v>311</v>
      </c>
      <c r="CO32" s="38" t="s">
        <v>311</v>
      </c>
      <c r="CP32" s="38" t="s">
        <v>311</v>
      </c>
      <c r="CQ32" t="s">
        <v>1689</v>
      </c>
      <c r="CR32" t="s">
        <v>1560</v>
      </c>
    </row>
    <row r="33" spans="1:96">
      <c r="A33">
        <v>32</v>
      </c>
      <c r="B33">
        <v>7</v>
      </c>
      <c r="C33">
        <v>9</v>
      </c>
      <c r="D33" t="s">
        <v>57</v>
      </c>
      <c r="E33" t="s">
        <v>58</v>
      </c>
      <c r="F33" t="s">
        <v>59</v>
      </c>
      <c r="G33">
        <v>2016</v>
      </c>
      <c r="H33" t="s">
        <v>432</v>
      </c>
      <c r="I33" s="21" t="s">
        <v>433</v>
      </c>
      <c r="J33">
        <v>30.279878</v>
      </c>
      <c r="K33">
        <v>-115.913456</v>
      </c>
      <c r="L33" t="s">
        <v>359</v>
      </c>
      <c r="M33" t="s">
        <v>434</v>
      </c>
      <c r="N33" t="s">
        <v>531</v>
      </c>
      <c r="O33" t="s">
        <v>288</v>
      </c>
      <c r="P33" t="s">
        <v>1435</v>
      </c>
      <c r="Q33" t="s">
        <v>419</v>
      </c>
      <c r="R33" t="s">
        <v>550</v>
      </c>
      <c r="S33" t="s">
        <v>717</v>
      </c>
      <c r="T33" t="s">
        <v>331</v>
      </c>
      <c r="U33">
        <v>3</v>
      </c>
      <c r="V33" t="s">
        <v>559</v>
      </c>
      <c r="W33">
        <v>2015</v>
      </c>
      <c r="X33" t="s">
        <v>292</v>
      </c>
      <c r="Y33" t="s">
        <v>617</v>
      </c>
      <c r="Z33" t="s">
        <v>537</v>
      </c>
      <c r="AA33" t="s">
        <v>538</v>
      </c>
      <c r="AB33" t="s">
        <v>615</v>
      </c>
      <c r="AC33" t="s">
        <v>616</v>
      </c>
      <c r="AD33" t="s">
        <v>292</v>
      </c>
      <c r="AE33" t="s">
        <v>618</v>
      </c>
      <c r="AF33" t="s">
        <v>552</v>
      </c>
      <c r="AH33" t="s">
        <v>555</v>
      </c>
      <c r="AI33" t="s">
        <v>619</v>
      </c>
      <c r="AJ33" t="s">
        <v>620</v>
      </c>
      <c r="AK33" t="s">
        <v>925</v>
      </c>
      <c r="AL33" t="s">
        <v>357</v>
      </c>
      <c r="AM33" t="s">
        <v>1059</v>
      </c>
      <c r="AN33" t="s">
        <v>1277</v>
      </c>
      <c r="AO33" t="s">
        <v>1285</v>
      </c>
      <c r="AP33" t="s">
        <v>614</v>
      </c>
      <c r="AQ33" t="s">
        <v>887</v>
      </c>
      <c r="AR33">
        <v>8.9999999999999993E-3</v>
      </c>
      <c r="AS33">
        <v>4.0000000000000002E-4</v>
      </c>
      <c r="AT33" t="s">
        <v>311</v>
      </c>
      <c r="AU33">
        <v>10</v>
      </c>
      <c r="AV33">
        <v>5.0000000000000001E-3</v>
      </c>
      <c r="AW33">
        <v>4.0000000000000002E-4</v>
      </c>
      <c r="AX33" t="s">
        <v>311</v>
      </c>
      <c r="AY33">
        <v>10</v>
      </c>
      <c r="AZ33" t="s">
        <v>1055</v>
      </c>
      <c r="BA33" t="s">
        <v>1679</v>
      </c>
      <c r="BB33">
        <v>14</v>
      </c>
      <c r="BC33" t="s">
        <v>1672</v>
      </c>
      <c r="BD33" t="s">
        <v>311</v>
      </c>
      <c r="BE33" t="s">
        <v>1880</v>
      </c>
      <c r="BF33">
        <v>1.6</v>
      </c>
      <c r="BG33">
        <v>0.3</v>
      </c>
      <c r="BH33">
        <v>0.6</v>
      </c>
      <c r="BI33">
        <v>0.2</v>
      </c>
      <c r="BJ33">
        <v>0.49</v>
      </c>
      <c r="BK33">
        <v>0.1</v>
      </c>
      <c r="BL33">
        <v>0.47</v>
      </c>
      <c r="BM33">
        <v>0.1</v>
      </c>
      <c r="BN33">
        <v>6</v>
      </c>
      <c r="BO33">
        <v>6</v>
      </c>
      <c r="BP33">
        <v>192</v>
      </c>
      <c r="BQ33">
        <v>16</v>
      </c>
      <c r="BR33">
        <v>422</v>
      </c>
      <c r="BS33">
        <v>31</v>
      </c>
      <c r="BT33" t="s">
        <v>311</v>
      </c>
      <c r="BU33" t="s">
        <v>311</v>
      </c>
      <c r="BV33" t="s">
        <v>311</v>
      </c>
      <c r="BW33" t="s">
        <v>311</v>
      </c>
      <c r="BX33" t="s">
        <v>1126</v>
      </c>
      <c r="BY33" t="s">
        <v>1203</v>
      </c>
      <c r="BZ33">
        <v>1.0699999999999998</v>
      </c>
      <c r="CA33">
        <v>18</v>
      </c>
      <c r="CB33" t="s">
        <v>1209</v>
      </c>
      <c r="CC33" t="s">
        <v>1209</v>
      </c>
      <c r="CD33" t="s">
        <v>311</v>
      </c>
      <c r="CE33" t="s">
        <v>311</v>
      </c>
      <c r="CF33" t="s">
        <v>311</v>
      </c>
      <c r="CG33" t="s">
        <v>311</v>
      </c>
      <c r="CH33" t="s">
        <v>311</v>
      </c>
      <c r="CI33" t="s">
        <v>311</v>
      </c>
      <c r="CJ33" s="38" t="s">
        <v>311</v>
      </c>
      <c r="CK33" s="38" t="s">
        <v>311</v>
      </c>
      <c r="CL33" s="38" t="s">
        <v>311</v>
      </c>
      <c r="CM33" s="38" t="s">
        <v>311</v>
      </c>
      <c r="CN33" s="38" t="s">
        <v>311</v>
      </c>
      <c r="CO33" s="38" t="s">
        <v>311</v>
      </c>
      <c r="CP33" s="38" t="s">
        <v>311</v>
      </c>
      <c r="CQ33" t="s">
        <v>1690</v>
      </c>
      <c r="CR33" t="s">
        <v>1186</v>
      </c>
    </row>
    <row r="34" spans="1:96">
      <c r="A34">
        <v>33</v>
      </c>
      <c r="B34">
        <v>7</v>
      </c>
      <c r="C34">
        <v>10</v>
      </c>
      <c r="D34" t="s">
        <v>57</v>
      </c>
      <c r="E34" t="s">
        <v>58</v>
      </c>
      <c r="F34" t="s">
        <v>59</v>
      </c>
      <c r="G34">
        <v>2016</v>
      </c>
      <c r="H34" t="s">
        <v>432</v>
      </c>
      <c r="I34" s="21" t="s">
        <v>433</v>
      </c>
      <c r="J34">
        <v>30.279878</v>
      </c>
      <c r="K34">
        <v>-115.913456</v>
      </c>
      <c r="L34" t="s">
        <v>359</v>
      </c>
      <c r="M34" t="s">
        <v>434</v>
      </c>
      <c r="N34" t="s">
        <v>531</v>
      </c>
      <c r="O34" t="s">
        <v>288</v>
      </c>
      <c r="P34" t="s">
        <v>1435</v>
      </c>
      <c r="Q34" t="s">
        <v>419</v>
      </c>
      <c r="R34" t="s">
        <v>550</v>
      </c>
      <c r="S34" t="s">
        <v>717</v>
      </c>
      <c r="T34" t="s">
        <v>331</v>
      </c>
      <c r="U34">
        <v>3</v>
      </c>
      <c r="V34" t="s">
        <v>559</v>
      </c>
      <c r="W34">
        <v>2015</v>
      </c>
      <c r="X34" t="s">
        <v>292</v>
      </c>
      <c r="Y34" t="s">
        <v>617</v>
      </c>
      <c r="Z34" t="s">
        <v>537</v>
      </c>
      <c r="AA34" t="s">
        <v>538</v>
      </c>
      <c r="AB34" t="s">
        <v>615</v>
      </c>
      <c r="AC34" t="s">
        <v>616</v>
      </c>
      <c r="AD34" t="s">
        <v>292</v>
      </c>
      <c r="AE34" t="s">
        <v>618</v>
      </c>
      <c r="AF34" t="s">
        <v>552</v>
      </c>
      <c r="AH34" t="s">
        <v>555</v>
      </c>
      <c r="AI34" t="s">
        <v>619</v>
      </c>
      <c r="AJ34" t="s">
        <v>620</v>
      </c>
      <c r="AK34" t="s">
        <v>925</v>
      </c>
      <c r="AL34" t="s">
        <v>357</v>
      </c>
      <c r="AM34" t="s">
        <v>1059</v>
      </c>
      <c r="AN34" t="s">
        <v>1277</v>
      </c>
      <c r="AO34" t="s">
        <v>345</v>
      </c>
      <c r="AP34" t="s">
        <v>887</v>
      </c>
      <c r="AQ34" t="s">
        <v>887</v>
      </c>
      <c r="AR34">
        <v>340.6</v>
      </c>
      <c r="AS34">
        <v>32.299999999999997</v>
      </c>
      <c r="AT34" t="s">
        <v>311</v>
      </c>
      <c r="AU34">
        <v>4</v>
      </c>
      <c r="AV34">
        <v>525</v>
      </c>
      <c r="AW34">
        <v>27.3</v>
      </c>
      <c r="AX34" t="s">
        <v>311</v>
      </c>
      <c r="AY34">
        <v>4</v>
      </c>
      <c r="AZ34" t="s">
        <v>1677</v>
      </c>
      <c r="BA34" t="s">
        <v>1680</v>
      </c>
      <c r="BB34">
        <v>0</v>
      </c>
      <c r="BC34" t="s">
        <v>1672</v>
      </c>
      <c r="BD34" t="s">
        <v>311</v>
      </c>
      <c r="BE34" t="s">
        <v>1880</v>
      </c>
      <c r="BF34">
        <v>1.6</v>
      </c>
      <c r="BG34">
        <v>0.3</v>
      </c>
      <c r="BH34">
        <v>0.6</v>
      </c>
      <c r="BI34">
        <v>0.2</v>
      </c>
      <c r="BJ34">
        <v>0.49</v>
      </c>
      <c r="BK34">
        <v>0.1</v>
      </c>
      <c r="BL34">
        <v>0.47</v>
      </c>
      <c r="BM34">
        <v>0.1</v>
      </c>
      <c r="BN34">
        <v>6</v>
      </c>
      <c r="BO34">
        <v>6</v>
      </c>
      <c r="BP34">
        <v>192</v>
      </c>
      <c r="BQ34">
        <v>16</v>
      </c>
      <c r="BR34">
        <v>422</v>
      </c>
      <c r="BS34">
        <v>31</v>
      </c>
      <c r="BT34" t="s">
        <v>311</v>
      </c>
      <c r="BU34" t="s">
        <v>311</v>
      </c>
      <c r="BV34" t="s">
        <v>311</v>
      </c>
      <c r="BW34" t="s">
        <v>311</v>
      </c>
      <c r="BX34" t="s">
        <v>1126</v>
      </c>
      <c r="BY34" t="s">
        <v>1203</v>
      </c>
      <c r="BZ34">
        <v>1.0699999999999998</v>
      </c>
      <c r="CA34">
        <v>18</v>
      </c>
      <c r="CB34" t="s">
        <v>1209</v>
      </c>
      <c r="CC34" t="s">
        <v>1209</v>
      </c>
      <c r="CD34" t="s">
        <v>311</v>
      </c>
      <c r="CE34" t="s">
        <v>311</v>
      </c>
      <c r="CF34" t="s">
        <v>311</v>
      </c>
      <c r="CG34" t="s">
        <v>311</v>
      </c>
      <c r="CH34" t="s">
        <v>311</v>
      </c>
      <c r="CI34" t="s">
        <v>311</v>
      </c>
      <c r="CJ34" s="38" t="s">
        <v>311</v>
      </c>
      <c r="CK34" s="38" t="s">
        <v>311</v>
      </c>
      <c r="CL34" s="38" t="s">
        <v>311</v>
      </c>
      <c r="CM34" s="38" t="s">
        <v>311</v>
      </c>
      <c r="CN34" s="38" t="s">
        <v>311</v>
      </c>
      <c r="CO34" s="38" t="s">
        <v>311</v>
      </c>
      <c r="CP34" s="38" t="s">
        <v>311</v>
      </c>
      <c r="CQ34" t="s">
        <v>1689</v>
      </c>
      <c r="CR34" t="s">
        <v>1187</v>
      </c>
    </row>
    <row r="35" spans="1:96">
      <c r="A35">
        <v>34</v>
      </c>
      <c r="B35">
        <v>7</v>
      </c>
      <c r="C35">
        <v>11</v>
      </c>
      <c r="D35" t="s">
        <v>57</v>
      </c>
      <c r="E35" t="s">
        <v>58</v>
      </c>
      <c r="F35" t="s">
        <v>59</v>
      </c>
      <c r="G35">
        <v>2016</v>
      </c>
      <c r="H35" t="s">
        <v>432</v>
      </c>
      <c r="I35" s="21" t="s">
        <v>433</v>
      </c>
      <c r="J35">
        <v>30.279878</v>
      </c>
      <c r="K35">
        <v>-115.913456</v>
      </c>
      <c r="L35" t="s">
        <v>359</v>
      </c>
      <c r="M35" t="s">
        <v>434</v>
      </c>
      <c r="N35" t="s">
        <v>531</v>
      </c>
      <c r="O35" t="s">
        <v>288</v>
      </c>
      <c r="P35" t="s">
        <v>1435</v>
      </c>
      <c r="Q35" t="s">
        <v>419</v>
      </c>
      <c r="R35" t="s">
        <v>550</v>
      </c>
      <c r="S35" t="s">
        <v>717</v>
      </c>
      <c r="T35" t="s">
        <v>331</v>
      </c>
      <c r="U35">
        <v>3</v>
      </c>
      <c r="V35" t="s">
        <v>559</v>
      </c>
      <c r="W35">
        <v>2015</v>
      </c>
      <c r="X35" t="s">
        <v>292</v>
      </c>
      <c r="Y35" t="s">
        <v>617</v>
      </c>
      <c r="Z35" t="s">
        <v>537</v>
      </c>
      <c r="AA35" t="s">
        <v>538</v>
      </c>
      <c r="AB35" t="s">
        <v>615</v>
      </c>
      <c r="AC35" t="s">
        <v>616</v>
      </c>
      <c r="AD35" t="s">
        <v>292</v>
      </c>
      <c r="AE35" t="s">
        <v>618</v>
      </c>
      <c r="AF35" t="s">
        <v>552</v>
      </c>
      <c r="AH35" t="s">
        <v>555</v>
      </c>
      <c r="AI35" t="s">
        <v>619</v>
      </c>
      <c r="AJ35" t="s">
        <v>620</v>
      </c>
      <c r="AK35" t="s">
        <v>925</v>
      </c>
      <c r="AL35" t="s">
        <v>357</v>
      </c>
      <c r="AM35" t="s">
        <v>1059</v>
      </c>
      <c r="AN35" t="s">
        <v>1279</v>
      </c>
      <c r="AO35" t="s">
        <v>606</v>
      </c>
      <c r="AP35" t="s">
        <v>887</v>
      </c>
      <c r="AQ35" t="s">
        <v>887</v>
      </c>
      <c r="AR35">
        <v>144.69999999999999</v>
      </c>
      <c r="AS35">
        <v>7.3</v>
      </c>
      <c r="AT35" t="s">
        <v>311</v>
      </c>
      <c r="AU35">
        <v>4</v>
      </c>
      <c r="AV35">
        <v>178.7</v>
      </c>
      <c r="AW35">
        <v>0.1</v>
      </c>
      <c r="AX35" t="s">
        <v>311</v>
      </c>
      <c r="AY35">
        <v>4</v>
      </c>
      <c r="AZ35" t="s">
        <v>1677</v>
      </c>
      <c r="BA35" t="s">
        <v>1680</v>
      </c>
      <c r="BB35">
        <v>0</v>
      </c>
      <c r="BC35" t="s">
        <v>1672</v>
      </c>
      <c r="BD35" t="s">
        <v>311</v>
      </c>
      <c r="BE35" t="s">
        <v>1880</v>
      </c>
      <c r="BF35">
        <v>1.6</v>
      </c>
      <c r="BG35">
        <v>0.3</v>
      </c>
      <c r="BH35">
        <v>0.6</v>
      </c>
      <c r="BI35">
        <v>0.2</v>
      </c>
      <c r="BJ35">
        <v>0.49</v>
      </c>
      <c r="BK35">
        <v>0.1</v>
      </c>
      <c r="BL35">
        <v>0.47</v>
      </c>
      <c r="BM35">
        <v>0.1</v>
      </c>
      <c r="BN35">
        <v>6</v>
      </c>
      <c r="BO35">
        <v>6</v>
      </c>
      <c r="BP35">
        <v>192</v>
      </c>
      <c r="BQ35">
        <v>16</v>
      </c>
      <c r="BR35">
        <v>422</v>
      </c>
      <c r="BS35">
        <v>31</v>
      </c>
      <c r="BT35" t="s">
        <v>311</v>
      </c>
      <c r="BU35" t="s">
        <v>311</v>
      </c>
      <c r="BV35" t="s">
        <v>311</v>
      </c>
      <c r="BW35" t="s">
        <v>311</v>
      </c>
      <c r="BX35" t="s">
        <v>1126</v>
      </c>
      <c r="BY35" t="s">
        <v>1203</v>
      </c>
      <c r="BZ35">
        <v>1.0699999999999998</v>
      </c>
      <c r="CA35">
        <v>18</v>
      </c>
      <c r="CB35" t="s">
        <v>1209</v>
      </c>
      <c r="CC35" t="s">
        <v>1209</v>
      </c>
      <c r="CD35" t="s">
        <v>311</v>
      </c>
      <c r="CE35" t="s">
        <v>311</v>
      </c>
      <c r="CF35" t="s">
        <v>311</v>
      </c>
      <c r="CG35" t="s">
        <v>311</v>
      </c>
      <c r="CH35" t="s">
        <v>311</v>
      </c>
      <c r="CI35" t="s">
        <v>311</v>
      </c>
      <c r="CJ35" s="38" t="s">
        <v>311</v>
      </c>
      <c r="CK35" s="38" t="s">
        <v>311</v>
      </c>
      <c r="CL35" s="38" t="s">
        <v>311</v>
      </c>
      <c r="CM35" s="38" t="s">
        <v>311</v>
      </c>
      <c r="CN35" s="38" t="s">
        <v>311</v>
      </c>
      <c r="CO35" s="38" t="s">
        <v>311</v>
      </c>
      <c r="CP35" s="38" t="s">
        <v>311</v>
      </c>
      <c r="CQ35" t="s">
        <v>1689</v>
      </c>
      <c r="CR35" t="s">
        <v>1622</v>
      </c>
    </row>
    <row r="36" spans="1:96">
      <c r="A36">
        <v>35</v>
      </c>
      <c r="B36">
        <v>7</v>
      </c>
      <c r="C36">
        <v>12</v>
      </c>
      <c r="D36" t="s">
        <v>57</v>
      </c>
      <c r="E36" t="s">
        <v>58</v>
      </c>
      <c r="F36" t="s">
        <v>59</v>
      </c>
      <c r="G36">
        <v>2016</v>
      </c>
      <c r="H36" t="s">
        <v>432</v>
      </c>
      <c r="I36" s="21" t="s">
        <v>433</v>
      </c>
      <c r="J36">
        <v>30.279878</v>
      </c>
      <c r="K36">
        <v>-115.913456</v>
      </c>
      <c r="L36" t="s">
        <v>359</v>
      </c>
      <c r="M36" t="s">
        <v>434</v>
      </c>
      <c r="N36" t="s">
        <v>531</v>
      </c>
      <c r="O36" t="s">
        <v>288</v>
      </c>
      <c r="P36" t="s">
        <v>1435</v>
      </c>
      <c r="Q36" t="s">
        <v>419</v>
      </c>
      <c r="R36" t="s">
        <v>550</v>
      </c>
      <c r="S36" t="s">
        <v>717</v>
      </c>
      <c r="T36" t="s">
        <v>331</v>
      </c>
      <c r="U36">
        <v>3</v>
      </c>
      <c r="V36" t="s">
        <v>559</v>
      </c>
      <c r="W36">
        <v>2015</v>
      </c>
      <c r="X36" t="s">
        <v>292</v>
      </c>
      <c r="Y36" t="s">
        <v>617</v>
      </c>
      <c r="Z36" t="s">
        <v>537</v>
      </c>
      <c r="AA36" t="s">
        <v>538</v>
      </c>
      <c r="AB36" t="s">
        <v>615</v>
      </c>
      <c r="AC36" t="s">
        <v>616</v>
      </c>
      <c r="AD36" t="s">
        <v>292</v>
      </c>
      <c r="AE36" t="s">
        <v>618</v>
      </c>
      <c r="AF36" t="s">
        <v>552</v>
      </c>
      <c r="AH36" t="s">
        <v>555</v>
      </c>
      <c r="AI36" t="s">
        <v>619</v>
      </c>
      <c r="AJ36" t="s">
        <v>620</v>
      </c>
      <c r="AK36" t="s">
        <v>925</v>
      </c>
      <c r="AL36" t="s">
        <v>357</v>
      </c>
      <c r="AM36" t="s">
        <v>1059</v>
      </c>
      <c r="AN36" t="s">
        <v>1291</v>
      </c>
      <c r="AO36" t="s">
        <v>606</v>
      </c>
      <c r="AP36" t="s">
        <v>887</v>
      </c>
      <c r="AQ36" t="s">
        <v>887</v>
      </c>
      <c r="AR36">
        <v>45.7</v>
      </c>
      <c r="AS36">
        <v>4.7</v>
      </c>
      <c r="AT36" t="s">
        <v>311</v>
      </c>
      <c r="AU36">
        <v>4</v>
      </c>
      <c r="AV36">
        <v>93.1</v>
      </c>
      <c r="AW36">
        <v>6.1</v>
      </c>
      <c r="AX36" t="s">
        <v>311</v>
      </c>
      <c r="AY36">
        <v>4</v>
      </c>
      <c r="AZ36" t="s">
        <v>1677</v>
      </c>
      <c r="BA36" t="s">
        <v>1680</v>
      </c>
      <c r="BB36">
        <v>0</v>
      </c>
      <c r="BC36" t="s">
        <v>1672</v>
      </c>
      <c r="BD36" t="s">
        <v>311</v>
      </c>
      <c r="BE36" t="s">
        <v>1880</v>
      </c>
      <c r="BF36">
        <v>1.6</v>
      </c>
      <c r="BG36">
        <v>0.3</v>
      </c>
      <c r="BH36">
        <v>0.6</v>
      </c>
      <c r="BI36">
        <v>0.2</v>
      </c>
      <c r="BJ36">
        <v>0.49</v>
      </c>
      <c r="BK36">
        <v>0.1</v>
      </c>
      <c r="BL36">
        <v>0.47</v>
      </c>
      <c r="BM36">
        <v>0.1</v>
      </c>
      <c r="BN36">
        <v>6</v>
      </c>
      <c r="BO36">
        <v>6</v>
      </c>
      <c r="BP36">
        <v>192</v>
      </c>
      <c r="BQ36">
        <v>16</v>
      </c>
      <c r="BR36">
        <v>422</v>
      </c>
      <c r="BS36">
        <v>31</v>
      </c>
      <c r="BT36" t="s">
        <v>311</v>
      </c>
      <c r="BU36" t="s">
        <v>311</v>
      </c>
      <c r="BV36" t="s">
        <v>311</v>
      </c>
      <c r="BW36" t="s">
        <v>311</v>
      </c>
      <c r="BX36" t="s">
        <v>1126</v>
      </c>
      <c r="BY36" t="s">
        <v>1203</v>
      </c>
      <c r="BZ36">
        <v>1.0699999999999998</v>
      </c>
      <c r="CA36">
        <v>18</v>
      </c>
      <c r="CB36" t="s">
        <v>1209</v>
      </c>
      <c r="CC36" t="s">
        <v>1209</v>
      </c>
      <c r="CD36" t="s">
        <v>311</v>
      </c>
      <c r="CE36" t="s">
        <v>311</v>
      </c>
      <c r="CF36" t="s">
        <v>311</v>
      </c>
      <c r="CG36" t="s">
        <v>311</v>
      </c>
      <c r="CH36" t="s">
        <v>311</v>
      </c>
      <c r="CI36" t="s">
        <v>311</v>
      </c>
      <c r="CJ36" s="38" t="s">
        <v>311</v>
      </c>
      <c r="CK36" s="38" t="s">
        <v>311</v>
      </c>
      <c r="CL36" s="38" t="s">
        <v>311</v>
      </c>
      <c r="CM36" s="38" t="s">
        <v>311</v>
      </c>
      <c r="CN36" s="38" t="s">
        <v>311</v>
      </c>
      <c r="CO36" s="38" t="s">
        <v>311</v>
      </c>
      <c r="CP36" s="38" t="s">
        <v>311</v>
      </c>
      <c r="CQ36" t="s">
        <v>1689</v>
      </c>
      <c r="CR36" t="s">
        <v>1561</v>
      </c>
    </row>
    <row r="37" spans="1:96">
      <c r="A37">
        <v>36</v>
      </c>
      <c r="B37">
        <v>8</v>
      </c>
      <c r="C37">
        <v>1</v>
      </c>
      <c r="D37" t="s">
        <v>60</v>
      </c>
      <c r="E37" t="s">
        <v>61</v>
      </c>
      <c r="F37" t="s">
        <v>62</v>
      </c>
      <c r="G37">
        <v>2016</v>
      </c>
      <c r="H37" t="s">
        <v>1234</v>
      </c>
      <c r="I37" t="s">
        <v>1235</v>
      </c>
      <c r="J37">
        <v>26.342483000000001</v>
      </c>
      <c r="K37">
        <v>-77.014567</v>
      </c>
      <c r="L37" t="s">
        <v>358</v>
      </c>
      <c r="M37" t="s">
        <v>364</v>
      </c>
      <c r="N37" t="s">
        <v>531</v>
      </c>
      <c r="O37" t="s">
        <v>532</v>
      </c>
      <c r="P37" t="s">
        <v>693</v>
      </c>
      <c r="Q37" t="s">
        <v>419</v>
      </c>
      <c r="R37" t="s">
        <v>550</v>
      </c>
      <c r="S37" t="s">
        <v>717</v>
      </c>
      <c r="T37" t="s">
        <v>331</v>
      </c>
      <c r="U37">
        <v>1</v>
      </c>
      <c r="V37" t="s">
        <v>551</v>
      </c>
      <c r="W37">
        <v>2013</v>
      </c>
      <c r="X37" t="s">
        <v>340</v>
      </c>
      <c r="Y37" t="s">
        <v>311</v>
      </c>
      <c r="Z37" t="s">
        <v>302</v>
      </c>
      <c r="AA37" t="s">
        <v>303</v>
      </c>
      <c r="AB37" t="s">
        <v>311</v>
      </c>
      <c r="AC37" t="s">
        <v>311</v>
      </c>
      <c r="AD37" t="s">
        <v>292</v>
      </c>
      <c r="AE37" t="s">
        <v>607</v>
      </c>
      <c r="AF37" t="s">
        <v>552</v>
      </c>
      <c r="AH37" t="s">
        <v>555</v>
      </c>
      <c r="AI37" t="s">
        <v>553</v>
      </c>
      <c r="AJ37" t="s">
        <v>554</v>
      </c>
      <c r="AK37" t="s">
        <v>344</v>
      </c>
      <c r="AL37" t="s">
        <v>357</v>
      </c>
      <c r="AM37" t="s">
        <v>1059</v>
      </c>
      <c r="AN37" t="s">
        <v>1282</v>
      </c>
      <c r="AO37" t="s">
        <v>1283</v>
      </c>
      <c r="AP37" t="s">
        <v>887</v>
      </c>
      <c r="AQ37" t="s">
        <v>887</v>
      </c>
      <c r="AR37">
        <v>112.24489800000001</v>
      </c>
      <c r="AS37" t="s">
        <v>311</v>
      </c>
      <c r="AT37">
        <v>16.734693877550413</v>
      </c>
      <c r="AU37">
        <v>3</v>
      </c>
      <c r="AV37">
        <v>91.020408163265301</v>
      </c>
      <c r="AW37" t="s">
        <v>311</v>
      </c>
      <c r="AX37">
        <v>71.836734693877503</v>
      </c>
      <c r="AY37">
        <v>3</v>
      </c>
      <c r="AZ37" t="s">
        <v>1055</v>
      </c>
      <c r="BA37" t="s">
        <v>1680</v>
      </c>
      <c r="BB37">
        <v>1736</v>
      </c>
      <c r="BC37" t="s">
        <v>1672</v>
      </c>
      <c r="BD37" t="s">
        <v>311</v>
      </c>
      <c r="BE37" t="s">
        <v>1880</v>
      </c>
      <c r="BF37" t="s">
        <v>311</v>
      </c>
      <c r="BG37" t="s">
        <v>311</v>
      </c>
      <c r="BH37" t="s">
        <v>311</v>
      </c>
      <c r="BI37" t="s">
        <v>311</v>
      </c>
      <c r="BJ37" t="s">
        <v>311</v>
      </c>
      <c r="BK37" t="s">
        <v>311</v>
      </c>
      <c r="BL37" t="s">
        <v>311</v>
      </c>
      <c r="BM37" t="s">
        <v>311</v>
      </c>
      <c r="BN37" s="6" t="s">
        <v>311</v>
      </c>
      <c r="BO37" t="s">
        <v>311</v>
      </c>
      <c r="BP37" t="s">
        <v>311</v>
      </c>
      <c r="BQ37" t="s">
        <v>311</v>
      </c>
      <c r="BR37" t="s">
        <v>311</v>
      </c>
      <c r="BS37" t="s">
        <v>311</v>
      </c>
      <c r="BT37" t="s">
        <v>311</v>
      </c>
      <c r="BU37" t="s">
        <v>311</v>
      </c>
      <c r="BV37" t="s">
        <v>311</v>
      </c>
      <c r="BW37" t="s">
        <v>311</v>
      </c>
      <c r="BX37" t="s">
        <v>311</v>
      </c>
      <c r="BY37" t="s">
        <v>311</v>
      </c>
      <c r="BZ37">
        <v>3.4000000000000002E-2</v>
      </c>
      <c r="CA37">
        <v>25</v>
      </c>
      <c r="CB37" t="s">
        <v>1210</v>
      </c>
      <c r="CC37" t="s">
        <v>1210</v>
      </c>
      <c r="CD37" t="s">
        <v>1226</v>
      </c>
      <c r="CE37">
        <v>2019</v>
      </c>
      <c r="CF37">
        <v>0</v>
      </c>
      <c r="CG37" t="s">
        <v>1236</v>
      </c>
      <c r="CH37">
        <v>2008</v>
      </c>
      <c r="CI37">
        <v>0</v>
      </c>
      <c r="CJ37" s="38" t="s">
        <v>311</v>
      </c>
      <c r="CK37" s="38" t="s">
        <v>311</v>
      </c>
      <c r="CL37" s="38" t="s">
        <v>311</v>
      </c>
      <c r="CM37" s="38" t="s">
        <v>311</v>
      </c>
      <c r="CN37" s="38" t="s">
        <v>311</v>
      </c>
      <c r="CO37" s="38" t="s">
        <v>311</v>
      </c>
      <c r="CP37" s="38" t="s">
        <v>311</v>
      </c>
      <c r="CQ37" t="s">
        <v>1691</v>
      </c>
      <c r="CR37" t="s">
        <v>1188</v>
      </c>
    </row>
    <row r="38" spans="1:96">
      <c r="A38">
        <v>37</v>
      </c>
      <c r="B38">
        <v>8</v>
      </c>
      <c r="C38">
        <v>2</v>
      </c>
      <c r="D38" t="s">
        <v>60</v>
      </c>
      <c r="E38" t="s">
        <v>61</v>
      </c>
      <c r="F38" t="s">
        <v>62</v>
      </c>
      <c r="G38">
        <v>2016</v>
      </c>
      <c r="H38" t="s">
        <v>1234</v>
      </c>
      <c r="I38" t="s">
        <v>1235</v>
      </c>
      <c r="J38">
        <v>26.342483000000001</v>
      </c>
      <c r="K38">
        <v>-77.014567</v>
      </c>
      <c r="L38" t="s">
        <v>358</v>
      </c>
      <c r="M38" t="s">
        <v>364</v>
      </c>
      <c r="N38" t="s">
        <v>531</v>
      </c>
      <c r="O38" t="s">
        <v>532</v>
      </c>
      <c r="P38" t="s">
        <v>693</v>
      </c>
      <c r="Q38" t="s">
        <v>419</v>
      </c>
      <c r="R38" t="s">
        <v>550</v>
      </c>
      <c r="S38" t="s">
        <v>717</v>
      </c>
      <c r="T38" t="s">
        <v>331</v>
      </c>
      <c r="U38">
        <v>1</v>
      </c>
      <c r="V38" t="s">
        <v>551</v>
      </c>
      <c r="W38">
        <v>2013</v>
      </c>
      <c r="X38" t="s">
        <v>340</v>
      </c>
      <c r="Y38" t="s">
        <v>311</v>
      </c>
      <c r="Z38" t="s">
        <v>302</v>
      </c>
      <c r="AA38" t="s">
        <v>303</v>
      </c>
      <c r="AB38" t="s">
        <v>311</v>
      </c>
      <c r="AC38" t="s">
        <v>311</v>
      </c>
      <c r="AD38" t="s">
        <v>292</v>
      </c>
      <c r="AE38" t="s">
        <v>607</v>
      </c>
      <c r="AF38" t="s">
        <v>552</v>
      </c>
      <c r="AH38" t="s">
        <v>555</v>
      </c>
      <c r="AI38" t="s">
        <v>553</v>
      </c>
      <c r="AJ38" t="s">
        <v>554</v>
      </c>
      <c r="AK38" t="s">
        <v>773</v>
      </c>
      <c r="AL38" t="s">
        <v>357</v>
      </c>
      <c r="AM38" t="s">
        <v>1059</v>
      </c>
      <c r="AN38" t="s">
        <v>1282</v>
      </c>
      <c r="AO38" t="s">
        <v>606</v>
      </c>
      <c r="AP38" t="s">
        <v>887</v>
      </c>
      <c r="AQ38" t="s">
        <v>887</v>
      </c>
      <c r="AR38">
        <v>44.184782608695599</v>
      </c>
      <c r="AS38" t="s">
        <v>311</v>
      </c>
      <c r="AT38">
        <v>10.054347826086996</v>
      </c>
      <c r="AU38">
        <v>3</v>
      </c>
      <c r="AV38">
        <v>15.380434782608599</v>
      </c>
      <c r="AW38" t="s">
        <v>311</v>
      </c>
      <c r="AX38">
        <v>3.5326086956520992</v>
      </c>
      <c r="AY38">
        <v>3</v>
      </c>
      <c r="AZ38" t="s">
        <v>1055</v>
      </c>
      <c r="BA38" t="s">
        <v>1680</v>
      </c>
      <c r="BB38">
        <v>1736</v>
      </c>
      <c r="BC38" t="s">
        <v>1672</v>
      </c>
      <c r="BD38" t="s">
        <v>311</v>
      </c>
      <c r="BE38" t="s">
        <v>1880</v>
      </c>
      <c r="BF38" t="s">
        <v>311</v>
      </c>
      <c r="BG38" t="s">
        <v>311</v>
      </c>
      <c r="BH38" t="s">
        <v>311</v>
      </c>
      <c r="BI38" t="s">
        <v>311</v>
      </c>
      <c r="BJ38" t="s">
        <v>311</v>
      </c>
      <c r="BK38" t="s">
        <v>311</v>
      </c>
      <c r="BL38" t="s">
        <v>311</v>
      </c>
      <c r="BM38" t="s">
        <v>311</v>
      </c>
      <c r="BN38" s="6" t="s">
        <v>311</v>
      </c>
      <c r="BO38" t="s">
        <v>311</v>
      </c>
      <c r="BP38" t="s">
        <v>311</v>
      </c>
      <c r="BQ38" t="s">
        <v>311</v>
      </c>
      <c r="BR38" t="s">
        <v>311</v>
      </c>
      <c r="BS38" t="s">
        <v>311</v>
      </c>
      <c r="BT38" t="s">
        <v>311</v>
      </c>
      <c r="BU38" t="s">
        <v>311</v>
      </c>
      <c r="BV38" t="s">
        <v>311</v>
      </c>
      <c r="BW38" t="s">
        <v>311</v>
      </c>
      <c r="BX38" t="s">
        <v>311</v>
      </c>
      <c r="BY38" t="s">
        <v>311</v>
      </c>
      <c r="BZ38">
        <v>3.4000000000000002E-2</v>
      </c>
      <c r="CA38">
        <v>25</v>
      </c>
      <c r="CB38" t="s">
        <v>1210</v>
      </c>
      <c r="CC38" t="s">
        <v>1210</v>
      </c>
      <c r="CD38" t="s">
        <v>1226</v>
      </c>
      <c r="CE38">
        <v>2019</v>
      </c>
      <c r="CF38">
        <v>0</v>
      </c>
      <c r="CG38" t="s">
        <v>1236</v>
      </c>
      <c r="CH38">
        <v>2008</v>
      </c>
      <c r="CI38">
        <v>0</v>
      </c>
      <c r="CJ38" s="38" t="s">
        <v>311</v>
      </c>
      <c r="CK38" s="38" t="s">
        <v>311</v>
      </c>
      <c r="CL38" s="38" t="s">
        <v>311</v>
      </c>
      <c r="CM38" s="38" t="s">
        <v>311</v>
      </c>
      <c r="CN38" s="38" t="s">
        <v>311</v>
      </c>
      <c r="CO38" s="38" t="s">
        <v>311</v>
      </c>
      <c r="CP38" s="38" t="s">
        <v>311</v>
      </c>
      <c r="CQ38" t="s">
        <v>1692</v>
      </c>
      <c r="CR38" t="s">
        <v>1188</v>
      </c>
    </row>
    <row r="39" spans="1:96">
      <c r="A39">
        <v>38</v>
      </c>
      <c r="B39">
        <v>8</v>
      </c>
      <c r="C39">
        <v>3</v>
      </c>
      <c r="D39" t="s">
        <v>60</v>
      </c>
      <c r="E39" t="s">
        <v>61</v>
      </c>
      <c r="F39" t="s">
        <v>62</v>
      </c>
      <c r="G39">
        <v>2016</v>
      </c>
      <c r="H39" t="s">
        <v>1234</v>
      </c>
      <c r="I39" t="s">
        <v>1235</v>
      </c>
      <c r="J39">
        <v>26.342483000000001</v>
      </c>
      <c r="K39">
        <v>-77.014567</v>
      </c>
      <c r="L39" t="s">
        <v>358</v>
      </c>
      <c r="M39" t="s">
        <v>364</v>
      </c>
      <c r="N39" t="s">
        <v>531</v>
      </c>
      <c r="O39" t="s">
        <v>532</v>
      </c>
      <c r="P39" t="s">
        <v>693</v>
      </c>
      <c r="Q39" t="s">
        <v>419</v>
      </c>
      <c r="R39" t="s">
        <v>550</v>
      </c>
      <c r="S39" t="s">
        <v>717</v>
      </c>
      <c r="T39" t="s">
        <v>331</v>
      </c>
      <c r="U39">
        <v>1</v>
      </c>
      <c r="V39" t="s">
        <v>551</v>
      </c>
      <c r="W39">
        <v>2013</v>
      </c>
      <c r="X39" t="s">
        <v>340</v>
      </c>
      <c r="Y39" t="s">
        <v>311</v>
      </c>
      <c r="Z39" t="s">
        <v>302</v>
      </c>
      <c r="AA39" t="s">
        <v>303</v>
      </c>
      <c r="AB39" t="s">
        <v>311</v>
      </c>
      <c r="AC39" t="s">
        <v>311</v>
      </c>
      <c r="AD39" t="s">
        <v>292</v>
      </c>
      <c r="AE39" t="s">
        <v>607</v>
      </c>
      <c r="AF39" t="s">
        <v>552</v>
      </c>
      <c r="AH39" t="s">
        <v>555</v>
      </c>
      <c r="AI39" t="s">
        <v>553</v>
      </c>
      <c r="AJ39" t="s">
        <v>554</v>
      </c>
      <c r="AK39" t="s">
        <v>805</v>
      </c>
      <c r="AL39" t="s">
        <v>357</v>
      </c>
      <c r="AM39" t="s">
        <v>1059</v>
      </c>
      <c r="AN39" t="s">
        <v>1277</v>
      </c>
      <c r="AO39" t="s">
        <v>345</v>
      </c>
      <c r="AP39" t="s">
        <v>887</v>
      </c>
      <c r="AQ39" t="s">
        <v>887</v>
      </c>
      <c r="AR39">
        <v>3317.5355450236898</v>
      </c>
      <c r="AS39" t="s">
        <v>311</v>
      </c>
      <c r="AT39">
        <v>725.11848341232007</v>
      </c>
      <c r="AU39">
        <v>3</v>
      </c>
      <c r="AV39">
        <v>1753.55450236966</v>
      </c>
      <c r="AW39" t="s">
        <v>311</v>
      </c>
      <c r="AX39">
        <v>184.83412322275012</v>
      </c>
      <c r="AY39">
        <v>3</v>
      </c>
      <c r="AZ39" t="s">
        <v>1677</v>
      </c>
      <c r="BA39" t="s">
        <v>1680</v>
      </c>
      <c r="BB39">
        <v>1736</v>
      </c>
      <c r="BC39" t="s">
        <v>1672</v>
      </c>
      <c r="BD39" t="s">
        <v>311</v>
      </c>
      <c r="BE39" t="s">
        <v>1880</v>
      </c>
      <c r="BF39" t="s">
        <v>311</v>
      </c>
      <c r="BG39" t="s">
        <v>311</v>
      </c>
      <c r="BH39" t="s">
        <v>311</v>
      </c>
      <c r="BI39" t="s">
        <v>311</v>
      </c>
      <c r="BJ39" t="s">
        <v>311</v>
      </c>
      <c r="BK39" t="s">
        <v>311</v>
      </c>
      <c r="BL39" t="s">
        <v>311</v>
      </c>
      <c r="BM39" t="s">
        <v>311</v>
      </c>
      <c r="BN39" s="6" t="s">
        <v>311</v>
      </c>
      <c r="BO39" t="s">
        <v>311</v>
      </c>
      <c r="BP39" t="s">
        <v>311</v>
      </c>
      <c r="BQ39" t="s">
        <v>311</v>
      </c>
      <c r="BR39" t="s">
        <v>311</v>
      </c>
      <c r="BS39" t="s">
        <v>311</v>
      </c>
      <c r="BT39" t="s">
        <v>311</v>
      </c>
      <c r="BU39" t="s">
        <v>311</v>
      </c>
      <c r="BV39" t="s">
        <v>311</v>
      </c>
      <c r="BW39" t="s">
        <v>311</v>
      </c>
      <c r="BX39" t="s">
        <v>311</v>
      </c>
      <c r="BY39" t="s">
        <v>311</v>
      </c>
      <c r="BZ39">
        <v>3.4000000000000002E-2</v>
      </c>
      <c r="CA39">
        <v>25</v>
      </c>
      <c r="CB39" t="s">
        <v>1210</v>
      </c>
      <c r="CC39" t="s">
        <v>1210</v>
      </c>
      <c r="CD39" t="s">
        <v>1226</v>
      </c>
      <c r="CE39">
        <v>2019</v>
      </c>
      <c r="CF39">
        <v>0</v>
      </c>
      <c r="CG39" t="s">
        <v>1236</v>
      </c>
      <c r="CH39">
        <v>2008</v>
      </c>
      <c r="CI39">
        <v>0</v>
      </c>
      <c r="CJ39" s="38" t="s">
        <v>311</v>
      </c>
      <c r="CK39" s="38" t="s">
        <v>311</v>
      </c>
      <c r="CL39" s="38" t="s">
        <v>311</v>
      </c>
      <c r="CM39" s="38" t="s">
        <v>311</v>
      </c>
      <c r="CN39" s="38" t="s">
        <v>311</v>
      </c>
      <c r="CO39" s="38" t="s">
        <v>311</v>
      </c>
      <c r="CP39" s="38" t="s">
        <v>311</v>
      </c>
      <c r="CQ39" t="s">
        <v>1692</v>
      </c>
      <c r="CR39" t="s">
        <v>1188</v>
      </c>
    </row>
    <row r="40" spans="1:96">
      <c r="A40">
        <v>39</v>
      </c>
      <c r="B40">
        <v>8</v>
      </c>
      <c r="C40">
        <v>4</v>
      </c>
      <c r="D40" t="s">
        <v>60</v>
      </c>
      <c r="E40" t="s">
        <v>61</v>
      </c>
      <c r="F40" t="s">
        <v>62</v>
      </c>
      <c r="G40">
        <v>2016</v>
      </c>
      <c r="H40" t="s">
        <v>1234</v>
      </c>
      <c r="I40" t="s">
        <v>1235</v>
      </c>
      <c r="J40">
        <v>26.342483000000001</v>
      </c>
      <c r="K40">
        <v>-77.014567</v>
      </c>
      <c r="L40" t="s">
        <v>358</v>
      </c>
      <c r="M40" t="s">
        <v>364</v>
      </c>
      <c r="N40" t="s">
        <v>531</v>
      </c>
      <c r="O40" t="s">
        <v>532</v>
      </c>
      <c r="P40" t="s">
        <v>693</v>
      </c>
      <c r="Q40" t="s">
        <v>419</v>
      </c>
      <c r="R40" t="s">
        <v>550</v>
      </c>
      <c r="S40" t="s">
        <v>717</v>
      </c>
      <c r="T40" t="s">
        <v>331</v>
      </c>
      <c r="U40">
        <v>1</v>
      </c>
      <c r="V40" t="s">
        <v>551</v>
      </c>
      <c r="W40">
        <v>2013</v>
      </c>
      <c r="X40" t="s">
        <v>340</v>
      </c>
      <c r="Y40" t="s">
        <v>311</v>
      </c>
      <c r="Z40" t="s">
        <v>302</v>
      </c>
      <c r="AA40" t="s">
        <v>303</v>
      </c>
      <c r="AB40" t="s">
        <v>311</v>
      </c>
      <c r="AC40" t="s">
        <v>311</v>
      </c>
      <c r="AD40" t="s">
        <v>292</v>
      </c>
      <c r="AE40" t="s">
        <v>607</v>
      </c>
      <c r="AF40" t="s">
        <v>552</v>
      </c>
      <c r="AH40" t="s">
        <v>555</v>
      </c>
      <c r="AI40" t="s">
        <v>553</v>
      </c>
      <c r="AJ40" t="s">
        <v>554</v>
      </c>
      <c r="AK40" t="s">
        <v>806</v>
      </c>
      <c r="AL40" t="s">
        <v>357</v>
      </c>
      <c r="AM40" t="s">
        <v>1059</v>
      </c>
      <c r="AN40" t="s">
        <v>1456</v>
      </c>
      <c r="AO40" t="s">
        <v>606</v>
      </c>
      <c r="AP40" t="s">
        <v>887</v>
      </c>
      <c r="AQ40" t="s">
        <v>887</v>
      </c>
      <c r="AR40">
        <v>244.73684210526301</v>
      </c>
      <c r="AS40" t="s">
        <v>311</v>
      </c>
      <c r="AT40">
        <v>28.19548872180502</v>
      </c>
      <c r="AU40">
        <v>3</v>
      </c>
      <c r="AV40">
        <v>177.067669172932</v>
      </c>
      <c r="AW40" t="s">
        <v>311</v>
      </c>
      <c r="AX40">
        <v>29.323308270676989</v>
      </c>
      <c r="AY40">
        <v>3</v>
      </c>
      <c r="AZ40" t="s">
        <v>1677</v>
      </c>
      <c r="BA40" t="s">
        <v>1680</v>
      </c>
      <c r="BB40">
        <v>1736</v>
      </c>
      <c r="BC40" t="s">
        <v>1672</v>
      </c>
      <c r="BD40" t="s">
        <v>311</v>
      </c>
      <c r="BE40" t="s">
        <v>1880</v>
      </c>
      <c r="BF40" t="s">
        <v>311</v>
      </c>
      <c r="BG40" t="s">
        <v>311</v>
      </c>
      <c r="BH40" t="s">
        <v>311</v>
      </c>
      <c r="BI40" t="s">
        <v>311</v>
      </c>
      <c r="BJ40" t="s">
        <v>311</v>
      </c>
      <c r="BK40" t="s">
        <v>311</v>
      </c>
      <c r="BL40" t="s">
        <v>311</v>
      </c>
      <c r="BM40" t="s">
        <v>311</v>
      </c>
      <c r="BN40" s="6" t="s">
        <v>311</v>
      </c>
      <c r="BO40" t="s">
        <v>311</v>
      </c>
      <c r="BP40" t="s">
        <v>311</v>
      </c>
      <c r="BQ40" t="s">
        <v>311</v>
      </c>
      <c r="BR40" t="s">
        <v>311</v>
      </c>
      <c r="BS40" t="s">
        <v>311</v>
      </c>
      <c r="BT40" t="s">
        <v>311</v>
      </c>
      <c r="BU40" t="s">
        <v>311</v>
      </c>
      <c r="BV40" t="s">
        <v>311</v>
      </c>
      <c r="BW40" t="s">
        <v>311</v>
      </c>
      <c r="BX40" t="s">
        <v>311</v>
      </c>
      <c r="BY40" t="s">
        <v>311</v>
      </c>
      <c r="BZ40">
        <v>3.4000000000000002E-2</v>
      </c>
      <c r="CA40">
        <v>25</v>
      </c>
      <c r="CB40" t="s">
        <v>1210</v>
      </c>
      <c r="CC40" t="s">
        <v>1210</v>
      </c>
      <c r="CD40" t="s">
        <v>1226</v>
      </c>
      <c r="CE40">
        <v>2019</v>
      </c>
      <c r="CF40">
        <v>0</v>
      </c>
      <c r="CG40" t="s">
        <v>1236</v>
      </c>
      <c r="CH40">
        <v>2008</v>
      </c>
      <c r="CI40">
        <v>0</v>
      </c>
      <c r="CJ40" s="38" t="s">
        <v>311</v>
      </c>
      <c r="CK40" s="38" t="s">
        <v>311</v>
      </c>
      <c r="CL40" s="38" t="s">
        <v>311</v>
      </c>
      <c r="CM40" s="38" t="s">
        <v>311</v>
      </c>
      <c r="CN40" s="38" t="s">
        <v>311</v>
      </c>
      <c r="CO40" s="38" t="s">
        <v>311</v>
      </c>
      <c r="CP40" s="38" t="s">
        <v>311</v>
      </c>
      <c r="CQ40" t="s">
        <v>1692</v>
      </c>
      <c r="CR40" t="s">
        <v>1188</v>
      </c>
    </row>
    <row r="41" spans="1:96">
      <c r="A41">
        <v>40</v>
      </c>
      <c r="B41">
        <v>8</v>
      </c>
      <c r="C41">
        <v>5</v>
      </c>
      <c r="D41" t="s">
        <v>60</v>
      </c>
      <c r="E41" t="s">
        <v>61</v>
      </c>
      <c r="F41" t="s">
        <v>62</v>
      </c>
      <c r="G41">
        <v>2016</v>
      </c>
      <c r="H41" t="s">
        <v>1234</v>
      </c>
      <c r="I41" t="s">
        <v>1235</v>
      </c>
      <c r="J41">
        <v>26.342483000000001</v>
      </c>
      <c r="K41">
        <v>-77.014567</v>
      </c>
      <c r="L41" t="s">
        <v>358</v>
      </c>
      <c r="M41" t="s">
        <v>364</v>
      </c>
      <c r="N41" t="s">
        <v>531</v>
      </c>
      <c r="O41" t="s">
        <v>532</v>
      </c>
      <c r="P41" t="s">
        <v>693</v>
      </c>
      <c r="Q41" t="s">
        <v>419</v>
      </c>
      <c r="R41" t="s">
        <v>550</v>
      </c>
      <c r="S41" t="s">
        <v>717</v>
      </c>
      <c r="T41" t="s">
        <v>331</v>
      </c>
      <c r="U41">
        <v>1</v>
      </c>
      <c r="V41" t="s">
        <v>551</v>
      </c>
      <c r="W41">
        <v>2013</v>
      </c>
      <c r="X41" t="s">
        <v>340</v>
      </c>
      <c r="Y41" t="s">
        <v>311</v>
      </c>
      <c r="Z41" t="s">
        <v>302</v>
      </c>
      <c r="AA41" t="s">
        <v>303</v>
      </c>
      <c r="AB41" t="s">
        <v>311</v>
      </c>
      <c r="AC41" t="s">
        <v>311</v>
      </c>
      <c r="AD41" t="s">
        <v>292</v>
      </c>
      <c r="AE41" t="s">
        <v>607</v>
      </c>
      <c r="AF41" t="s">
        <v>552</v>
      </c>
      <c r="AH41" t="s">
        <v>555</v>
      </c>
      <c r="AI41" t="s">
        <v>553</v>
      </c>
      <c r="AJ41" t="s">
        <v>554</v>
      </c>
      <c r="AK41" t="s">
        <v>1583</v>
      </c>
      <c r="AL41" t="s">
        <v>357</v>
      </c>
      <c r="AM41" t="s">
        <v>1059</v>
      </c>
      <c r="AN41" t="s">
        <v>1578</v>
      </c>
      <c r="AO41" t="s">
        <v>606</v>
      </c>
      <c r="AP41" t="s">
        <v>887</v>
      </c>
      <c r="AQ41" t="s">
        <v>887</v>
      </c>
      <c r="AR41">
        <v>282.26221079691499</v>
      </c>
      <c r="AS41" t="s">
        <v>311</v>
      </c>
      <c r="AT41">
        <v>59.64010282776303</v>
      </c>
      <c r="AU41">
        <v>3</v>
      </c>
      <c r="AV41">
        <v>263.75321336760902</v>
      </c>
      <c r="AW41" t="s">
        <v>311</v>
      </c>
      <c r="AX41">
        <v>40.102827763495952</v>
      </c>
      <c r="AY41">
        <v>3</v>
      </c>
      <c r="AZ41" t="s">
        <v>1677</v>
      </c>
      <c r="BA41" t="s">
        <v>1680</v>
      </c>
      <c r="BB41">
        <v>1736</v>
      </c>
      <c r="BC41" t="s">
        <v>1672</v>
      </c>
      <c r="BD41" t="s">
        <v>311</v>
      </c>
      <c r="BE41" t="s">
        <v>1880</v>
      </c>
      <c r="BF41" t="s">
        <v>311</v>
      </c>
      <c r="BG41" t="s">
        <v>311</v>
      </c>
      <c r="BH41" t="s">
        <v>311</v>
      </c>
      <c r="BI41" t="s">
        <v>311</v>
      </c>
      <c r="BJ41" t="s">
        <v>311</v>
      </c>
      <c r="BK41" t="s">
        <v>311</v>
      </c>
      <c r="BL41" t="s">
        <v>311</v>
      </c>
      <c r="BM41" t="s">
        <v>311</v>
      </c>
      <c r="BN41" s="6" t="s">
        <v>311</v>
      </c>
      <c r="BO41" t="s">
        <v>311</v>
      </c>
      <c r="BP41" t="s">
        <v>311</v>
      </c>
      <c r="BQ41" t="s">
        <v>311</v>
      </c>
      <c r="BR41" t="s">
        <v>311</v>
      </c>
      <c r="BS41" t="s">
        <v>311</v>
      </c>
      <c r="BT41" t="s">
        <v>311</v>
      </c>
      <c r="BU41" t="s">
        <v>311</v>
      </c>
      <c r="BV41" t="s">
        <v>311</v>
      </c>
      <c r="BW41" t="s">
        <v>311</v>
      </c>
      <c r="BX41" t="s">
        <v>311</v>
      </c>
      <c r="BY41" t="s">
        <v>311</v>
      </c>
      <c r="BZ41">
        <v>3.4000000000000002E-2</v>
      </c>
      <c r="CA41">
        <v>25</v>
      </c>
      <c r="CB41" t="s">
        <v>1210</v>
      </c>
      <c r="CC41" t="s">
        <v>1210</v>
      </c>
      <c r="CD41" t="s">
        <v>1226</v>
      </c>
      <c r="CE41">
        <v>2019</v>
      </c>
      <c r="CF41">
        <v>0</v>
      </c>
      <c r="CG41" t="s">
        <v>1236</v>
      </c>
      <c r="CH41">
        <v>2008</v>
      </c>
      <c r="CI41">
        <v>0</v>
      </c>
      <c r="CJ41" s="38" t="s">
        <v>311</v>
      </c>
      <c r="CK41" s="38" t="s">
        <v>311</v>
      </c>
      <c r="CL41" s="38" t="s">
        <v>311</v>
      </c>
      <c r="CM41" s="38" t="s">
        <v>311</v>
      </c>
      <c r="CN41" s="38" t="s">
        <v>311</v>
      </c>
      <c r="CO41" s="38" t="s">
        <v>311</v>
      </c>
      <c r="CP41" s="38" t="s">
        <v>311</v>
      </c>
      <c r="CQ41" t="s">
        <v>1692</v>
      </c>
      <c r="CR41" t="s">
        <v>1188</v>
      </c>
    </row>
    <row r="42" spans="1:96" s="30" customFormat="1">
      <c r="A42">
        <v>41</v>
      </c>
      <c r="B42" s="30">
        <v>9</v>
      </c>
      <c r="C42" s="30">
        <v>1</v>
      </c>
      <c r="D42" s="30" t="s">
        <v>63</v>
      </c>
      <c r="E42" s="30" t="s">
        <v>64</v>
      </c>
      <c r="F42" s="30" t="s">
        <v>32</v>
      </c>
      <c r="G42" s="30">
        <v>2016</v>
      </c>
      <c r="H42" s="30" t="s">
        <v>1238</v>
      </c>
      <c r="I42" s="30" t="s">
        <v>1239</v>
      </c>
      <c r="J42" s="30">
        <v>47.430833</v>
      </c>
      <c r="K42" s="30">
        <v>-61.816082999999999</v>
      </c>
      <c r="L42" s="30" t="s">
        <v>362</v>
      </c>
      <c r="M42" s="30" t="s">
        <v>363</v>
      </c>
      <c r="N42" s="30" t="s">
        <v>531</v>
      </c>
      <c r="O42" s="30" t="s">
        <v>532</v>
      </c>
      <c r="P42" s="30" t="s">
        <v>693</v>
      </c>
      <c r="Q42" s="30" t="s">
        <v>333</v>
      </c>
      <c r="R42" s="30" t="s">
        <v>327</v>
      </c>
      <c r="S42" s="30" t="s">
        <v>534</v>
      </c>
      <c r="T42" s="30" t="s">
        <v>331</v>
      </c>
      <c r="U42" s="30">
        <v>3</v>
      </c>
      <c r="V42" s="30" t="s">
        <v>535</v>
      </c>
      <c r="W42" s="30">
        <v>2010</v>
      </c>
      <c r="X42" s="30" t="s">
        <v>292</v>
      </c>
      <c r="Y42" s="30" t="s">
        <v>536</v>
      </c>
      <c r="Z42" s="30" t="s">
        <v>537</v>
      </c>
      <c r="AA42" s="30" t="s">
        <v>538</v>
      </c>
      <c r="AB42" s="30" t="s">
        <v>539</v>
      </c>
      <c r="AC42" s="30" t="s">
        <v>540</v>
      </c>
      <c r="AD42" s="30" t="s">
        <v>340</v>
      </c>
      <c r="AE42" s="30" t="s">
        <v>311</v>
      </c>
      <c r="AF42" s="30" t="s">
        <v>342</v>
      </c>
      <c r="AH42" s="30" t="s">
        <v>311</v>
      </c>
      <c r="AI42" s="30" t="s">
        <v>311</v>
      </c>
      <c r="AJ42" s="30" t="s">
        <v>311</v>
      </c>
      <c r="AK42" s="30" t="s">
        <v>1794</v>
      </c>
      <c r="AL42" s="30" t="s">
        <v>357</v>
      </c>
      <c r="AM42" s="30" t="s">
        <v>1059</v>
      </c>
      <c r="AN42" s="30" t="s">
        <v>1280</v>
      </c>
      <c r="AO42" s="30" t="s">
        <v>541</v>
      </c>
      <c r="AP42" s="30" t="s">
        <v>614</v>
      </c>
      <c r="AQ42" s="30" t="s">
        <v>614</v>
      </c>
      <c r="AR42" s="30">
        <v>-3.5206499661466495E-3</v>
      </c>
      <c r="AS42" s="30">
        <v>0.54781132049883052</v>
      </c>
      <c r="AT42" s="30" t="s">
        <v>311</v>
      </c>
      <c r="AU42" s="30">
        <v>3</v>
      </c>
      <c r="AV42" s="30">
        <v>3.3086011041232264</v>
      </c>
      <c r="AW42" s="30">
        <v>0.87764764513267501</v>
      </c>
      <c r="AX42" s="30" t="s">
        <v>311</v>
      </c>
      <c r="AY42" s="30">
        <v>3</v>
      </c>
      <c r="AZ42" s="30" t="s">
        <v>1678</v>
      </c>
      <c r="BA42" s="30" t="s">
        <v>1679</v>
      </c>
      <c r="BB42">
        <v>5</v>
      </c>
      <c r="BC42" s="30" t="s">
        <v>1673</v>
      </c>
      <c r="BD42" s="30" t="s">
        <v>311</v>
      </c>
      <c r="BE42" s="30" t="s">
        <v>1881</v>
      </c>
      <c r="BF42" s="30">
        <v>8.3000000000000007</v>
      </c>
      <c r="BG42" s="30">
        <v>2.1106436616981719</v>
      </c>
      <c r="BH42" s="30">
        <v>2</v>
      </c>
      <c r="BI42" s="30">
        <v>0.55521767503085384</v>
      </c>
      <c r="BJ42" s="30">
        <v>1.2</v>
      </c>
      <c r="BK42" s="30" t="s">
        <v>311</v>
      </c>
      <c r="BL42" s="30">
        <v>1</v>
      </c>
      <c r="BM42" s="30" t="s">
        <v>311</v>
      </c>
      <c r="BN42" s="30">
        <v>6</v>
      </c>
      <c r="BO42" s="30">
        <v>6</v>
      </c>
      <c r="BP42" s="30" t="s">
        <v>311</v>
      </c>
      <c r="BQ42" s="30" t="s">
        <v>311</v>
      </c>
      <c r="BR42" s="30" t="s">
        <v>311</v>
      </c>
      <c r="BS42" s="30" t="s">
        <v>311</v>
      </c>
      <c r="BT42" s="30">
        <v>1.2</v>
      </c>
      <c r="BU42" s="30">
        <v>0.08</v>
      </c>
      <c r="BV42" s="30">
        <v>1</v>
      </c>
      <c r="BW42" s="30">
        <v>6.6666666666666652E-2</v>
      </c>
      <c r="BX42" s="30" t="s">
        <v>1126</v>
      </c>
      <c r="BY42" s="30" t="s">
        <v>1203</v>
      </c>
      <c r="BZ42" s="30">
        <v>2.9</v>
      </c>
      <c r="CA42" s="30">
        <v>19.458930899999999</v>
      </c>
      <c r="CB42" s="30" t="s">
        <v>1210</v>
      </c>
      <c r="CC42" s="30" t="s">
        <v>1209</v>
      </c>
      <c r="CD42" s="30" t="s">
        <v>1226</v>
      </c>
      <c r="CE42" s="30" t="s">
        <v>844</v>
      </c>
      <c r="CF42" s="30">
        <v>0</v>
      </c>
      <c r="CG42" s="30" t="s">
        <v>311</v>
      </c>
      <c r="CH42" s="30" t="s">
        <v>311</v>
      </c>
      <c r="CI42" s="30" t="s">
        <v>311</v>
      </c>
      <c r="CJ42" s="38">
        <v>3.6</v>
      </c>
      <c r="CK42" s="38">
        <v>1.6</v>
      </c>
      <c r="CL42" s="38" t="s">
        <v>311</v>
      </c>
      <c r="CM42" s="38" t="s">
        <v>311</v>
      </c>
      <c r="CN42" s="38" t="s">
        <v>311</v>
      </c>
      <c r="CO42" s="38" t="s">
        <v>311</v>
      </c>
      <c r="CP42" s="38">
        <v>1.6</v>
      </c>
      <c r="CQ42" s="30" t="s">
        <v>1792</v>
      </c>
      <c r="CR42" s="30" t="s">
        <v>1793</v>
      </c>
    </row>
    <row r="43" spans="1:96">
      <c r="A43">
        <v>42</v>
      </c>
      <c r="B43">
        <v>9</v>
      </c>
      <c r="C43">
        <v>2</v>
      </c>
      <c r="D43" t="s">
        <v>63</v>
      </c>
      <c r="E43" t="s">
        <v>64</v>
      </c>
      <c r="F43" t="s">
        <v>32</v>
      </c>
      <c r="G43">
        <v>2016</v>
      </c>
      <c r="H43" t="s">
        <v>1238</v>
      </c>
      <c r="I43" t="s">
        <v>1239</v>
      </c>
      <c r="J43">
        <v>47.430833</v>
      </c>
      <c r="K43">
        <v>-61.816082999999999</v>
      </c>
      <c r="L43" t="s">
        <v>362</v>
      </c>
      <c r="M43" t="s">
        <v>363</v>
      </c>
      <c r="N43" t="s">
        <v>531</v>
      </c>
      <c r="O43" t="s">
        <v>532</v>
      </c>
      <c r="P43" t="s">
        <v>693</v>
      </c>
      <c r="Q43" t="s">
        <v>333</v>
      </c>
      <c r="R43" t="s">
        <v>327</v>
      </c>
      <c r="S43" t="s">
        <v>534</v>
      </c>
      <c r="T43" t="s">
        <v>331</v>
      </c>
      <c r="U43">
        <v>3</v>
      </c>
      <c r="V43" t="s">
        <v>535</v>
      </c>
      <c r="W43">
        <v>2010</v>
      </c>
      <c r="X43" t="s">
        <v>292</v>
      </c>
      <c r="Y43" t="s">
        <v>536</v>
      </c>
      <c r="Z43" t="s">
        <v>537</v>
      </c>
      <c r="AA43" t="s">
        <v>538</v>
      </c>
      <c r="AB43" t="s">
        <v>539</v>
      </c>
      <c r="AC43" t="s">
        <v>540</v>
      </c>
      <c r="AD43" t="s">
        <v>340</v>
      </c>
      <c r="AE43" t="s">
        <v>311</v>
      </c>
      <c r="AF43" t="s">
        <v>342</v>
      </c>
      <c r="AH43" t="s">
        <v>311</v>
      </c>
      <c r="AI43" t="s">
        <v>311</v>
      </c>
      <c r="AJ43" t="s">
        <v>311</v>
      </c>
      <c r="AK43" t="s">
        <v>1794</v>
      </c>
      <c r="AL43" t="s">
        <v>357</v>
      </c>
      <c r="AM43" t="s">
        <v>1059</v>
      </c>
      <c r="AN43" t="s">
        <v>1280</v>
      </c>
      <c r="AO43" t="s">
        <v>541</v>
      </c>
      <c r="AP43" t="s">
        <v>887</v>
      </c>
      <c r="AQ43" t="s">
        <v>614</v>
      </c>
      <c r="AR43">
        <v>4.7142857142857073</v>
      </c>
      <c r="AS43" t="s">
        <v>311</v>
      </c>
      <c r="AT43">
        <v>0.76077296889681534</v>
      </c>
      <c r="AU43">
        <v>3</v>
      </c>
      <c r="AV43">
        <v>6.1148325366666674</v>
      </c>
      <c r="AW43" t="s">
        <v>311</v>
      </c>
      <c r="AX43">
        <v>1.3441825653544939</v>
      </c>
      <c r="AY43">
        <v>3</v>
      </c>
      <c r="AZ43" t="s">
        <v>1678</v>
      </c>
      <c r="BA43" t="s">
        <v>1679</v>
      </c>
      <c r="BB43">
        <v>1</v>
      </c>
      <c r="BC43" t="s">
        <v>1672</v>
      </c>
      <c r="BD43" t="s">
        <v>1764</v>
      </c>
      <c r="BE43" t="s">
        <v>1881</v>
      </c>
      <c r="BF43">
        <v>8.3000000000000007</v>
      </c>
      <c r="BG43">
        <v>2.1106436616981719</v>
      </c>
      <c r="BH43">
        <v>2</v>
      </c>
      <c r="BI43">
        <v>0.55521767503085384</v>
      </c>
      <c r="BJ43">
        <v>1.2</v>
      </c>
      <c r="BK43" t="s">
        <v>311</v>
      </c>
      <c r="BL43">
        <v>1</v>
      </c>
      <c r="BM43" t="s">
        <v>311</v>
      </c>
      <c r="BN43">
        <v>6</v>
      </c>
      <c r="BO43">
        <v>6</v>
      </c>
      <c r="BP43" t="s">
        <v>311</v>
      </c>
      <c r="BQ43" t="s">
        <v>311</v>
      </c>
      <c r="BR43" t="s">
        <v>311</v>
      </c>
      <c r="BS43" t="s">
        <v>311</v>
      </c>
      <c r="BT43">
        <v>1.2</v>
      </c>
      <c r="BU43">
        <v>0.08</v>
      </c>
      <c r="BV43">
        <v>1</v>
      </c>
      <c r="BW43">
        <v>6.6666666666666652E-2</v>
      </c>
      <c r="BX43" t="s">
        <v>1126</v>
      </c>
      <c r="BY43" t="s">
        <v>1203</v>
      </c>
      <c r="BZ43">
        <v>2.9</v>
      </c>
      <c r="CA43">
        <v>19.458930899999999</v>
      </c>
      <c r="CB43" t="s">
        <v>1210</v>
      </c>
      <c r="CC43" t="s">
        <v>1209</v>
      </c>
      <c r="CD43" t="s">
        <v>1226</v>
      </c>
      <c r="CE43" t="s">
        <v>844</v>
      </c>
      <c r="CF43">
        <v>0</v>
      </c>
      <c r="CG43" t="s">
        <v>311</v>
      </c>
      <c r="CH43" t="s">
        <v>311</v>
      </c>
      <c r="CI43" t="s">
        <v>311</v>
      </c>
      <c r="CJ43" s="38">
        <v>3.6</v>
      </c>
      <c r="CK43" s="38">
        <v>1.6</v>
      </c>
      <c r="CL43" s="38" t="s">
        <v>311</v>
      </c>
      <c r="CM43" s="38" t="s">
        <v>311</v>
      </c>
      <c r="CN43" s="38" t="s">
        <v>311</v>
      </c>
      <c r="CO43" s="38" t="s">
        <v>311</v>
      </c>
      <c r="CP43" s="38">
        <v>1.6</v>
      </c>
      <c r="CR43" t="s">
        <v>1776</v>
      </c>
    </row>
    <row r="44" spans="1:96">
      <c r="A44">
        <v>43</v>
      </c>
      <c r="B44">
        <v>9</v>
      </c>
      <c r="C44">
        <v>3</v>
      </c>
      <c r="D44" t="s">
        <v>63</v>
      </c>
      <c r="E44" t="s">
        <v>64</v>
      </c>
      <c r="F44" t="s">
        <v>32</v>
      </c>
      <c r="G44">
        <v>2016</v>
      </c>
      <c r="H44" t="s">
        <v>1238</v>
      </c>
      <c r="I44" t="s">
        <v>1239</v>
      </c>
      <c r="J44">
        <v>47.430833</v>
      </c>
      <c r="K44">
        <v>-61.816082999999999</v>
      </c>
      <c r="L44" t="s">
        <v>362</v>
      </c>
      <c r="M44" t="s">
        <v>363</v>
      </c>
      <c r="N44" t="s">
        <v>531</v>
      </c>
      <c r="O44" t="s">
        <v>532</v>
      </c>
      <c r="P44" t="s">
        <v>693</v>
      </c>
      <c r="Q44" t="s">
        <v>333</v>
      </c>
      <c r="R44" t="s">
        <v>327</v>
      </c>
      <c r="S44" t="s">
        <v>534</v>
      </c>
      <c r="T44" t="s">
        <v>331</v>
      </c>
      <c r="U44">
        <v>3</v>
      </c>
      <c r="V44" t="s">
        <v>535</v>
      </c>
      <c r="W44">
        <v>2010</v>
      </c>
      <c r="X44" t="s">
        <v>292</v>
      </c>
      <c r="Y44" t="s">
        <v>536</v>
      </c>
      <c r="Z44" t="s">
        <v>537</v>
      </c>
      <c r="AA44" t="s">
        <v>538</v>
      </c>
      <c r="AB44" t="s">
        <v>539</v>
      </c>
      <c r="AC44" t="s">
        <v>540</v>
      </c>
      <c r="AD44" t="s">
        <v>340</v>
      </c>
      <c r="AE44" t="s">
        <v>311</v>
      </c>
      <c r="AF44" t="s">
        <v>342</v>
      </c>
      <c r="AH44" t="s">
        <v>311</v>
      </c>
      <c r="AI44" t="s">
        <v>311</v>
      </c>
      <c r="AJ44" t="s">
        <v>311</v>
      </c>
      <c r="AK44" t="s">
        <v>1794</v>
      </c>
      <c r="AL44" t="s">
        <v>357</v>
      </c>
      <c r="AM44" t="s">
        <v>1059</v>
      </c>
      <c r="AN44" t="s">
        <v>1280</v>
      </c>
      <c r="AO44" t="s">
        <v>541</v>
      </c>
      <c r="AP44" t="s">
        <v>887</v>
      </c>
      <c r="AQ44" t="s">
        <v>614</v>
      </c>
      <c r="AR44">
        <v>6.4190476190476176</v>
      </c>
      <c r="AS44" t="s">
        <v>311</v>
      </c>
      <c r="AT44">
        <v>0.82081757814914658</v>
      </c>
      <c r="AU44">
        <v>3</v>
      </c>
      <c r="AV44">
        <v>6.9665071766666671</v>
      </c>
      <c r="AW44" t="s">
        <v>311</v>
      </c>
      <c r="AX44">
        <v>1.3437737516643891</v>
      </c>
      <c r="AY44">
        <v>3</v>
      </c>
      <c r="AZ44" t="s">
        <v>1678</v>
      </c>
      <c r="BA44" t="s">
        <v>1679</v>
      </c>
      <c r="BB44">
        <v>2</v>
      </c>
      <c r="BC44" t="s">
        <v>1672</v>
      </c>
      <c r="BD44" t="s">
        <v>1764</v>
      </c>
      <c r="BE44" t="s">
        <v>1881</v>
      </c>
      <c r="BF44">
        <v>8.3000000000000007</v>
      </c>
      <c r="BG44">
        <v>2.1106436616981719</v>
      </c>
      <c r="BH44">
        <v>2</v>
      </c>
      <c r="BI44">
        <v>0.55521767503085384</v>
      </c>
      <c r="BJ44">
        <v>1.2</v>
      </c>
      <c r="BK44" t="s">
        <v>311</v>
      </c>
      <c r="BL44">
        <v>1</v>
      </c>
      <c r="BM44" t="s">
        <v>311</v>
      </c>
      <c r="BN44">
        <v>6</v>
      </c>
      <c r="BO44">
        <v>6</v>
      </c>
      <c r="BP44" t="s">
        <v>311</v>
      </c>
      <c r="BQ44" t="s">
        <v>311</v>
      </c>
      <c r="BR44" t="s">
        <v>311</v>
      </c>
      <c r="BS44" t="s">
        <v>311</v>
      </c>
      <c r="BT44">
        <v>1.2</v>
      </c>
      <c r="BU44">
        <v>0.08</v>
      </c>
      <c r="BV44">
        <v>1</v>
      </c>
      <c r="BW44">
        <v>6.6666666666666652E-2</v>
      </c>
      <c r="BX44" t="s">
        <v>1126</v>
      </c>
      <c r="BY44" t="s">
        <v>1203</v>
      </c>
      <c r="BZ44">
        <v>2.9</v>
      </c>
      <c r="CA44">
        <v>19.458930899999999</v>
      </c>
      <c r="CB44" t="s">
        <v>1210</v>
      </c>
      <c r="CC44" t="s">
        <v>1209</v>
      </c>
      <c r="CD44" t="s">
        <v>1226</v>
      </c>
      <c r="CE44" t="s">
        <v>844</v>
      </c>
      <c r="CF44">
        <v>0</v>
      </c>
      <c r="CG44" t="s">
        <v>311</v>
      </c>
      <c r="CH44" t="s">
        <v>311</v>
      </c>
      <c r="CI44" t="s">
        <v>311</v>
      </c>
      <c r="CJ44" s="38">
        <v>3.6</v>
      </c>
      <c r="CK44" s="38">
        <v>1.6</v>
      </c>
      <c r="CL44" s="38" t="s">
        <v>311</v>
      </c>
      <c r="CM44" s="38" t="s">
        <v>311</v>
      </c>
      <c r="CN44" s="38" t="s">
        <v>311</v>
      </c>
      <c r="CO44" s="38" t="s">
        <v>311</v>
      </c>
      <c r="CP44" s="38">
        <v>1.6</v>
      </c>
      <c r="CR44" t="s">
        <v>1777</v>
      </c>
    </row>
    <row r="45" spans="1:96">
      <c r="A45">
        <v>44</v>
      </c>
      <c r="B45">
        <v>9</v>
      </c>
      <c r="C45">
        <v>4</v>
      </c>
      <c r="D45" t="s">
        <v>63</v>
      </c>
      <c r="E45" t="s">
        <v>64</v>
      </c>
      <c r="F45" t="s">
        <v>32</v>
      </c>
      <c r="G45">
        <v>2016</v>
      </c>
      <c r="H45" t="s">
        <v>1238</v>
      </c>
      <c r="I45" t="s">
        <v>1239</v>
      </c>
      <c r="J45">
        <v>47.430833</v>
      </c>
      <c r="K45">
        <v>-61.816082999999999</v>
      </c>
      <c r="L45" t="s">
        <v>362</v>
      </c>
      <c r="M45" t="s">
        <v>363</v>
      </c>
      <c r="N45" t="s">
        <v>531</v>
      </c>
      <c r="O45" t="s">
        <v>532</v>
      </c>
      <c r="P45" t="s">
        <v>693</v>
      </c>
      <c r="Q45" t="s">
        <v>333</v>
      </c>
      <c r="R45" t="s">
        <v>327</v>
      </c>
      <c r="S45" t="s">
        <v>534</v>
      </c>
      <c r="T45" t="s">
        <v>331</v>
      </c>
      <c r="U45">
        <v>3</v>
      </c>
      <c r="V45" t="s">
        <v>535</v>
      </c>
      <c r="W45">
        <v>2010</v>
      </c>
      <c r="X45" t="s">
        <v>292</v>
      </c>
      <c r="Y45" t="s">
        <v>536</v>
      </c>
      <c r="Z45" t="s">
        <v>537</v>
      </c>
      <c r="AA45" t="s">
        <v>538</v>
      </c>
      <c r="AB45" t="s">
        <v>539</v>
      </c>
      <c r="AC45" t="s">
        <v>540</v>
      </c>
      <c r="AD45" t="s">
        <v>340</v>
      </c>
      <c r="AE45" t="s">
        <v>311</v>
      </c>
      <c r="AF45" t="s">
        <v>342</v>
      </c>
      <c r="AH45" t="s">
        <v>311</v>
      </c>
      <c r="AI45" t="s">
        <v>311</v>
      </c>
      <c r="AJ45" t="s">
        <v>311</v>
      </c>
      <c r="AK45" t="s">
        <v>1794</v>
      </c>
      <c r="AL45" t="s">
        <v>357</v>
      </c>
      <c r="AM45" t="s">
        <v>1059</v>
      </c>
      <c r="AN45" t="s">
        <v>1280</v>
      </c>
      <c r="AO45" t="s">
        <v>541</v>
      </c>
      <c r="AP45" t="s">
        <v>887</v>
      </c>
      <c r="AQ45" t="s">
        <v>614</v>
      </c>
      <c r="AR45">
        <v>6.3047619047619001</v>
      </c>
      <c r="AS45" t="s">
        <v>311</v>
      </c>
      <c r="AT45">
        <v>1.2540004014364241</v>
      </c>
      <c r="AU45">
        <v>3</v>
      </c>
      <c r="AV45">
        <v>5.0239234433333335</v>
      </c>
      <c r="AW45" t="s">
        <v>311</v>
      </c>
      <c r="AX45">
        <v>0.16324136222917623</v>
      </c>
      <c r="AY45">
        <v>3</v>
      </c>
      <c r="AZ45" t="s">
        <v>1678</v>
      </c>
      <c r="BA45" t="s">
        <v>1679</v>
      </c>
      <c r="BB45">
        <v>3</v>
      </c>
      <c r="BC45" t="s">
        <v>1672</v>
      </c>
      <c r="BD45" t="s">
        <v>1764</v>
      </c>
      <c r="BE45" t="s">
        <v>1881</v>
      </c>
      <c r="BF45">
        <v>8.3000000000000007</v>
      </c>
      <c r="BG45">
        <v>2.1106436616981719</v>
      </c>
      <c r="BH45">
        <v>2</v>
      </c>
      <c r="BI45">
        <v>0.55521767503085384</v>
      </c>
      <c r="BJ45">
        <v>1.2</v>
      </c>
      <c r="BK45" t="s">
        <v>311</v>
      </c>
      <c r="BL45">
        <v>1</v>
      </c>
      <c r="BM45" t="s">
        <v>311</v>
      </c>
      <c r="BN45">
        <v>6</v>
      </c>
      <c r="BO45">
        <v>6</v>
      </c>
      <c r="BP45" t="s">
        <v>311</v>
      </c>
      <c r="BQ45" t="s">
        <v>311</v>
      </c>
      <c r="BR45" t="s">
        <v>311</v>
      </c>
      <c r="BS45" t="s">
        <v>311</v>
      </c>
      <c r="BT45">
        <v>1.2</v>
      </c>
      <c r="BU45">
        <v>0.08</v>
      </c>
      <c r="BV45">
        <v>1</v>
      </c>
      <c r="BW45">
        <v>6.6666666666666652E-2</v>
      </c>
      <c r="BX45" t="s">
        <v>1126</v>
      </c>
      <c r="BY45" t="s">
        <v>1203</v>
      </c>
      <c r="BZ45">
        <v>2.9</v>
      </c>
      <c r="CA45">
        <v>19.458930899999999</v>
      </c>
      <c r="CB45" t="s">
        <v>1210</v>
      </c>
      <c r="CC45" t="s">
        <v>1209</v>
      </c>
      <c r="CD45" t="s">
        <v>1226</v>
      </c>
      <c r="CE45" t="s">
        <v>844</v>
      </c>
      <c r="CF45">
        <v>0</v>
      </c>
      <c r="CG45" t="s">
        <v>311</v>
      </c>
      <c r="CH45" t="s">
        <v>311</v>
      </c>
      <c r="CI45" t="s">
        <v>311</v>
      </c>
      <c r="CJ45" s="38">
        <v>3.6</v>
      </c>
      <c r="CK45" s="38">
        <v>1.6</v>
      </c>
      <c r="CL45" s="38" t="s">
        <v>311</v>
      </c>
      <c r="CM45" s="38" t="s">
        <v>311</v>
      </c>
      <c r="CN45" s="38" t="s">
        <v>311</v>
      </c>
      <c r="CO45" s="38" t="s">
        <v>311</v>
      </c>
      <c r="CP45" s="38">
        <v>1.6</v>
      </c>
      <c r="CR45" t="s">
        <v>1778</v>
      </c>
    </row>
    <row r="46" spans="1:96">
      <c r="A46">
        <v>45</v>
      </c>
      <c r="B46">
        <v>9</v>
      </c>
      <c r="C46">
        <v>5</v>
      </c>
      <c r="D46" t="s">
        <v>63</v>
      </c>
      <c r="E46" t="s">
        <v>64</v>
      </c>
      <c r="F46" t="s">
        <v>32</v>
      </c>
      <c r="G46">
        <v>2016</v>
      </c>
      <c r="H46" t="s">
        <v>1238</v>
      </c>
      <c r="I46" t="s">
        <v>1239</v>
      </c>
      <c r="J46">
        <v>47.430833</v>
      </c>
      <c r="K46">
        <v>-61.816082999999999</v>
      </c>
      <c r="L46" t="s">
        <v>362</v>
      </c>
      <c r="M46" t="s">
        <v>363</v>
      </c>
      <c r="N46" t="s">
        <v>531</v>
      </c>
      <c r="O46" t="s">
        <v>532</v>
      </c>
      <c r="P46" t="s">
        <v>693</v>
      </c>
      <c r="Q46" t="s">
        <v>333</v>
      </c>
      <c r="R46" t="s">
        <v>327</v>
      </c>
      <c r="S46" t="s">
        <v>534</v>
      </c>
      <c r="T46" t="s">
        <v>331</v>
      </c>
      <c r="U46">
        <v>3</v>
      </c>
      <c r="V46" t="s">
        <v>535</v>
      </c>
      <c r="W46">
        <v>2010</v>
      </c>
      <c r="X46" t="s">
        <v>292</v>
      </c>
      <c r="Y46" t="s">
        <v>536</v>
      </c>
      <c r="Z46" t="s">
        <v>537</v>
      </c>
      <c r="AA46" t="s">
        <v>538</v>
      </c>
      <c r="AB46" t="s">
        <v>539</v>
      </c>
      <c r="AC46" t="s">
        <v>540</v>
      </c>
      <c r="AD46" t="s">
        <v>340</v>
      </c>
      <c r="AE46" t="s">
        <v>311</v>
      </c>
      <c r="AF46" t="s">
        <v>342</v>
      </c>
      <c r="AH46" t="s">
        <v>311</v>
      </c>
      <c r="AI46" t="s">
        <v>311</v>
      </c>
      <c r="AJ46" t="s">
        <v>311</v>
      </c>
      <c r="AK46" t="s">
        <v>1794</v>
      </c>
      <c r="AL46" t="s">
        <v>357</v>
      </c>
      <c r="AM46" t="s">
        <v>1059</v>
      </c>
      <c r="AN46" t="s">
        <v>1280</v>
      </c>
      <c r="AO46" t="s">
        <v>541</v>
      </c>
      <c r="AP46" t="s">
        <v>887</v>
      </c>
      <c r="AQ46" t="s">
        <v>614</v>
      </c>
      <c r="AR46">
        <v>3.2571428571428531</v>
      </c>
      <c r="AS46" t="s">
        <v>311</v>
      </c>
      <c r="AT46">
        <v>0.927141756547883</v>
      </c>
      <c r="AU46">
        <v>3</v>
      </c>
      <c r="AV46">
        <v>6.05741627</v>
      </c>
      <c r="AW46" t="s">
        <v>311</v>
      </c>
      <c r="AX46">
        <v>1.5082930470017433</v>
      </c>
      <c r="AY46">
        <v>3</v>
      </c>
      <c r="AZ46" t="s">
        <v>1678</v>
      </c>
      <c r="BA46" t="s">
        <v>1679</v>
      </c>
      <c r="BB46">
        <v>4</v>
      </c>
      <c r="BC46" t="s">
        <v>1672</v>
      </c>
      <c r="BD46" t="s">
        <v>1763</v>
      </c>
      <c r="BE46" t="s">
        <v>1881</v>
      </c>
      <c r="BF46">
        <v>8.3000000000000007</v>
      </c>
      <c r="BG46">
        <v>2.1106436616981719</v>
      </c>
      <c r="BH46">
        <v>2</v>
      </c>
      <c r="BI46">
        <v>0.55521767503085384</v>
      </c>
      <c r="BJ46">
        <v>1.2</v>
      </c>
      <c r="BK46" t="s">
        <v>311</v>
      </c>
      <c r="BL46">
        <v>1</v>
      </c>
      <c r="BM46" t="s">
        <v>311</v>
      </c>
      <c r="BN46">
        <v>6</v>
      </c>
      <c r="BO46">
        <v>6</v>
      </c>
      <c r="BP46" t="s">
        <v>311</v>
      </c>
      <c r="BQ46" t="s">
        <v>311</v>
      </c>
      <c r="BR46" t="s">
        <v>311</v>
      </c>
      <c r="BS46" t="s">
        <v>311</v>
      </c>
      <c r="BT46">
        <v>1.2</v>
      </c>
      <c r="BU46">
        <v>0.08</v>
      </c>
      <c r="BV46">
        <v>1</v>
      </c>
      <c r="BW46">
        <v>6.6666666666666652E-2</v>
      </c>
      <c r="BX46" t="s">
        <v>1126</v>
      </c>
      <c r="BY46" t="s">
        <v>1203</v>
      </c>
      <c r="BZ46">
        <v>2.9</v>
      </c>
      <c r="CA46">
        <v>19.458930899999999</v>
      </c>
      <c r="CB46" t="s">
        <v>1210</v>
      </c>
      <c r="CC46" t="s">
        <v>1209</v>
      </c>
      <c r="CD46" t="s">
        <v>1226</v>
      </c>
      <c r="CE46" t="s">
        <v>844</v>
      </c>
      <c r="CF46">
        <v>0</v>
      </c>
      <c r="CG46" t="s">
        <v>311</v>
      </c>
      <c r="CH46" t="s">
        <v>311</v>
      </c>
      <c r="CI46" t="s">
        <v>311</v>
      </c>
      <c r="CJ46" s="38">
        <v>3.6</v>
      </c>
      <c r="CK46" s="38">
        <v>1.6</v>
      </c>
      <c r="CL46" s="38" t="s">
        <v>311</v>
      </c>
      <c r="CM46" s="38" t="s">
        <v>311</v>
      </c>
      <c r="CN46" s="38" t="s">
        <v>311</v>
      </c>
      <c r="CO46" s="38" t="s">
        <v>311</v>
      </c>
      <c r="CP46" s="38">
        <v>1.6</v>
      </c>
      <c r="CR46" t="s">
        <v>1779</v>
      </c>
    </row>
    <row r="47" spans="1:96" s="30" customFormat="1">
      <c r="A47">
        <v>46</v>
      </c>
      <c r="B47" s="30">
        <v>9</v>
      </c>
      <c r="C47" s="30">
        <v>6</v>
      </c>
      <c r="D47" s="30" t="s">
        <v>63</v>
      </c>
      <c r="E47" s="30" t="s">
        <v>64</v>
      </c>
      <c r="F47" s="30" t="s">
        <v>32</v>
      </c>
      <c r="G47" s="30">
        <v>2016</v>
      </c>
      <c r="H47" s="30" t="s">
        <v>1238</v>
      </c>
      <c r="I47" s="30" t="s">
        <v>1239</v>
      </c>
      <c r="J47" s="30">
        <v>47.430833</v>
      </c>
      <c r="K47" s="30">
        <v>-61.816082999999999</v>
      </c>
      <c r="L47" s="30" t="s">
        <v>362</v>
      </c>
      <c r="M47" s="30" t="s">
        <v>363</v>
      </c>
      <c r="N47" s="30" t="s">
        <v>531</v>
      </c>
      <c r="O47" s="30" t="s">
        <v>532</v>
      </c>
      <c r="P47" s="30" t="s">
        <v>693</v>
      </c>
      <c r="Q47" s="30" t="s">
        <v>333</v>
      </c>
      <c r="R47" s="30" t="s">
        <v>327</v>
      </c>
      <c r="S47" s="30" t="s">
        <v>534</v>
      </c>
      <c r="T47" s="30" t="s">
        <v>331</v>
      </c>
      <c r="U47" s="30">
        <v>3</v>
      </c>
      <c r="V47" s="30" t="s">
        <v>535</v>
      </c>
      <c r="W47" s="30">
        <v>2010</v>
      </c>
      <c r="X47" s="30" t="s">
        <v>292</v>
      </c>
      <c r="Y47" s="30" t="s">
        <v>536</v>
      </c>
      <c r="Z47" s="30" t="s">
        <v>537</v>
      </c>
      <c r="AA47" s="30" t="s">
        <v>538</v>
      </c>
      <c r="AB47" s="30" t="s">
        <v>539</v>
      </c>
      <c r="AC47" s="30" t="s">
        <v>540</v>
      </c>
      <c r="AD47" s="30" t="s">
        <v>340</v>
      </c>
      <c r="AE47" s="30" t="s">
        <v>311</v>
      </c>
      <c r="AF47" s="30" t="s">
        <v>342</v>
      </c>
      <c r="AH47" s="30" t="s">
        <v>311</v>
      </c>
      <c r="AI47" s="30" t="s">
        <v>311</v>
      </c>
      <c r="AJ47" s="30" t="s">
        <v>311</v>
      </c>
      <c r="AK47" s="30" t="s">
        <v>1795</v>
      </c>
      <c r="AL47" s="30" t="s">
        <v>357</v>
      </c>
      <c r="AM47" s="30" t="s">
        <v>1059</v>
      </c>
      <c r="AN47" s="30" t="s">
        <v>584</v>
      </c>
      <c r="AO47" s="30" t="s">
        <v>345</v>
      </c>
      <c r="AP47" s="30" t="s">
        <v>614</v>
      </c>
      <c r="AQ47" s="30" t="s">
        <v>614</v>
      </c>
      <c r="AR47" s="30">
        <v>46040.515653775656</v>
      </c>
      <c r="AS47" s="30">
        <v>35389.796388845112</v>
      </c>
      <c r="AT47" s="30" t="s">
        <v>311</v>
      </c>
      <c r="AU47" s="30">
        <v>3</v>
      </c>
      <c r="AV47" s="30">
        <v>42458.100558658654</v>
      </c>
      <c r="AW47" s="30">
        <v>32568.762339842357</v>
      </c>
      <c r="AX47" s="30" t="s">
        <v>311</v>
      </c>
      <c r="AY47" s="30">
        <v>3</v>
      </c>
      <c r="AZ47" s="30" t="s">
        <v>1677</v>
      </c>
      <c r="BA47" s="30" t="s">
        <v>1679</v>
      </c>
      <c r="BB47">
        <v>5</v>
      </c>
      <c r="BC47" s="30" t="s">
        <v>1673</v>
      </c>
      <c r="BD47" s="30" t="s">
        <v>311</v>
      </c>
      <c r="BE47" s="30" t="s">
        <v>1881</v>
      </c>
      <c r="BF47" s="30">
        <v>8.3000000000000007</v>
      </c>
      <c r="BG47" s="30">
        <v>2.1106436616981719</v>
      </c>
      <c r="BH47" s="30">
        <v>2</v>
      </c>
      <c r="BI47" s="30">
        <v>0.55521767503085384</v>
      </c>
      <c r="BJ47" s="30">
        <v>1.2</v>
      </c>
      <c r="BK47" s="30" t="s">
        <v>311</v>
      </c>
      <c r="BL47" s="30">
        <v>1</v>
      </c>
      <c r="BM47" s="30" t="s">
        <v>311</v>
      </c>
      <c r="BN47" s="30">
        <v>6</v>
      </c>
      <c r="BO47" s="30">
        <v>6</v>
      </c>
      <c r="BP47" s="30" t="s">
        <v>311</v>
      </c>
      <c r="BQ47" s="30" t="s">
        <v>311</v>
      </c>
      <c r="BR47" s="30" t="s">
        <v>311</v>
      </c>
      <c r="BS47" s="30" t="s">
        <v>311</v>
      </c>
      <c r="BT47" s="30">
        <v>1.2</v>
      </c>
      <c r="BU47" s="30">
        <v>0.08</v>
      </c>
      <c r="BV47" s="30">
        <v>1</v>
      </c>
      <c r="BW47" s="30">
        <v>6.6666666666666652E-2</v>
      </c>
      <c r="BX47" s="30" t="s">
        <v>1126</v>
      </c>
      <c r="BY47" s="30" t="s">
        <v>1203</v>
      </c>
      <c r="BZ47" s="30">
        <v>2.9</v>
      </c>
      <c r="CA47" s="30">
        <v>19.458930899999999</v>
      </c>
      <c r="CB47" s="30" t="s">
        <v>1210</v>
      </c>
      <c r="CC47" s="30" t="s">
        <v>1209</v>
      </c>
      <c r="CD47" s="30" t="s">
        <v>1226</v>
      </c>
      <c r="CE47" s="30" t="s">
        <v>844</v>
      </c>
      <c r="CF47" s="30">
        <v>0</v>
      </c>
      <c r="CG47" s="30" t="s">
        <v>311</v>
      </c>
      <c r="CH47" s="30" t="s">
        <v>311</v>
      </c>
      <c r="CI47" s="30" t="s">
        <v>311</v>
      </c>
      <c r="CJ47" s="38">
        <v>3.6</v>
      </c>
      <c r="CK47" s="38">
        <v>1.6</v>
      </c>
      <c r="CL47" s="38" t="s">
        <v>311</v>
      </c>
      <c r="CM47" s="38" t="s">
        <v>311</v>
      </c>
      <c r="CN47" s="38" t="s">
        <v>311</v>
      </c>
      <c r="CO47" s="38" t="s">
        <v>311</v>
      </c>
      <c r="CP47" s="38">
        <v>1.6</v>
      </c>
      <c r="CQ47" s="30" t="s">
        <v>1796</v>
      </c>
      <c r="CR47" s="30" t="s">
        <v>1797</v>
      </c>
    </row>
    <row r="48" spans="1:96">
      <c r="A48">
        <v>47</v>
      </c>
      <c r="B48">
        <v>9</v>
      </c>
      <c r="C48">
        <v>7</v>
      </c>
      <c r="D48" t="s">
        <v>63</v>
      </c>
      <c r="E48" t="s">
        <v>64</v>
      </c>
      <c r="F48" t="s">
        <v>32</v>
      </c>
      <c r="G48">
        <v>2016</v>
      </c>
      <c r="H48" t="s">
        <v>1238</v>
      </c>
      <c r="I48" t="s">
        <v>1239</v>
      </c>
      <c r="J48">
        <v>47.430833</v>
      </c>
      <c r="K48">
        <v>-61.816082999999999</v>
      </c>
      <c r="L48" t="s">
        <v>362</v>
      </c>
      <c r="M48" t="s">
        <v>363</v>
      </c>
      <c r="N48" t="s">
        <v>531</v>
      </c>
      <c r="O48" t="s">
        <v>532</v>
      </c>
      <c r="P48" t="s">
        <v>693</v>
      </c>
      <c r="Q48" t="s">
        <v>333</v>
      </c>
      <c r="R48" t="s">
        <v>327</v>
      </c>
      <c r="S48" t="s">
        <v>534</v>
      </c>
      <c r="T48" t="s">
        <v>331</v>
      </c>
      <c r="U48">
        <v>3</v>
      </c>
      <c r="V48" t="s">
        <v>535</v>
      </c>
      <c r="W48">
        <v>2010</v>
      </c>
      <c r="X48" t="s">
        <v>292</v>
      </c>
      <c r="Y48" t="s">
        <v>536</v>
      </c>
      <c r="Z48" t="s">
        <v>537</v>
      </c>
      <c r="AA48" t="s">
        <v>538</v>
      </c>
      <c r="AB48" t="s">
        <v>539</v>
      </c>
      <c r="AC48" t="s">
        <v>540</v>
      </c>
      <c r="AD48" t="s">
        <v>340</v>
      </c>
      <c r="AE48" t="s">
        <v>311</v>
      </c>
      <c r="AF48" t="s">
        <v>342</v>
      </c>
      <c r="AH48" t="s">
        <v>311</v>
      </c>
      <c r="AI48" t="s">
        <v>311</v>
      </c>
      <c r="AJ48" t="s">
        <v>311</v>
      </c>
      <c r="AK48" t="s">
        <v>1795</v>
      </c>
      <c r="AL48" t="s">
        <v>357</v>
      </c>
      <c r="AM48" t="s">
        <v>1059</v>
      </c>
      <c r="AN48" t="s">
        <v>584</v>
      </c>
      <c r="AO48" t="s">
        <v>345</v>
      </c>
      <c r="AP48" t="s">
        <v>887</v>
      </c>
      <c r="AQ48" t="s">
        <v>614</v>
      </c>
      <c r="AR48">
        <v>249539.59484346164</v>
      </c>
      <c r="AS48" t="s">
        <v>311</v>
      </c>
      <c r="AT48">
        <v>26733.329372558514</v>
      </c>
      <c r="AU48">
        <v>12</v>
      </c>
      <c r="AV48">
        <v>209124.76722532534</v>
      </c>
      <c r="AW48" t="s">
        <v>311</v>
      </c>
      <c r="AX48">
        <v>48217.609232095478</v>
      </c>
      <c r="AY48">
        <v>12</v>
      </c>
      <c r="AZ48" t="s">
        <v>1677</v>
      </c>
      <c r="BA48" t="s">
        <v>1679</v>
      </c>
      <c r="BB48">
        <v>1</v>
      </c>
      <c r="BC48" t="s">
        <v>1672</v>
      </c>
      <c r="BD48" t="s">
        <v>1764</v>
      </c>
      <c r="BE48" t="s">
        <v>1881</v>
      </c>
      <c r="BF48">
        <v>8.3000000000000007</v>
      </c>
      <c r="BG48">
        <v>2.1106436616981719</v>
      </c>
      <c r="BH48">
        <v>2</v>
      </c>
      <c r="BI48">
        <v>0.55521767503085384</v>
      </c>
      <c r="BJ48">
        <v>1.2</v>
      </c>
      <c r="BK48" t="s">
        <v>311</v>
      </c>
      <c r="BL48">
        <v>1</v>
      </c>
      <c r="BM48" t="s">
        <v>311</v>
      </c>
      <c r="BN48">
        <v>6</v>
      </c>
      <c r="BO48">
        <v>6</v>
      </c>
      <c r="BP48" t="s">
        <v>311</v>
      </c>
      <c r="BQ48" t="s">
        <v>311</v>
      </c>
      <c r="BR48" t="s">
        <v>311</v>
      </c>
      <c r="BS48" t="s">
        <v>311</v>
      </c>
      <c r="BT48">
        <v>1.2</v>
      </c>
      <c r="BU48">
        <v>0.08</v>
      </c>
      <c r="BV48">
        <v>1</v>
      </c>
      <c r="BW48">
        <v>6.6666666666666652E-2</v>
      </c>
      <c r="BX48" t="s">
        <v>1126</v>
      </c>
      <c r="BY48" t="s">
        <v>1203</v>
      </c>
      <c r="BZ48">
        <v>2.9</v>
      </c>
      <c r="CA48">
        <v>19.458930899999999</v>
      </c>
      <c r="CB48" t="s">
        <v>1210</v>
      </c>
      <c r="CC48" t="s">
        <v>1209</v>
      </c>
      <c r="CD48" t="s">
        <v>1226</v>
      </c>
      <c r="CE48" t="s">
        <v>844</v>
      </c>
      <c r="CF48">
        <v>0</v>
      </c>
      <c r="CG48" t="s">
        <v>311</v>
      </c>
      <c r="CH48" t="s">
        <v>311</v>
      </c>
      <c r="CI48" t="s">
        <v>311</v>
      </c>
      <c r="CJ48" s="38">
        <v>3.6</v>
      </c>
      <c r="CK48" s="38">
        <v>1.6</v>
      </c>
      <c r="CL48" s="38" t="s">
        <v>311</v>
      </c>
      <c r="CM48" s="38" t="s">
        <v>311</v>
      </c>
      <c r="CN48" s="38" t="s">
        <v>311</v>
      </c>
      <c r="CO48" s="38" t="s">
        <v>311</v>
      </c>
      <c r="CP48" s="38">
        <v>1.6</v>
      </c>
      <c r="CR48" t="s">
        <v>1781</v>
      </c>
    </row>
    <row r="49" spans="1:96">
      <c r="A49">
        <v>48</v>
      </c>
      <c r="B49">
        <v>9</v>
      </c>
      <c r="C49">
        <v>8</v>
      </c>
      <c r="D49" t="s">
        <v>63</v>
      </c>
      <c r="E49" t="s">
        <v>64</v>
      </c>
      <c r="F49" t="s">
        <v>32</v>
      </c>
      <c r="G49">
        <v>2016</v>
      </c>
      <c r="H49" t="s">
        <v>1238</v>
      </c>
      <c r="I49" t="s">
        <v>1239</v>
      </c>
      <c r="J49">
        <v>47.430833</v>
      </c>
      <c r="K49">
        <v>-61.816082999999999</v>
      </c>
      <c r="L49" t="s">
        <v>362</v>
      </c>
      <c r="M49" t="s">
        <v>363</v>
      </c>
      <c r="N49" t="s">
        <v>531</v>
      </c>
      <c r="O49" t="s">
        <v>532</v>
      </c>
      <c r="P49" t="s">
        <v>693</v>
      </c>
      <c r="Q49" t="s">
        <v>333</v>
      </c>
      <c r="R49" t="s">
        <v>327</v>
      </c>
      <c r="S49" t="s">
        <v>534</v>
      </c>
      <c r="T49" t="s">
        <v>331</v>
      </c>
      <c r="U49">
        <v>3</v>
      </c>
      <c r="V49" t="s">
        <v>535</v>
      </c>
      <c r="W49">
        <v>2010</v>
      </c>
      <c r="X49" t="s">
        <v>292</v>
      </c>
      <c r="Y49" t="s">
        <v>536</v>
      </c>
      <c r="Z49" t="s">
        <v>537</v>
      </c>
      <c r="AA49" t="s">
        <v>538</v>
      </c>
      <c r="AB49" t="s">
        <v>539</v>
      </c>
      <c r="AC49" t="s">
        <v>540</v>
      </c>
      <c r="AD49" t="s">
        <v>340</v>
      </c>
      <c r="AE49" t="s">
        <v>311</v>
      </c>
      <c r="AF49" t="s">
        <v>342</v>
      </c>
      <c r="AH49" t="s">
        <v>311</v>
      </c>
      <c r="AI49" t="s">
        <v>311</v>
      </c>
      <c r="AJ49" t="s">
        <v>311</v>
      </c>
      <c r="AK49" t="s">
        <v>1795</v>
      </c>
      <c r="AL49" t="s">
        <v>357</v>
      </c>
      <c r="AM49" t="s">
        <v>1059</v>
      </c>
      <c r="AN49" t="s">
        <v>584</v>
      </c>
      <c r="AO49" t="s">
        <v>345</v>
      </c>
      <c r="AP49" t="s">
        <v>887</v>
      </c>
      <c r="AQ49" t="s">
        <v>614</v>
      </c>
      <c r="AR49">
        <v>242909.760589318</v>
      </c>
      <c r="AS49" t="s">
        <v>311</v>
      </c>
      <c r="AT49">
        <v>25898.189069976856</v>
      </c>
      <c r="AU49">
        <v>12</v>
      </c>
      <c r="AV49">
        <v>270204.84171322099</v>
      </c>
      <c r="AW49" t="s">
        <v>311</v>
      </c>
      <c r="AX49">
        <v>40352.57573417286</v>
      </c>
      <c r="AY49">
        <v>12</v>
      </c>
      <c r="AZ49" t="s">
        <v>1677</v>
      </c>
      <c r="BA49" t="s">
        <v>1679</v>
      </c>
      <c r="BB49">
        <v>2</v>
      </c>
      <c r="BC49" t="s">
        <v>1672</v>
      </c>
      <c r="BD49" t="s">
        <v>1764</v>
      </c>
      <c r="BE49" t="s">
        <v>1881</v>
      </c>
      <c r="BF49">
        <v>8.3000000000000007</v>
      </c>
      <c r="BG49">
        <v>2.1106436616981719</v>
      </c>
      <c r="BH49">
        <v>2</v>
      </c>
      <c r="BI49">
        <v>0.55521767503085384</v>
      </c>
      <c r="BJ49">
        <v>1.2</v>
      </c>
      <c r="BK49" t="s">
        <v>311</v>
      </c>
      <c r="BL49">
        <v>1</v>
      </c>
      <c r="BM49" t="s">
        <v>311</v>
      </c>
      <c r="BN49">
        <v>6</v>
      </c>
      <c r="BO49">
        <v>6</v>
      </c>
      <c r="BP49" t="s">
        <v>311</v>
      </c>
      <c r="BQ49" t="s">
        <v>311</v>
      </c>
      <c r="BR49" t="s">
        <v>311</v>
      </c>
      <c r="BS49" t="s">
        <v>311</v>
      </c>
      <c r="BT49">
        <v>1.2</v>
      </c>
      <c r="BU49">
        <v>0.08</v>
      </c>
      <c r="BV49">
        <v>1</v>
      </c>
      <c r="BW49">
        <v>6.6666666666666652E-2</v>
      </c>
      <c r="BX49" t="s">
        <v>1126</v>
      </c>
      <c r="BY49" t="s">
        <v>1203</v>
      </c>
      <c r="BZ49">
        <v>2.9</v>
      </c>
      <c r="CA49">
        <v>19.458930899999999</v>
      </c>
      <c r="CB49" t="s">
        <v>1210</v>
      </c>
      <c r="CC49" t="s">
        <v>1209</v>
      </c>
      <c r="CD49" t="s">
        <v>1226</v>
      </c>
      <c r="CE49" t="s">
        <v>844</v>
      </c>
      <c r="CF49">
        <v>0</v>
      </c>
      <c r="CG49" t="s">
        <v>311</v>
      </c>
      <c r="CH49" t="s">
        <v>311</v>
      </c>
      <c r="CI49" t="s">
        <v>311</v>
      </c>
      <c r="CJ49" s="38">
        <v>3.6</v>
      </c>
      <c r="CK49" s="38">
        <v>1.6</v>
      </c>
      <c r="CL49" s="38" t="s">
        <v>311</v>
      </c>
      <c r="CM49" s="38" t="s">
        <v>311</v>
      </c>
      <c r="CN49" s="38" t="s">
        <v>311</v>
      </c>
      <c r="CO49" s="38" t="s">
        <v>311</v>
      </c>
      <c r="CP49" s="38">
        <v>1.6</v>
      </c>
      <c r="CR49" t="s">
        <v>1782</v>
      </c>
    </row>
    <row r="50" spans="1:96">
      <c r="A50">
        <v>49</v>
      </c>
      <c r="B50">
        <v>9</v>
      </c>
      <c r="C50">
        <v>9</v>
      </c>
      <c r="D50" t="s">
        <v>63</v>
      </c>
      <c r="E50" t="s">
        <v>64</v>
      </c>
      <c r="F50" t="s">
        <v>32</v>
      </c>
      <c r="G50">
        <v>2016</v>
      </c>
      <c r="H50" t="s">
        <v>1238</v>
      </c>
      <c r="I50" t="s">
        <v>1239</v>
      </c>
      <c r="J50">
        <v>47.430833</v>
      </c>
      <c r="K50">
        <v>-61.816082999999999</v>
      </c>
      <c r="L50" t="s">
        <v>362</v>
      </c>
      <c r="M50" t="s">
        <v>363</v>
      </c>
      <c r="N50" t="s">
        <v>531</v>
      </c>
      <c r="O50" t="s">
        <v>532</v>
      </c>
      <c r="P50" t="s">
        <v>693</v>
      </c>
      <c r="Q50" t="s">
        <v>333</v>
      </c>
      <c r="R50" t="s">
        <v>327</v>
      </c>
      <c r="S50" t="s">
        <v>534</v>
      </c>
      <c r="T50" t="s">
        <v>331</v>
      </c>
      <c r="U50">
        <v>3</v>
      </c>
      <c r="V50" t="s">
        <v>535</v>
      </c>
      <c r="W50">
        <v>2010</v>
      </c>
      <c r="X50" t="s">
        <v>292</v>
      </c>
      <c r="Y50" t="s">
        <v>536</v>
      </c>
      <c r="Z50" t="s">
        <v>537</v>
      </c>
      <c r="AA50" t="s">
        <v>538</v>
      </c>
      <c r="AB50" t="s">
        <v>539</v>
      </c>
      <c r="AC50" t="s">
        <v>540</v>
      </c>
      <c r="AD50" t="s">
        <v>340</v>
      </c>
      <c r="AE50" t="s">
        <v>311</v>
      </c>
      <c r="AF50" t="s">
        <v>342</v>
      </c>
      <c r="AH50" t="s">
        <v>311</v>
      </c>
      <c r="AI50" t="s">
        <v>311</v>
      </c>
      <c r="AJ50" t="s">
        <v>311</v>
      </c>
      <c r="AK50" t="s">
        <v>1795</v>
      </c>
      <c r="AL50" t="s">
        <v>357</v>
      </c>
      <c r="AM50" t="s">
        <v>1059</v>
      </c>
      <c r="AN50" t="s">
        <v>584</v>
      </c>
      <c r="AO50" t="s">
        <v>345</v>
      </c>
      <c r="AP50" t="s">
        <v>887</v>
      </c>
      <c r="AQ50" t="s">
        <v>614</v>
      </c>
      <c r="AR50">
        <v>249539.59484346199</v>
      </c>
      <c r="AS50" t="s">
        <v>311</v>
      </c>
      <c r="AT50">
        <v>106956.1510399064</v>
      </c>
      <c r="AU50">
        <v>12</v>
      </c>
      <c r="AV50">
        <v>241154.56238361236</v>
      </c>
      <c r="AW50" t="s">
        <v>311</v>
      </c>
      <c r="AX50">
        <v>86851.896209591272</v>
      </c>
      <c r="AY50">
        <v>12</v>
      </c>
      <c r="AZ50" t="s">
        <v>1677</v>
      </c>
      <c r="BA50" t="s">
        <v>1679</v>
      </c>
      <c r="BB50">
        <v>3</v>
      </c>
      <c r="BC50" t="s">
        <v>1672</v>
      </c>
      <c r="BD50" t="s">
        <v>1764</v>
      </c>
      <c r="BE50" t="s">
        <v>1881</v>
      </c>
      <c r="BF50">
        <v>8.3000000000000007</v>
      </c>
      <c r="BG50">
        <v>2.1106436616981719</v>
      </c>
      <c r="BH50">
        <v>2</v>
      </c>
      <c r="BI50">
        <v>0.55521767503085384</v>
      </c>
      <c r="BJ50">
        <v>1.2</v>
      </c>
      <c r="BK50" t="s">
        <v>311</v>
      </c>
      <c r="BL50">
        <v>1</v>
      </c>
      <c r="BM50" t="s">
        <v>311</v>
      </c>
      <c r="BN50">
        <v>6</v>
      </c>
      <c r="BO50">
        <v>6</v>
      </c>
      <c r="BP50" t="s">
        <v>311</v>
      </c>
      <c r="BQ50" t="s">
        <v>311</v>
      </c>
      <c r="BR50" t="s">
        <v>311</v>
      </c>
      <c r="BS50" t="s">
        <v>311</v>
      </c>
      <c r="BT50">
        <v>1.2</v>
      </c>
      <c r="BU50">
        <v>0.08</v>
      </c>
      <c r="BV50">
        <v>1</v>
      </c>
      <c r="BW50">
        <v>6.6666666666666652E-2</v>
      </c>
      <c r="BX50" t="s">
        <v>1126</v>
      </c>
      <c r="BY50" t="s">
        <v>1203</v>
      </c>
      <c r="BZ50">
        <v>2.9</v>
      </c>
      <c r="CA50">
        <v>19.458930899999999</v>
      </c>
      <c r="CB50" t="s">
        <v>1210</v>
      </c>
      <c r="CC50" t="s">
        <v>1209</v>
      </c>
      <c r="CD50" t="s">
        <v>1226</v>
      </c>
      <c r="CE50" t="s">
        <v>844</v>
      </c>
      <c r="CF50">
        <v>0</v>
      </c>
      <c r="CG50" t="s">
        <v>311</v>
      </c>
      <c r="CH50" t="s">
        <v>311</v>
      </c>
      <c r="CI50" t="s">
        <v>311</v>
      </c>
      <c r="CJ50" s="38">
        <v>3.6</v>
      </c>
      <c r="CK50" s="38">
        <v>1.6</v>
      </c>
      <c r="CL50" s="38" t="s">
        <v>311</v>
      </c>
      <c r="CM50" s="38" t="s">
        <v>311</v>
      </c>
      <c r="CN50" s="38" t="s">
        <v>311</v>
      </c>
      <c r="CO50" s="38" t="s">
        <v>311</v>
      </c>
      <c r="CP50" s="38">
        <v>1.6</v>
      </c>
      <c r="CR50" t="s">
        <v>1783</v>
      </c>
    </row>
    <row r="51" spans="1:96">
      <c r="A51">
        <v>50</v>
      </c>
      <c r="B51">
        <v>9</v>
      </c>
      <c r="C51">
        <v>10</v>
      </c>
      <c r="D51" t="s">
        <v>63</v>
      </c>
      <c r="E51" t="s">
        <v>64</v>
      </c>
      <c r="F51" t="s">
        <v>32</v>
      </c>
      <c r="G51">
        <v>2016</v>
      </c>
      <c r="H51" t="s">
        <v>1238</v>
      </c>
      <c r="I51" t="s">
        <v>1239</v>
      </c>
      <c r="J51">
        <v>47.430833</v>
      </c>
      <c r="K51">
        <v>-61.816082999999999</v>
      </c>
      <c r="L51" t="s">
        <v>362</v>
      </c>
      <c r="M51" t="s">
        <v>363</v>
      </c>
      <c r="N51" t="s">
        <v>531</v>
      </c>
      <c r="O51" t="s">
        <v>532</v>
      </c>
      <c r="P51" t="s">
        <v>693</v>
      </c>
      <c r="Q51" t="s">
        <v>333</v>
      </c>
      <c r="R51" t="s">
        <v>327</v>
      </c>
      <c r="S51" t="s">
        <v>534</v>
      </c>
      <c r="T51" t="s">
        <v>331</v>
      </c>
      <c r="U51">
        <v>3</v>
      </c>
      <c r="V51" t="s">
        <v>535</v>
      </c>
      <c r="W51">
        <v>2010</v>
      </c>
      <c r="X51" t="s">
        <v>292</v>
      </c>
      <c r="Y51" t="s">
        <v>536</v>
      </c>
      <c r="Z51" t="s">
        <v>537</v>
      </c>
      <c r="AA51" t="s">
        <v>538</v>
      </c>
      <c r="AB51" t="s">
        <v>539</v>
      </c>
      <c r="AC51" t="s">
        <v>540</v>
      </c>
      <c r="AD51" t="s">
        <v>340</v>
      </c>
      <c r="AE51" t="s">
        <v>311</v>
      </c>
      <c r="AF51" t="s">
        <v>342</v>
      </c>
      <c r="AH51" t="s">
        <v>311</v>
      </c>
      <c r="AI51" t="s">
        <v>311</v>
      </c>
      <c r="AJ51" t="s">
        <v>311</v>
      </c>
      <c r="AK51" t="s">
        <v>1795</v>
      </c>
      <c r="AL51" t="s">
        <v>357</v>
      </c>
      <c r="AM51" t="s">
        <v>1059</v>
      </c>
      <c r="AN51" t="s">
        <v>584</v>
      </c>
      <c r="AO51" t="s">
        <v>345</v>
      </c>
      <c r="AP51" t="s">
        <v>887</v>
      </c>
      <c r="AQ51" t="s">
        <v>614</v>
      </c>
      <c r="AR51">
        <v>213812.15469613232</v>
      </c>
      <c r="AS51" t="s">
        <v>311</v>
      </c>
      <c r="AT51">
        <v>60350.107422856927</v>
      </c>
      <c r="AU51">
        <v>12</v>
      </c>
      <c r="AV51">
        <v>196089.38547485965</v>
      </c>
      <c r="AW51" t="s">
        <v>311</v>
      </c>
      <c r="AX51">
        <v>49918.006488689658</v>
      </c>
      <c r="AY51">
        <v>12</v>
      </c>
      <c r="AZ51" t="s">
        <v>1677</v>
      </c>
      <c r="BA51" t="s">
        <v>1679</v>
      </c>
      <c r="BB51">
        <v>4</v>
      </c>
      <c r="BC51" t="s">
        <v>1672</v>
      </c>
      <c r="BD51" t="s">
        <v>1763</v>
      </c>
      <c r="BE51" t="s">
        <v>1881</v>
      </c>
      <c r="BF51">
        <v>8.3000000000000007</v>
      </c>
      <c r="BG51">
        <v>2.1106436616981719</v>
      </c>
      <c r="BH51">
        <v>2</v>
      </c>
      <c r="BI51">
        <v>0.55521767503085384</v>
      </c>
      <c r="BJ51">
        <v>1.2</v>
      </c>
      <c r="BK51" t="s">
        <v>311</v>
      </c>
      <c r="BL51">
        <v>1</v>
      </c>
      <c r="BM51" t="s">
        <v>311</v>
      </c>
      <c r="BN51">
        <v>6</v>
      </c>
      <c r="BO51">
        <v>6</v>
      </c>
      <c r="BP51" t="s">
        <v>311</v>
      </c>
      <c r="BQ51" t="s">
        <v>311</v>
      </c>
      <c r="BR51" t="s">
        <v>311</v>
      </c>
      <c r="BS51" t="s">
        <v>311</v>
      </c>
      <c r="BT51">
        <v>1.2</v>
      </c>
      <c r="BU51">
        <v>0.08</v>
      </c>
      <c r="BV51">
        <v>1</v>
      </c>
      <c r="BW51">
        <v>6.6666666666666652E-2</v>
      </c>
      <c r="BX51" t="s">
        <v>1126</v>
      </c>
      <c r="BY51" t="s">
        <v>1203</v>
      </c>
      <c r="BZ51">
        <v>2.9</v>
      </c>
      <c r="CA51">
        <v>19.458930899999999</v>
      </c>
      <c r="CB51" t="s">
        <v>1210</v>
      </c>
      <c r="CC51" t="s">
        <v>1209</v>
      </c>
      <c r="CD51" t="s">
        <v>1226</v>
      </c>
      <c r="CE51" t="s">
        <v>844</v>
      </c>
      <c r="CF51">
        <v>0</v>
      </c>
      <c r="CG51" t="s">
        <v>311</v>
      </c>
      <c r="CH51" t="s">
        <v>311</v>
      </c>
      <c r="CI51" t="s">
        <v>311</v>
      </c>
      <c r="CJ51" s="38">
        <v>3.6</v>
      </c>
      <c r="CK51" s="38">
        <v>1.6</v>
      </c>
      <c r="CL51" s="38" t="s">
        <v>311</v>
      </c>
      <c r="CM51" s="38" t="s">
        <v>311</v>
      </c>
      <c r="CN51" s="38" t="s">
        <v>311</v>
      </c>
      <c r="CO51" s="38" t="s">
        <v>311</v>
      </c>
      <c r="CP51" s="38">
        <v>1.6</v>
      </c>
      <c r="CR51" t="s">
        <v>1784</v>
      </c>
    </row>
    <row r="52" spans="1:96" s="27" customFormat="1">
      <c r="A52">
        <v>51</v>
      </c>
      <c r="B52" s="27">
        <v>10</v>
      </c>
      <c r="C52" s="27">
        <v>1</v>
      </c>
      <c r="D52" s="27" t="s">
        <v>65</v>
      </c>
      <c r="E52" s="27" t="s">
        <v>66</v>
      </c>
      <c r="F52" s="27" t="s">
        <v>67</v>
      </c>
      <c r="G52" s="27">
        <v>2015</v>
      </c>
      <c r="H52" s="27" t="s">
        <v>1241</v>
      </c>
      <c r="I52" s="27" t="s">
        <v>1242</v>
      </c>
      <c r="J52" s="27">
        <v>24.992000000000001</v>
      </c>
      <c r="K52" s="27">
        <v>-80.408000000000001</v>
      </c>
      <c r="L52" s="27" t="s">
        <v>361</v>
      </c>
      <c r="M52" s="27" t="s">
        <v>360</v>
      </c>
      <c r="N52" s="27" t="s">
        <v>531</v>
      </c>
      <c r="O52" s="27" t="s">
        <v>532</v>
      </c>
      <c r="P52" s="27" t="s">
        <v>693</v>
      </c>
      <c r="Q52" s="27" t="s">
        <v>419</v>
      </c>
      <c r="R52" s="27" t="s">
        <v>545</v>
      </c>
      <c r="S52" s="27" t="s">
        <v>717</v>
      </c>
      <c r="T52" s="27" t="s">
        <v>331</v>
      </c>
      <c r="U52" s="27">
        <v>2</v>
      </c>
      <c r="V52" s="27" t="s">
        <v>535</v>
      </c>
      <c r="W52" s="27">
        <v>2013</v>
      </c>
      <c r="X52" s="27" t="s">
        <v>309</v>
      </c>
      <c r="Y52" s="27" t="s">
        <v>546</v>
      </c>
      <c r="Z52" s="27" t="s">
        <v>302</v>
      </c>
      <c r="AA52" s="27" t="s">
        <v>303</v>
      </c>
      <c r="AB52" s="27" t="s">
        <v>311</v>
      </c>
      <c r="AC52" s="27" t="s">
        <v>311</v>
      </c>
      <c r="AD52" s="27" t="s">
        <v>292</v>
      </c>
      <c r="AE52" s="27" t="s">
        <v>598</v>
      </c>
      <c r="AF52" s="27" t="s">
        <v>304</v>
      </c>
      <c r="AH52" s="27" t="s">
        <v>305</v>
      </c>
      <c r="AI52" s="27" t="s">
        <v>547</v>
      </c>
      <c r="AJ52" s="27" t="s">
        <v>548</v>
      </c>
      <c r="AK52" s="27" t="s">
        <v>549</v>
      </c>
      <c r="AL52" s="27" t="s">
        <v>357</v>
      </c>
      <c r="AM52" s="27" t="s">
        <v>1059</v>
      </c>
      <c r="AN52" s="27" t="s">
        <v>1275</v>
      </c>
      <c r="AO52" s="27" t="s">
        <v>1283</v>
      </c>
      <c r="AP52" s="27" t="s">
        <v>614</v>
      </c>
      <c r="AQ52" s="27" t="s">
        <v>887</v>
      </c>
      <c r="AR52" s="27">
        <v>1.05</v>
      </c>
      <c r="AS52" s="27">
        <v>0.15945945945945006</v>
      </c>
      <c r="AT52" s="27" t="s">
        <v>311</v>
      </c>
      <c r="AU52" s="27">
        <v>18</v>
      </c>
      <c r="AV52" s="27">
        <v>0.6</v>
      </c>
      <c r="AW52" s="27">
        <v>9.054054054054006E-2</v>
      </c>
      <c r="AX52" s="27" t="s">
        <v>311</v>
      </c>
      <c r="AY52" s="27">
        <v>28</v>
      </c>
      <c r="AZ52" s="27" t="s">
        <v>1055</v>
      </c>
      <c r="BA52" s="27" t="s">
        <v>1679</v>
      </c>
      <c r="BB52">
        <v>98</v>
      </c>
      <c r="BC52" s="27" t="s">
        <v>1672</v>
      </c>
      <c r="BD52" s="27" t="s">
        <v>311</v>
      </c>
      <c r="BE52" t="s">
        <v>1880</v>
      </c>
      <c r="BF52" s="27">
        <v>50.07</v>
      </c>
      <c r="BG52" s="27">
        <v>9.43</v>
      </c>
      <c r="BH52" s="27">
        <v>5.72</v>
      </c>
      <c r="BI52" s="27">
        <v>0.72</v>
      </c>
      <c r="BJ52" s="27" t="s">
        <v>311</v>
      </c>
      <c r="BK52" s="27" t="s">
        <v>311</v>
      </c>
      <c r="BL52" s="27" t="s">
        <v>311</v>
      </c>
      <c r="BM52" s="27" t="s">
        <v>311</v>
      </c>
      <c r="BN52" s="27">
        <v>18</v>
      </c>
      <c r="BO52" s="27">
        <v>18</v>
      </c>
      <c r="BP52" s="27" t="s">
        <v>311</v>
      </c>
      <c r="BQ52" s="27" t="s">
        <v>311</v>
      </c>
      <c r="BR52" s="27" t="s">
        <v>311</v>
      </c>
      <c r="BS52" s="27" t="s">
        <v>311</v>
      </c>
      <c r="BT52" s="27" t="s">
        <v>311</v>
      </c>
      <c r="BU52" s="27" t="s">
        <v>311</v>
      </c>
      <c r="BV52" s="27" t="s">
        <v>311</v>
      </c>
      <c r="BW52" s="27" t="s">
        <v>311</v>
      </c>
      <c r="BX52" s="27" t="s">
        <v>1127</v>
      </c>
      <c r="BY52" s="27" t="s">
        <v>1201</v>
      </c>
      <c r="BZ52" s="27">
        <v>1.4</v>
      </c>
      <c r="CA52" s="27">
        <v>25.725274725274684</v>
      </c>
      <c r="CB52" s="27" t="s">
        <v>1210</v>
      </c>
      <c r="CC52" s="27" t="s">
        <v>1210</v>
      </c>
      <c r="CD52" s="27" t="s">
        <v>1244</v>
      </c>
      <c r="CE52" s="27" t="s">
        <v>1243</v>
      </c>
      <c r="CF52" s="27">
        <v>0</v>
      </c>
      <c r="CG52" s="27" t="s">
        <v>1240</v>
      </c>
      <c r="CH52" s="27">
        <v>1994</v>
      </c>
      <c r="CI52" s="27">
        <v>700</v>
      </c>
      <c r="CJ52" s="38">
        <v>5.32</v>
      </c>
      <c r="CK52" s="38">
        <v>0.53</v>
      </c>
      <c r="CL52" s="38" t="s">
        <v>311</v>
      </c>
      <c r="CM52" s="38" t="s">
        <v>311</v>
      </c>
      <c r="CN52" s="38" t="s">
        <v>311</v>
      </c>
      <c r="CO52" s="38" t="s">
        <v>311</v>
      </c>
      <c r="CP52" s="38" t="s">
        <v>311</v>
      </c>
      <c r="CQ52" s="27" t="s">
        <v>1693</v>
      </c>
      <c r="CR52" s="27" t="s">
        <v>1584</v>
      </c>
    </row>
    <row r="53" spans="1:96">
      <c r="A53">
        <v>52</v>
      </c>
      <c r="B53">
        <v>10</v>
      </c>
      <c r="C53">
        <v>2</v>
      </c>
      <c r="D53" t="s">
        <v>65</v>
      </c>
      <c r="E53" t="s">
        <v>66</v>
      </c>
      <c r="F53" t="s">
        <v>67</v>
      </c>
      <c r="G53">
        <v>2015</v>
      </c>
      <c r="H53" t="s">
        <v>1241</v>
      </c>
      <c r="I53" t="s">
        <v>1242</v>
      </c>
      <c r="J53">
        <v>24.992000000000001</v>
      </c>
      <c r="K53">
        <v>-80.408000000000001</v>
      </c>
      <c r="L53" t="s">
        <v>361</v>
      </c>
      <c r="M53" t="s">
        <v>360</v>
      </c>
      <c r="N53" t="s">
        <v>531</v>
      </c>
      <c r="O53" t="s">
        <v>532</v>
      </c>
      <c r="P53" t="s">
        <v>693</v>
      </c>
      <c r="Q53" t="s">
        <v>419</v>
      </c>
      <c r="R53" t="s">
        <v>545</v>
      </c>
      <c r="S53" t="s">
        <v>717</v>
      </c>
      <c r="T53" t="s">
        <v>331</v>
      </c>
      <c r="U53">
        <v>1</v>
      </c>
      <c r="V53" t="s">
        <v>535</v>
      </c>
      <c r="W53">
        <v>2013</v>
      </c>
      <c r="X53" t="s">
        <v>309</v>
      </c>
      <c r="Y53" t="s">
        <v>546</v>
      </c>
      <c r="Z53" t="s">
        <v>302</v>
      </c>
      <c r="AA53" t="s">
        <v>303</v>
      </c>
      <c r="AB53" t="s">
        <v>311</v>
      </c>
      <c r="AC53" t="s">
        <v>311</v>
      </c>
      <c r="AD53" t="s">
        <v>309</v>
      </c>
      <c r="AE53" t="s">
        <v>1061</v>
      </c>
      <c r="AF53" t="s">
        <v>567</v>
      </c>
      <c r="AG53" t="s">
        <v>1901</v>
      </c>
      <c r="AH53" t="s">
        <v>343</v>
      </c>
      <c r="AI53" t="s">
        <v>1062</v>
      </c>
      <c r="AJ53" t="s">
        <v>792</v>
      </c>
      <c r="AK53" t="s">
        <v>317</v>
      </c>
      <c r="AL53" t="s">
        <v>357</v>
      </c>
      <c r="AM53" t="s">
        <v>1059</v>
      </c>
      <c r="AN53" t="s">
        <v>584</v>
      </c>
      <c r="AO53" t="s">
        <v>948</v>
      </c>
      <c r="AP53" t="s">
        <v>887</v>
      </c>
      <c r="AQ53" t="s">
        <v>887</v>
      </c>
      <c r="AR53">
        <v>28.1944444444444</v>
      </c>
      <c r="AS53">
        <v>3.0555555555555998</v>
      </c>
      <c r="AT53" t="s">
        <v>311</v>
      </c>
      <c r="AU53">
        <v>10</v>
      </c>
      <c r="AV53">
        <v>25.8333333333333</v>
      </c>
      <c r="AW53">
        <v>2.9166666666666998</v>
      </c>
      <c r="AX53" t="s">
        <v>311</v>
      </c>
      <c r="AY53">
        <v>10</v>
      </c>
      <c r="AZ53" t="s">
        <v>1677</v>
      </c>
      <c r="BA53" t="s">
        <v>1680</v>
      </c>
      <c r="BB53">
        <v>0</v>
      </c>
      <c r="BC53" t="s">
        <v>1672</v>
      </c>
      <c r="BD53" t="s">
        <v>311</v>
      </c>
      <c r="BE53" t="s">
        <v>1880</v>
      </c>
      <c r="BF53">
        <v>50.07</v>
      </c>
      <c r="BG53">
        <v>9.43</v>
      </c>
      <c r="BH53">
        <v>5.72</v>
      </c>
      <c r="BI53">
        <v>0.72</v>
      </c>
      <c r="BJ53" t="s">
        <v>311</v>
      </c>
      <c r="BK53" t="s">
        <v>311</v>
      </c>
      <c r="BL53" t="s">
        <v>311</v>
      </c>
      <c r="BM53" t="s">
        <v>311</v>
      </c>
      <c r="BN53">
        <v>18</v>
      </c>
      <c r="BO53">
        <v>18</v>
      </c>
      <c r="BP53" t="s">
        <v>311</v>
      </c>
      <c r="BQ53" t="s">
        <v>311</v>
      </c>
      <c r="BR53" t="s">
        <v>311</v>
      </c>
      <c r="BS53" t="s">
        <v>311</v>
      </c>
      <c r="BT53" t="s">
        <v>311</v>
      </c>
      <c r="BU53" t="s">
        <v>311</v>
      </c>
      <c r="BV53" t="s">
        <v>311</v>
      </c>
      <c r="BW53" t="s">
        <v>311</v>
      </c>
      <c r="BX53" t="s">
        <v>1127</v>
      </c>
      <c r="BY53" t="s">
        <v>1201</v>
      </c>
      <c r="BZ53">
        <v>1.4</v>
      </c>
      <c r="CA53">
        <v>25.725274725274684</v>
      </c>
      <c r="CB53" t="s">
        <v>1210</v>
      </c>
      <c r="CC53" t="s">
        <v>1210</v>
      </c>
      <c r="CD53" t="s">
        <v>1244</v>
      </c>
      <c r="CE53" t="s">
        <v>1243</v>
      </c>
      <c r="CF53">
        <v>0</v>
      </c>
      <c r="CG53" t="s">
        <v>1240</v>
      </c>
      <c r="CH53">
        <v>1994</v>
      </c>
      <c r="CI53">
        <v>700</v>
      </c>
      <c r="CJ53" s="38">
        <v>5.32</v>
      </c>
      <c r="CK53" s="38">
        <v>0.53</v>
      </c>
      <c r="CL53" s="38" t="s">
        <v>311</v>
      </c>
      <c r="CM53" s="38" t="s">
        <v>311</v>
      </c>
      <c r="CN53" s="38" t="s">
        <v>311</v>
      </c>
      <c r="CO53" s="38" t="s">
        <v>311</v>
      </c>
      <c r="CP53" s="38" t="s">
        <v>311</v>
      </c>
      <c r="CQ53" t="s">
        <v>1694</v>
      </c>
      <c r="CR53" t="s">
        <v>1065</v>
      </c>
    </row>
    <row r="54" spans="1:96">
      <c r="A54">
        <v>53</v>
      </c>
      <c r="B54">
        <v>10</v>
      </c>
      <c r="C54">
        <v>3</v>
      </c>
      <c r="D54" t="s">
        <v>65</v>
      </c>
      <c r="E54" t="s">
        <v>66</v>
      </c>
      <c r="F54" t="s">
        <v>67</v>
      </c>
      <c r="G54">
        <v>2015</v>
      </c>
      <c r="H54" t="s">
        <v>1241</v>
      </c>
      <c r="I54" t="s">
        <v>1242</v>
      </c>
      <c r="J54">
        <v>24.992000000000001</v>
      </c>
      <c r="K54">
        <v>-80.408000000000001</v>
      </c>
      <c r="L54" t="s">
        <v>361</v>
      </c>
      <c r="M54" t="s">
        <v>360</v>
      </c>
      <c r="N54" t="s">
        <v>531</v>
      </c>
      <c r="O54" t="s">
        <v>532</v>
      </c>
      <c r="P54" t="s">
        <v>693</v>
      </c>
      <c r="Q54" t="s">
        <v>419</v>
      </c>
      <c r="R54" t="s">
        <v>545</v>
      </c>
      <c r="S54" t="s">
        <v>717</v>
      </c>
      <c r="T54" t="s">
        <v>331</v>
      </c>
      <c r="U54">
        <v>1</v>
      </c>
      <c r="V54" t="s">
        <v>535</v>
      </c>
      <c r="W54">
        <v>2013</v>
      </c>
      <c r="X54" t="s">
        <v>309</v>
      </c>
      <c r="Y54" t="s">
        <v>546</v>
      </c>
      <c r="Z54" t="s">
        <v>302</v>
      </c>
      <c r="AA54" t="s">
        <v>303</v>
      </c>
      <c r="AB54" t="s">
        <v>311</v>
      </c>
      <c r="AC54" t="s">
        <v>311</v>
      </c>
      <c r="AD54" t="s">
        <v>340</v>
      </c>
      <c r="AE54" t="s">
        <v>311</v>
      </c>
      <c r="AF54" t="s">
        <v>567</v>
      </c>
      <c r="AG54" t="s">
        <v>1903</v>
      </c>
      <c r="AH54" t="s">
        <v>591</v>
      </c>
      <c r="AI54" t="s">
        <v>311</v>
      </c>
      <c r="AJ54" t="s">
        <v>311</v>
      </c>
      <c r="AK54" t="s">
        <v>317</v>
      </c>
      <c r="AL54" t="s">
        <v>357</v>
      </c>
      <c r="AM54" t="s">
        <v>1059</v>
      </c>
      <c r="AN54" t="s">
        <v>584</v>
      </c>
      <c r="AO54" t="s">
        <v>948</v>
      </c>
      <c r="AP54" t="s">
        <v>887</v>
      </c>
      <c r="AQ54" t="s">
        <v>887</v>
      </c>
      <c r="AR54">
        <v>2.3611111111111098</v>
      </c>
      <c r="AS54">
        <v>0.7870370370370301</v>
      </c>
      <c r="AT54" t="s">
        <v>311</v>
      </c>
      <c r="AU54">
        <v>10</v>
      </c>
      <c r="AV54">
        <v>2.31481481481481</v>
      </c>
      <c r="AW54">
        <v>0.6944444444444402</v>
      </c>
      <c r="AX54" t="s">
        <v>311</v>
      </c>
      <c r="AY54">
        <v>10</v>
      </c>
      <c r="AZ54" t="s">
        <v>1677</v>
      </c>
      <c r="BA54" t="s">
        <v>1680</v>
      </c>
      <c r="BB54">
        <v>0</v>
      </c>
      <c r="BC54" t="s">
        <v>1672</v>
      </c>
      <c r="BD54" t="s">
        <v>311</v>
      </c>
      <c r="BE54" t="s">
        <v>1880</v>
      </c>
      <c r="BF54">
        <v>50.07</v>
      </c>
      <c r="BG54">
        <v>9.43</v>
      </c>
      <c r="BH54">
        <v>5.72</v>
      </c>
      <c r="BI54">
        <v>0.72</v>
      </c>
      <c r="BJ54" t="s">
        <v>311</v>
      </c>
      <c r="BK54" t="s">
        <v>311</v>
      </c>
      <c r="BL54" t="s">
        <v>311</v>
      </c>
      <c r="BM54" t="s">
        <v>311</v>
      </c>
      <c r="BN54">
        <v>18</v>
      </c>
      <c r="BO54">
        <v>18</v>
      </c>
      <c r="BP54" t="s">
        <v>311</v>
      </c>
      <c r="BQ54" t="s">
        <v>311</v>
      </c>
      <c r="BR54" t="s">
        <v>311</v>
      </c>
      <c r="BS54" t="s">
        <v>311</v>
      </c>
      <c r="BT54" t="s">
        <v>311</v>
      </c>
      <c r="BU54" t="s">
        <v>311</v>
      </c>
      <c r="BV54" t="s">
        <v>311</v>
      </c>
      <c r="BW54" t="s">
        <v>311</v>
      </c>
      <c r="BX54" t="s">
        <v>1127</v>
      </c>
      <c r="BY54" t="s">
        <v>1201</v>
      </c>
      <c r="BZ54">
        <v>1.4</v>
      </c>
      <c r="CA54">
        <v>25.725274725274684</v>
      </c>
      <c r="CB54" t="s">
        <v>1210</v>
      </c>
      <c r="CC54" t="s">
        <v>1210</v>
      </c>
      <c r="CD54" t="s">
        <v>1244</v>
      </c>
      <c r="CE54" t="s">
        <v>1243</v>
      </c>
      <c r="CF54">
        <v>0</v>
      </c>
      <c r="CG54" t="s">
        <v>1240</v>
      </c>
      <c r="CH54">
        <v>1994</v>
      </c>
      <c r="CI54">
        <v>700</v>
      </c>
      <c r="CJ54" s="38">
        <v>5.32</v>
      </c>
      <c r="CK54" s="38">
        <v>0.53</v>
      </c>
      <c r="CL54" s="38" t="s">
        <v>311</v>
      </c>
      <c r="CM54" s="38" t="s">
        <v>311</v>
      </c>
      <c r="CN54" s="38" t="s">
        <v>311</v>
      </c>
      <c r="CO54" s="38" t="s">
        <v>311</v>
      </c>
      <c r="CP54" s="38" t="s">
        <v>311</v>
      </c>
      <c r="CQ54" t="s">
        <v>1694</v>
      </c>
      <c r="CR54" t="s">
        <v>1066</v>
      </c>
    </row>
    <row r="55" spans="1:96">
      <c r="A55">
        <v>54</v>
      </c>
      <c r="B55">
        <v>10</v>
      </c>
      <c r="C55">
        <v>4</v>
      </c>
      <c r="D55" t="s">
        <v>65</v>
      </c>
      <c r="E55" t="s">
        <v>66</v>
      </c>
      <c r="F55" t="s">
        <v>67</v>
      </c>
      <c r="G55">
        <v>2015</v>
      </c>
      <c r="H55" t="s">
        <v>1241</v>
      </c>
      <c r="I55" t="s">
        <v>1242</v>
      </c>
      <c r="J55">
        <v>24.992000000000001</v>
      </c>
      <c r="K55">
        <v>-80.408000000000001</v>
      </c>
      <c r="L55" t="s">
        <v>361</v>
      </c>
      <c r="M55" t="s">
        <v>360</v>
      </c>
      <c r="N55" t="s">
        <v>531</v>
      </c>
      <c r="O55" t="s">
        <v>532</v>
      </c>
      <c r="P55" t="s">
        <v>693</v>
      </c>
      <c r="Q55" t="s">
        <v>419</v>
      </c>
      <c r="R55" t="s">
        <v>545</v>
      </c>
      <c r="S55" t="s">
        <v>717</v>
      </c>
      <c r="T55" t="s">
        <v>331</v>
      </c>
      <c r="U55">
        <v>1</v>
      </c>
      <c r="V55" t="s">
        <v>535</v>
      </c>
      <c r="W55">
        <v>2013</v>
      </c>
      <c r="X55" t="s">
        <v>309</v>
      </c>
      <c r="Y55" t="s">
        <v>546</v>
      </c>
      <c r="Z55" t="s">
        <v>302</v>
      </c>
      <c r="AA55" t="s">
        <v>303</v>
      </c>
      <c r="AB55" t="s">
        <v>311</v>
      </c>
      <c r="AC55" t="s">
        <v>311</v>
      </c>
      <c r="AD55" t="s">
        <v>309</v>
      </c>
      <c r="AE55" t="s">
        <v>566</v>
      </c>
      <c r="AF55" t="s">
        <v>567</v>
      </c>
      <c r="AG55" t="s">
        <v>1903</v>
      </c>
      <c r="AH55" t="s">
        <v>568</v>
      </c>
      <c r="AI55" t="s">
        <v>792</v>
      </c>
      <c r="AJ55" t="s">
        <v>311</v>
      </c>
      <c r="AK55" t="s">
        <v>317</v>
      </c>
      <c r="AL55" t="s">
        <v>357</v>
      </c>
      <c r="AM55" t="s">
        <v>1059</v>
      </c>
      <c r="AN55" t="s">
        <v>584</v>
      </c>
      <c r="AO55" t="s">
        <v>948</v>
      </c>
      <c r="AP55" t="s">
        <v>887</v>
      </c>
      <c r="AQ55" t="s">
        <v>887</v>
      </c>
      <c r="AR55">
        <v>1.5277777777777699</v>
      </c>
      <c r="AS55">
        <v>0.60185185185185008</v>
      </c>
      <c r="AT55" t="s">
        <v>311</v>
      </c>
      <c r="AU55">
        <v>10</v>
      </c>
      <c r="AV55">
        <v>0</v>
      </c>
      <c r="AW55">
        <v>0.18518518518518501</v>
      </c>
      <c r="AX55" t="s">
        <v>311</v>
      </c>
      <c r="AY55">
        <v>10</v>
      </c>
      <c r="AZ55" t="s">
        <v>1677</v>
      </c>
      <c r="BA55" t="s">
        <v>1680</v>
      </c>
      <c r="BB55">
        <v>0</v>
      </c>
      <c r="BC55" t="s">
        <v>1672</v>
      </c>
      <c r="BD55" t="s">
        <v>311</v>
      </c>
      <c r="BE55" t="s">
        <v>1880</v>
      </c>
      <c r="BF55">
        <v>50.07</v>
      </c>
      <c r="BG55">
        <v>9.43</v>
      </c>
      <c r="BH55">
        <v>5.72</v>
      </c>
      <c r="BI55">
        <v>0.72</v>
      </c>
      <c r="BJ55" t="s">
        <v>311</v>
      </c>
      <c r="BK55" t="s">
        <v>311</v>
      </c>
      <c r="BL55" t="s">
        <v>311</v>
      </c>
      <c r="BM55" t="s">
        <v>311</v>
      </c>
      <c r="BN55">
        <v>18</v>
      </c>
      <c r="BO55">
        <v>18</v>
      </c>
      <c r="BP55" t="s">
        <v>311</v>
      </c>
      <c r="BQ55" t="s">
        <v>311</v>
      </c>
      <c r="BR55" t="s">
        <v>311</v>
      </c>
      <c r="BS55" t="s">
        <v>311</v>
      </c>
      <c r="BT55" t="s">
        <v>311</v>
      </c>
      <c r="BU55" t="s">
        <v>311</v>
      </c>
      <c r="BV55" t="s">
        <v>311</v>
      </c>
      <c r="BW55" t="s">
        <v>311</v>
      </c>
      <c r="BX55" t="s">
        <v>1127</v>
      </c>
      <c r="BY55" t="s">
        <v>1201</v>
      </c>
      <c r="BZ55">
        <v>1.4</v>
      </c>
      <c r="CA55">
        <v>25.725274725274684</v>
      </c>
      <c r="CB55" t="s">
        <v>1210</v>
      </c>
      <c r="CC55" t="s">
        <v>1210</v>
      </c>
      <c r="CD55" t="s">
        <v>1244</v>
      </c>
      <c r="CE55" t="s">
        <v>1243</v>
      </c>
      <c r="CF55">
        <v>0</v>
      </c>
      <c r="CG55" t="s">
        <v>1240</v>
      </c>
      <c r="CH55">
        <v>1994</v>
      </c>
      <c r="CI55">
        <v>700</v>
      </c>
      <c r="CJ55" s="38">
        <v>5.32</v>
      </c>
      <c r="CK55" s="38">
        <v>0.53</v>
      </c>
      <c r="CL55" s="38" t="s">
        <v>311</v>
      </c>
      <c r="CM55" s="38" t="s">
        <v>311</v>
      </c>
      <c r="CN55" s="38" t="s">
        <v>311</v>
      </c>
      <c r="CO55" s="38" t="s">
        <v>311</v>
      </c>
      <c r="CP55" s="38" t="s">
        <v>311</v>
      </c>
      <c r="CQ55" t="s">
        <v>1694</v>
      </c>
      <c r="CR55" t="s">
        <v>1067</v>
      </c>
    </row>
    <row r="56" spans="1:96">
      <c r="A56">
        <v>55</v>
      </c>
      <c r="B56">
        <v>10</v>
      </c>
      <c r="C56">
        <v>5</v>
      </c>
      <c r="D56" t="s">
        <v>65</v>
      </c>
      <c r="E56" t="s">
        <v>66</v>
      </c>
      <c r="F56" t="s">
        <v>67</v>
      </c>
      <c r="G56">
        <v>2015</v>
      </c>
      <c r="H56" t="s">
        <v>1241</v>
      </c>
      <c r="I56" t="s">
        <v>1242</v>
      </c>
      <c r="J56">
        <v>24.992000000000001</v>
      </c>
      <c r="K56">
        <v>-80.408000000000001</v>
      </c>
      <c r="L56" t="s">
        <v>361</v>
      </c>
      <c r="M56" t="s">
        <v>360</v>
      </c>
      <c r="N56" t="s">
        <v>531</v>
      </c>
      <c r="O56" t="s">
        <v>532</v>
      </c>
      <c r="P56" t="s">
        <v>693</v>
      </c>
      <c r="Q56" t="s">
        <v>419</v>
      </c>
      <c r="R56" t="s">
        <v>545</v>
      </c>
      <c r="S56" t="s">
        <v>717</v>
      </c>
      <c r="T56" t="s">
        <v>331</v>
      </c>
      <c r="U56">
        <v>1</v>
      </c>
      <c r="V56" t="s">
        <v>535</v>
      </c>
      <c r="W56">
        <v>2013</v>
      </c>
      <c r="X56" t="s">
        <v>309</v>
      </c>
      <c r="Y56" t="s">
        <v>546</v>
      </c>
      <c r="Z56" t="s">
        <v>302</v>
      </c>
      <c r="AA56" t="s">
        <v>303</v>
      </c>
      <c r="AB56" t="s">
        <v>311</v>
      </c>
      <c r="AC56" t="s">
        <v>311</v>
      </c>
      <c r="AD56" t="s">
        <v>340</v>
      </c>
      <c r="AE56" t="s">
        <v>311</v>
      </c>
      <c r="AF56" t="s">
        <v>660</v>
      </c>
      <c r="AG56" t="s">
        <v>1903</v>
      </c>
      <c r="AH56" t="s">
        <v>591</v>
      </c>
      <c r="AI56" t="s">
        <v>311</v>
      </c>
      <c r="AJ56" t="s">
        <v>311</v>
      </c>
      <c r="AK56" t="s">
        <v>317</v>
      </c>
      <c r="AL56" t="s">
        <v>357</v>
      </c>
      <c r="AM56" t="s">
        <v>1059</v>
      </c>
      <c r="AN56" t="s">
        <v>584</v>
      </c>
      <c r="AO56" t="s">
        <v>948</v>
      </c>
      <c r="AP56" t="s">
        <v>887</v>
      </c>
      <c r="AQ56" t="s">
        <v>887</v>
      </c>
      <c r="AR56">
        <v>22.0833333333333</v>
      </c>
      <c r="AS56">
        <v>2.0833333333333002</v>
      </c>
      <c r="AT56" t="s">
        <v>311</v>
      </c>
      <c r="AU56">
        <v>10</v>
      </c>
      <c r="AV56">
        <v>13.1944444444444</v>
      </c>
      <c r="AW56">
        <v>2.3611111111111001</v>
      </c>
      <c r="AX56" t="s">
        <v>311</v>
      </c>
      <c r="AY56">
        <v>10</v>
      </c>
      <c r="AZ56" t="s">
        <v>1677</v>
      </c>
      <c r="BA56" t="s">
        <v>1680</v>
      </c>
      <c r="BB56">
        <v>0</v>
      </c>
      <c r="BC56" t="s">
        <v>1672</v>
      </c>
      <c r="BD56" t="s">
        <v>311</v>
      </c>
      <c r="BE56" t="s">
        <v>1880</v>
      </c>
      <c r="BF56">
        <v>50.07</v>
      </c>
      <c r="BG56">
        <v>9.43</v>
      </c>
      <c r="BH56">
        <v>5.72</v>
      </c>
      <c r="BI56">
        <v>0.72</v>
      </c>
      <c r="BJ56" t="s">
        <v>311</v>
      </c>
      <c r="BK56" t="s">
        <v>311</v>
      </c>
      <c r="BL56" t="s">
        <v>311</v>
      </c>
      <c r="BM56" t="s">
        <v>311</v>
      </c>
      <c r="BN56">
        <v>18</v>
      </c>
      <c r="BO56">
        <v>18</v>
      </c>
      <c r="BP56" t="s">
        <v>311</v>
      </c>
      <c r="BQ56" t="s">
        <v>311</v>
      </c>
      <c r="BR56" t="s">
        <v>311</v>
      </c>
      <c r="BS56" t="s">
        <v>311</v>
      </c>
      <c r="BT56" t="s">
        <v>311</v>
      </c>
      <c r="BU56" t="s">
        <v>311</v>
      </c>
      <c r="BV56" t="s">
        <v>311</v>
      </c>
      <c r="BW56" t="s">
        <v>311</v>
      </c>
      <c r="BX56" t="s">
        <v>1127</v>
      </c>
      <c r="BY56" t="s">
        <v>1201</v>
      </c>
      <c r="BZ56">
        <v>1.4</v>
      </c>
      <c r="CA56">
        <v>25.725274725274684</v>
      </c>
      <c r="CB56" t="s">
        <v>1210</v>
      </c>
      <c r="CC56" t="s">
        <v>1210</v>
      </c>
      <c r="CD56" t="s">
        <v>1244</v>
      </c>
      <c r="CE56" t="s">
        <v>1243</v>
      </c>
      <c r="CF56">
        <v>0</v>
      </c>
      <c r="CG56" t="s">
        <v>1240</v>
      </c>
      <c r="CH56">
        <v>1994</v>
      </c>
      <c r="CI56">
        <v>700</v>
      </c>
      <c r="CJ56" s="38">
        <v>5.32</v>
      </c>
      <c r="CK56" s="38">
        <v>0.53</v>
      </c>
      <c r="CL56" s="38" t="s">
        <v>311</v>
      </c>
      <c r="CM56" s="38" t="s">
        <v>311</v>
      </c>
      <c r="CN56" s="38" t="s">
        <v>311</v>
      </c>
      <c r="CO56" s="38" t="s">
        <v>311</v>
      </c>
      <c r="CP56" s="38" t="s">
        <v>311</v>
      </c>
      <c r="CQ56" t="s">
        <v>1694</v>
      </c>
      <c r="CR56" t="s">
        <v>1064</v>
      </c>
    </row>
    <row r="57" spans="1:96">
      <c r="A57">
        <v>56</v>
      </c>
      <c r="B57">
        <v>10</v>
      </c>
      <c r="C57">
        <v>6</v>
      </c>
      <c r="D57" t="s">
        <v>65</v>
      </c>
      <c r="E57" t="s">
        <v>66</v>
      </c>
      <c r="F57" t="s">
        <v>67</v>
      </c>
      <c r="G57">
        <v>2015</v>
      </c>
      <c r="H57" t="s">
        <v>1241</v>
      </c>
      <c r="I57" t="s">
        <v>1242</v>
      </c>
      <c r="J57">
        <v>24.992000000000001</v>
      </c>
      <c r="K57">
        <v>-80.408000000000001</v>
      </c>
      <c r="L57" t="s">
        <v>361</v>
      </c>
      <c r="M57" t="s">
        <v>360</v>
      </c>
      <c r="N57" t="s">
        <v>531</v>
      </c>
      <c r="O57" t="s">
        <v>532</v>
      </c>
      <c r="P57" t="s">
        <v>693</v>
      </c>
      <c r="Q57" t="s">
        <v>419</v>
      </c>
      <c r="R57" t="s">
        <v>545</v>
      </c>
      <c r="S57" t="s">
        <v>717</v>
      </c>
      <c r="T57" t="s">
        <v>331</v>
      </c>
      <c r="U57">
        <v>1</v>
      </c>
      <c r="V57" t="s">
        <v>535</v>
      </c>
      <c r="W57">
        <v>2013</v>
      </c>
      <c r="X57" t="s">
        <v>309</v>
      </c>
      <c r="Y57" t="s">
        <v>546</v>
      </c>
      <c r="Z57" t="s">
        <v>302</v>
      </c>
      <c r="AA57" t="s">
        <v>303</v>
      </c>
      <c r="AB57" t="s">
        <v>311</v>
      </c>
      <c r="AC57" t="s">
        <v>311</v>
      </c>
      <c r="AD57" t="s">
        <v>340</v>
      </c>
      <c r="AE57" t="s">
        <v>311</v>
      </c>
      <c r="AF57" t="s">
        <v>567</v>
      </c>
      <c r="AG57" t="s">
        <v>1902</v>
      </c>
      <c r="AH57" t="s">
        <v>311</v>
      </c>
      <c r="AI57" t="s">
        <v>311</v>
      </c>
      <c r="AJ57" t="s">
        <v>311</v>
      </c>
      <c r="AK57" t="s">
        <v>317</v>
      </c>
      <c r="AL57" t="s">
        <v>357</v>
      </c>
      <c r="AM57" t="s">
        <v>1059</v>
      </c>
      <c r="AN57" t="s">
        <v>584</v>
      </c>
      <c r="AO57" t="s">
        <v>948</v>
      </c>
      <c r="AP57" t="s">
        <v>887</v>
      </c>
      <c r="AQ57" t="s">
        <v>887</v>
      </c>
      <c r="AR57">
        <v>16.5277777777777</v>
      </c>
      <c r="AS57">
        <v>1.5277777777777999</v>
      </c>
      <c r="AT57" t="s">
        <v>311</v>
      </c>
      <c r="AU57">
        <v>10</v>
      </c>
      <c r="AV57">
        <v>20</v>
      </c>
      <c r="AW57">
        <v>2.0833333333333002</v>
      </c>
      <c r="AX57" t="s">
        <v>311</v>
      </c>
      <c r="AY57">
        <v>10</v>
      </c>
      <c r="AZ57" t="s">
        <v>1677</v>
      </c>
      <c r="BA57" t="s">
        <v>1680</v>
      </c>
      <c r="BB57">
        <v>0</v>
      </c>
      <c r="BC57" t="s">
        <v>1672</v>
      </c>
      <c r="BD57" t="s">
        <v>311</v>
      </c>
      <c r="BE57" t="s">
        <v>1880</v>
      </c>
      <c r="BF57">
        <v>50.07</v>
      </c>
      <c r="BG57">
        <v>9.43</v>
      </c>
      <c r="BH57">
        <v>5.72</v>
      </c>
      <c r="BI57">
        <v>0.72</v>
      </c>
      <c r="BJ57" t="s">
        <v>311</v>
      </c>
      <c r="BK57" t="s">
        <v>311</v>
      </c>
      <c r="BL57" t="s">
        <v>311</v>
      </c>
      <c r="BM57" t="s">
        <v>311</v>
      </c>
      <c r="BN57">
        <v>18</v>
      </c>
      <c r="BO57">
        <v>18</v>
      </c>
      <c r="BP57" t="s">
        <v>311</v>
      </c>
      <c r="BQ57" t="s">
        <v>311</v>
      </c>
      <c r="BR57" t="s">
        <v>311</v>
      </c>
      <c r="BS57" t="s">
        <v>311</v>
      </c>
      <c r="BT57" t="s">
        <v>311</v>
      </c>
      <c r="BU57" t="s">
        <v>311</v>
      </c>
      <c r="BV57" t="s">
        <v>311</v>
      </c>
      <c r="BW57" t="s">
        <v>311</v>
      </c>
      <c r="BX57" t="s">
        <v>1127</v>
      </c>
      <c r="BY57" t="s">
        <v>1201</v>
      </c>
      <c r="BZ57">
        <v>1.4</v>
      </c>
      <c r="CA57">
        <v>25.725274725274684</v>
      </c>
      <c r="CB57" t="s">
        <v>1210</v>
      </c>
      <c r="CC57" t="s">
        <v>1210</v>
      </c>
      <c r="CD57" t="s">
        <v>1244</v>
      </c>
      <c r="CE57" t="s">
        <v>1243</v>
      </c>
      <c r="CF57">
        <v>0</v>
      </c>
      <c r="CG57" t="s">
        <v>1240</v>
      </c>
      <c r="CH57">
        <v>1994</v>
      </c>
      <c r="CI57">
        <v>700</v>
      </c>
      <c r="CJ57" s="38">
        <v>5.32</v>
      </c>
      <c r="CK57" s="38">
        <v>0.53</v>
      </c>
      <c r="CL57" s="38" t="s">
        <v>311</v>
      </c>
      <c r="CM57" s="38" t="s">
        <v>311</v>
      </c>
      <c r="CN57" s="38" t="s">
        <v>311</v>
      </c>
      <c r="CO57" s="38" t="s">
        <v>311</v>
      </c>
      <c r="CP57" s="38" t="s">
        <v>311</v>
      </c>
      <c r="CQ57" t="s">
        <v>1694</v>
      </c>
      <c r="CR57" t="s">
        <v>1063</v>
      </c>
    </row>
    <row r="58" spans="1:96">
      <c r="A58">
        <v>57</v>
      </c>
      <c r="B58">
        <v>10</v>
      </c>
      <c r="C58">
        <v>7</v>
      </c>
      <c r="D58" t="s">
        <v>65</v>
      </c>
      <c r="E58" t="s">
        <v>66</v>
      </c>
      <c r="F58" t="s">
        <v>67</v>
      </c>
      <c r="G58">
        <v>2015</v>
      </c>
      <c r="H58" t="s">
        <v>1241</v>
      </c>
      <c r="I58" t="s">
        <v>1242</v>
      </c>
      <c r="J58">
        <v>24.992000000000001</v>
      </c>
      <c r="K58">
        <v>-80.408000000000001</v>
      </c>
      <c r="L58" t="s">
        <v>361</v>
      </c>
      <c r="M58" t="s">
        <v>360</v>
      </c>
      <c r="N58" t="s">
        <v>531</v>
      </c>
      <c r="O58" t="s">
        <v>532</v>
      </c>
      <c r="P58" t="s">
        <v>693</v>
      </c>
      <c r="Q58" t="s">
        <v>419</v>
      </c>
      <c r="R58" t="s">
        <v>545</v>
      </c>
      <c r="S58" t="s">
        <v>717</v>
      </c>
      <c r="T58" t="s">
        <v>331</v>
      </c>
      <c r="U58">
        <v>1</v>
      </c>
      <c r="V58" t="s">
        <v>535</v>
      </c>
      <c r="W58">
        <v>2013</v>
      </c>
      <c r="X58" t="s">
        <v>309</v>
      </c>
      <c r="Y58" t="s">
        <v>546</v>
      </c>
      <c r="Z58" t="s">
        <v>302</v>
      </c>
      <c r="AA58" t="s">
        <v>303</v>
      </c>
      <c r="AB58" t="s">
        <v>311</v>
      </c>
      <c r="AC58" t="s">
        <v>311</v>
      </c>
      <c r="AD58" t="s">
        <v>340</v>
      </c>
      <c r="AE58" t="s">
        <v>311</v>
      </c>
      <c r="AF58" t="s">
        <v>304</v>
      </c>
      <c r="AH58" t="s">
        <v>305</v>
      </c>
      <c r="AI58" t="s">
        <v>311</v>
      </c>
      <c r="AJ58" t="s">
        <v>311</v>
      </c>
      <c r="AK58" t="s">
        <v>317</v>
      </c>
      <c r="AL58" t="s">
        <v>357</v>
      </c>
      <c r="AM58" t="s">
        <v>1059</v>
      </c>
      <c r="AN58" t="s">
        <v>583</v>
      </c>
      <c r="AO58" t="s">
        <v>948</v>
      </c>
      <c r="AP58" t="s">
        <v>887</v>
      </c>
      <c r="AQ58" t="s">
        <v>887</v>
      </c>
      <c r="AR58">
        <v>4.5370370370370301</v>
      </c>
      <c r="AS58">
        <v>1.6666666666666696</v>
      </c>
      <c r="AT58" t="s">
        <v>311</v>
      </c>
      <c r="AU58">
        <v>10</v>
      </c>
      <c r="AV58">
        <v>3.6111111111111001</v>
      </c>
      <c r="AW58">
        <v>1.5740740740740797</v>
      </c>
      <c r="AX58" t="s">
        <v>311</v>
      </c>
      <c r="AY58">
        <v>10</v>
      </c>
      <c r="AZ58" t="s">
        <v>1677</v>
      </c>
      <c r="BA58" t="s">
        <v>1680</v>
      </c>
      <c r="BB58">
        <v>0</v>
      </c>
      <c r="BC58" t="s">
        <v>1672</v>
      </c>
      <c r="BD58" t="s">
        <v>311</v>
      </c>
      <c r="BE58" t="s">
        <v>1880</v>
      </c>
      <c r="BF58">
        <v>50.07</v>
      </c>
      <c r="BG58">
        <v>9.43</v>
      </c>
      <c r="BH58">
        <v>5.72</v>
      </c>
      <c r="BI58">
        <v>0.72</v>
      </c>
      <c r="BJ58" t="s">
        <v>311</v>
      </c>
      <c r="BK58" t="s">
        <v>311</v>
      </c>
      <c r="BL58" t="s">
        <v>311</v>
      </c>
      <c r="BM58" t="s">
        <v>311</v>
      </c>
      <c r="BN58">
        <v>18</v>
      </c>
      <c r="BO58">
        <v>18</v>
      </c>
      <c r="BP58" t="s">
        <v>311</v>
      </c>
      <c r="BQ58" t="s">
        <v>311</v>
      </c>
      <c r="BR58" t="s">
        <v>311</v>
      </c>
      <c r="BS58" t="s">
        <v>311</v>
      </c>
      <c r="BT58" t="s">
        <v>311</v>
      </c>
      <c r="BU58" t="s">
        <v>311</v>
      </c>
      <c r="BV58" t="s">
        <v>311</v>
      </c>
      <c r="BW58" t="s">
        <v>311</v>
      </c>
      <c r="BX58" t="s">
        <v>1127</v>
      </c>
      <c r="BY58" t="s">
        <v>1201</v>
      </c>
      <c r="BZ58">
        <v>1.4</v>
      </c>
      <c r="CA58">
        <v>25.725274725274684</v>
      </c>
      <c r="CB58" t="s">
        <v>1210</v>
      </c>
      <c r="CC58" t="s">
        <v>1210</v>
      </c>
      <c r="CD58" t="s">
        <v>1244</v>
      </c>
      <c r="CE58" t="s">
        <v>1243</v>
      </c>
      <c r="CF58">
        <v>0</v>
      </c>
      <c r="CG58" t="s">
        <v>1240</v>
      </c>
      <c r="CH58">
        <v>1994</v>
      </c>
      <c r="CI58">
        <v>700</v>
      </c>
      <c r="CJ58" s="38">
        <v>5.32</v>
      </c>
      <c r="CK58" s="38">
        <v>0.53</v>
      </c>
      <c r="CL58" s="38" t="s">
        <v>311</v>
      </c>
      <c r="CM58" s="38" t="s">
        <v>311</v>
      </c>
      <c r="CN58" s="38" t="s">
        <v>311</v>
      </c>
      <c r="CO58" s="38" t="s">
        <v>311</v>
      </c>
      <c r="CP58" s="38" t="s">
        <v>311</v>
      </c>
      <c r="CQ58" t="s">
        <v>1694</v>
      </c>
      <c r="CR58" t="s">
        <v>1068</v>
      </c>
    </row>
    <row r="59" spans="1:96">
      <c r="A59">
        <v>58</v>
      </c>
      <c r="B59">
        <v>10</v>
      </c>
      <c r="C59">
        <v>8</v>
      </c>
      <c r="D59" t="s">
        <v>65</v>
      </c>
      <c r="E59" t="s">
        <v>66</v>
      </c>
      <c r="F59" t="s">
        <v>67</v>
      </c>
      <c r="G59">
        <v>2015</v>
      </c>
      <c r="H59" t="s">
        <v>1241</v>
      </c>
      <c r="I59" t="s">
        <v>1242</v>
      </c>
      <c r="J59">
        <v>24.992000000000001</v>
      </c>
      <c r="K59">
        <v>-80.408000000000001</v>
      </c>
      <c r="L59" t="s">
        <v>361</v>
      </c>
      <c r="M59" t="s">
        <v>360</v>
      </c>
      <c r="N59" t="s">
        <v>531</v>
      </c>
      <c r="O59" t="s">
        <v>532</v>
      </c>
      <c r="P59" t="s">
        <v>693</v>
      </c>
      <c r="Q59" t="s">
        <v>419</v>
      </c>
      <c r="R59" t="s">
        <v>545</v>
      </c>
      <c r="S59" t="s">
        <v>717</v>
      </c>
      <c r="T59" t="s">
        <v>331</v>
      </c>
      <c r="U59">
        <v>1</v>
      </c>
      <c r="V59" t="s">
        <v>535</v>
      </c>
      <c r="W59">
        <v>2013</v>
      </c>
      <c r="X59" t="s">
        <v>309</v>
      </c>
      <c r="Y59" t="s">
        <v>546</v>
      </c>
      <c r="Z59" t="s">
        <v>302</v>
      </c>
      <c r="AA59" t="s">
        <v>303</v>
      </c>
      <c r="AB59" t="s">
        <v>311</v>
      </c>
      <c r="AC59" t="s">
        <v>311</v>
      </c>
      <c r="AD59" t="s">
        <v>340</v>
      </c>
      <c r="AE59" t="s">
        <v>311</v>
      </c>
      <c r="AF59" t="s">
        <v>304</v>
      </c>
      <c r="AH59" t="s">
        <v>305</v>
      </c>
      <c r="AI59" t="s">
        <v>311</v>
      </c>
      <c r="AJ59" t="s">
        <v>311</v>
      </c>
      <c r="AK59" t="s">
        <v>317</v>
      </c>
      <c r="AL59" t="s">
        <v>357</v>
      </c>
      <c r="AM59" t="s">
        <v>1059</v>
      </c>
      <c r="AN59" t="s">
        <v>583</v>
      </c>
      <c r="AO59" t="s">
        <v>948</v>
      </c>
      <c r="AP59" t="s">
        <v>887</v>
      </c>
      <c r="AQ59" t="s">
        <v>887</v>
      </c>
      <c r="AR59">
        <v>1.4678899082568699</v>
      </c>
      <c r="AS59">
        <v>0.41284403669725012</v>
      </c>
      <c r="AT59" t="s">
        <v>311</v>
      </c>
      <c r="AU59">
        <v>10</v>
      </c>
      <c r="AV59">
        <v>2.4770642201834798</v>
      </c>
      <c r="AW59">
        <v>0.87155963302752015</v>
      </c>
      <c r="AX59" t="s">
        <v>311</v>
      </c>
      <c r="AY59">
        <v>10</v>
      </c>
      <c r="AZ59" t="s">
        <v>1677</v>
      </c>
      <c r="BA59" t="s">
        <v>1680</v>
      </c>
      <c r="BB59">
        <v>0</v>
      </c>
      <c r="BC59" t="s">
        <v>1672</v>
      </c>
      <c r="BD59" t="s">
        <v>311</v>
      </c>
      <c r="BE59" t="s">
        <v>1880</v>
      </c>
      <c r="BF59">
        <v>50.07</v>
      </c>
      <c r="BG59">
        <v>9.43</v>
      </c>
      <c r="BH59">
        <v>5.72</v>
      </c>
      <c r="BI59">
        <v>0.72</v>
      </c>
      <c r="BJ59" t="s">
        <v>311</v>
      </c>
      <c r="BK59" t="s">
        <v>311</v>
      </c>
      <c r="BL59" t="s">
        <v>311</v>
      </c>
      <c r="BM59" t="s">
        <v>311</v>
      </c>
      <c r="BN59">
        <v>18</v>
      </c>
      <c r="BO59">
        <v>18</v>
      </c>
      <c r="BP59" t="s">
        <v>311</v>
      </c>
      <c r="BQ59" t="s">
        <v>311</v>
      </c>
      <c r="BR59" t="s">
        <v>311</v>
      </c>
      <c r="BS59" t="s">
        <v>311</v>
      </c>
      <c r="BT59" t="s">
        <v>311</v>
      </c>
      <c r="BU59" t="s">
        <v>311</v>
      </c>
      <c r="BV59" t="s">
        <v>311</v>
      </c>
      <c r="BW59" t="s">
        <v>311</v>
      </c>
      <c r="BX59" t="s">
        <v>1127</v>
      </c>
      <c r="BY59" t="s">
        <v>1201</v>
      </c>
      <c r="BZ59">
        <v>1.4</v>
      </c>
      <c r="CA59">
        <v>25.725274725274684</v>
      </c>
      <c r="CB59" t="s">
        <v>1210</v>
      </c>
      <c r="CC59" t="s">
        <v>1210</v>
      </c>
      <c r="CD59" t="s">
        <v>1244</v>
      </c>
      <c r="CE59" t="s">
        <v>1243</v>
      </c>
      <c r="CF59">
        <v>0</v>
      </c>
      <c r="CG59" t="s">
        <v>1240</v>
      </c>
      <c r="CH59">
        <v>1994</v>
      </c>
      <c r="CI59">
        <v>700</v>
      </c>
      <c r="CJ59" s="38">
        <v>5.32</v>
      </c>
      <c r="CK59" s="38">
        <v>0.53</v>
      </c>
      <c r="CL59" s="38" t="s">
        <v>311</v>
      </c>
      <c r="CM59" s="38" t="s">
        <v>311</v>
      </c>
      <c r="CN59" s="38" t="s">
        <v>311</v>
      </c>
      <c r="CO59" s="38" t="s">
        <v>311</v>
      </c>
      <c r="CP59" s="38" t="s">
        <v>311</v>
      </c>
      <c r="CQ59" t="s">
        <v>1694</v>
      </c>
      <c r="CR59" t="s">
        <v>1069</v>
      </c>
    </row>
    <row r="60" spans="1:96">
      <c r="A60">
        <v>59</v>
      </c>
      <c r="B60">
        <v>11</v>
      </c>
      <c r="C60">
        <v>1</v>
      </c>
      <c r="D60" t="s">
        <v>71</v>
      </c>
      <c r="E60" t="s">
        <v>72</v>
      </c>
      <c r="F60" t="s">
        <v>70</v>
      </c>
      <c r="G60">
        <v>2015</v>
      </c>
      <c r="H60" t="s">
        <v>1053</v>
      </c>
      <c r="I60" t="s">
        <v>1054</v>
      </c>
      <c r="J60">
        <v>26.453797000000002</v>
      </c>
      <c r="K60">
        <v>-76.981275999999994</v>
      </c>
      <c r="L60" t="s">
        <v>358</v>
      </c>
      <c r="M60" t="s">
        <v>377</v>
      </c>
      <c r="N60" t="s">
        <v>531</v>
      </c>
      <c r="O60" t="s">
        <v>532</v>
      </c>
      <c r="P60" t="s">
        <v>693</v>
      </c>
      <c r="Q60" t="s">
        <v>419</v>
      </c>
      <c r="R60" t="s">
        <v>328</v>
      </c>
      <c r="S60" t="s">
        <v>717</v>
      </c>
      <c r="T60" t="s">
        <v>331</v>
      </c>
      <c r="U60">
        <v>1</v>
      </c>
      <c r="V60" t="s">
        <v>535</v>
      </c>
      <c r="W60">
        <v>2013</v>
      </c>
      <c r="X60" t="s">
        <v>292</v>
      </c>
      <c r="Y60" t="s">
        <v>608</v>
      </c>
      <c r="Z60" t="s">
        <v>1057</v>
      </c>
      <c r="AA60" t="s">
        <v>610</v>
      </c>
      <c r="AB60" t="s">
        <v>611</v>
      </c>
      <c r="AC60" t="s">
        <v>612</v>
      </c>
      <c r="AD60" t="s">
        <v>292</v>
      </c>
      <c r="AE60" t="s">
        <v>607</v>
      </c>
      <c r="AF60" t="s">
        <v>552</v>
      </c>
      <c r="AH60" t="s">
        <v>555</v>
      </c>
      <c r="AI60" t="s">
        <v>553</v>
      </c>
      <c r="AJ60" t="s">
        <v>554</v>
      </c>
      <c r="AK60" t="s">
        <v>549</v>
      </c>
      <c r="AL60" t="s">
        <v>357</v>
      </c>
      <c r="AM60" t="s">
        <v>1059</v>
      </c>
      <c r="AN60" t="s">
        <v>1277</v>
      </c>
      <c r="AO60" t="s">
        <v>606</v>
      </c>
      <c r="AP60" t="s">
        <v>614</v>
      </c>
      <c r="AQ60" t="s">
        <v>887</v>
      </c>
      <c r="AR60">
        <v>0.68384279475982501</v>
      </c>
      <c r="AS60">
        <v>0.26724890829694303</v>
      </c>
      <c r="AT60" t="s">
        <v>311</v>
      </c>
      <c r="AU60">
        <v>25</v>
      </c>
      <c r="AV60">
        <v>0.49257641921397299</v>
      </c>
      <c r="AW60">
        <v>0.21746724890829705</v>
      </c>
      <c r="AX60" t="s">
        <v>311</v>
      </c>
      <c r="AY60">
        <v>25</v>
      </c>
      <c r="AZ60" t="s">
        <v>1055</v>
      </c>
      <c r="BA60" t="s">
        <v>1679</v>
      </c>
      <c r="BB60">
        <v>14</v>
      </c>
      <c r="BC60" t="s">
        <v>1672</v>
      </c>
      <c r="BD60" t="s">
        <v>311</v>
      </c>
      <c r="BE60" t="s">
        <v>1880</v>
      </c>
      <c r="BF60">
        <v>325.2</v>
      </c>
      <c r="BG60">
        <v>113</v>
      </c>
      <c r="BH60">
        <v>0</v>
      </c>
      <c r="BI60">
        <v>0</v>
      </c>
      <c r="BJ60">
        <v>0</v>
      </c>
      <c r="BK60">
        <v>0</v>
      </c>
      <c r="BL60">
        <v>0</v>
      </c>
      <c r="BM60">
        <v>0</v>
      </c>
      <c r="BN60">
        <v>4</v>
      </c>
      <c r="BO60">
        <v>4</v>
      </c>
      <c r="BP60" t="s">
        <v>311</v>
      </c>
      <c r="BQ60" t="s">
        <v>311</v>
      </c>
      <c r="BR60" t="s">
        <v>311</v>
      </c>
      <c r="BS60" t="s">
        <v>311</v>
      </c>
      <c r="BT60" t="s">
        <v>311</v>
      </c>
      <c r="BU60" t="s">
        <v>311</v>
      </c>
      <c r="BV60" t="s">
        <v>311</v>
      </c>
      <c r="BW60" t="s">
        <v>311</v>
      </c>
      <c r="BX60" t="s">
        <v>764</v>
      </c>
      <c r="BY60" t="s">
        <v>1207</v>
      </c>
      <c r="BZ60">
        <v>3.4000000000000002E-2</v>
      </c>
      <c r="CA60">
        <v>27.2</v>
      </c>
      <c r="CB60" t="s">
        <v>1209</v>
      </c>
      <c r="CC60" t="s">
        <v>1210</v>
      </c>
      <c r="CD60" t="s">
        <v>311</v>
      </c>
      <c r="CE60" t="s">
        <v>311</v>
      </c>
      <c r="CF60" t="s">
        <v>311</v>
      </c>
      <c r="CG60" t="s">
        <v>1236</v>
      </c>
      <c r="CH60">
        <v>2008</v>
      </c>
      <c r="CI60">
        <v>0</v>
      </c>
      <c r="CJ60" s="38">
        <v>21</v>
      </c>
      <c r="CK60" s="38">
        <v>0.03</v>
      </c>
      <c r="CL60" s="38" t="s">
        <v>311</v>
      </c>
      <c r="CM60" s="38" t="s">
        <v>311</v>
      </c>
      <c r="CN60" s="38" t="s">
        <v>311</v>
      </c>
      <c r="CO60" s="38" t="s">
        <v>311</v>
      </c>
      <c r="CP60" s="38">
        <v>9.68E-4</v>
      </c>
      <c r="CQ60" t="s">
        <v>1695</v>
      </c>
      <c r="CR60" t="s">
        <v>1897</v>
      </c>
    </row>
    <row r="61" spans="1:96">
      <c r="A61">
        <v>60</v>
      </c>
      <c r="B61">
        <v>12</v>
      </c>
      <c r="C61">
        <v>1</v>
      </c>
      <c r="D61" t="s">
        <v>73</v>
      </c>
      <c r="E61" t="s">
        <v>74</v>
      </c>
      <c r="F61" t="s">
        <v>75</v>
      </c>
      <c r="G61">
        <v>2014</v>
      </c>
      <c r="H61" t="s">
        <v>435</v>
      </c>
      <c r="I61" t="s">
        <v>436</v>
      </c>
      <c r="J61">
        <v>-23.5</v>
      </c>
      <c r="K61">
        <v>152.1</v>
      </c>
      <c r="L61" t="s">
        <v>370</v>
      </c>
      <c r="M61" t="s">
        <v>378</v>
      </c>
      <c r="N61" t="s">
        <v>594</v>
      </c>
      <c r="O61" t="s">
        <v>288</v>
      </c>
      <c r="P61" t="s">
        <v>289</v>
      </c>
      <c r="Q61" t="s">
        <v>291</v>
      </c>
      <c r="R61" t="s">
        <v>327</v>
      </c>
      <c r="S61" t="s">
        <v>717</v>
      </c>
      <c r="T61" t="s">
        <v>331</v>
      </c>
      <c r="U61">
        <v>2</v>
      </c>
      <c r="V61" t="s">
        <v>752</v>
      </c>
      <c r="W61">
        <v>2012</v>
      </c>
      <c r="X61" t="s">
        <v>292</v>
      </c>
      <c r="Y61" t="s">
        <v>696</v>
      </c>
      <c r="Z61" t="s">
        <v>302</v>
      </c>
      <c r="AA61" t="s">
        <v>303</v>
      </c>
      <c r="AB61" t="s">
        <v>770</v>
      </c>
      <c r="AC61" t="s">
        <v>771</v>
      </c>
      <c r="AD61" t="s">
        <v>292</v>
      </c>
      <c r="AE61" t="s">
        <v>657</v>
      </c>
      <c r="AF61" t="s">
        <v>304</v>
      </c>
      <c r="AH61" t="s">
        <v>305</v>
      </c>
      <c r="AI61" t="s">
        <v>655</v>
      </c>
      <c r="AJ61" t="s">
        <v>852</v>
      </c>
      <c r="AK61" t="s">
        <v>1124</v>
      </c>
      <c r="AL61" t="s">
        <v>357</v>
      </c>
      <c r="AM61" t="s">
        <v>1059</v>
      </c>
      <c r="AN61" t="s">
        <v>583</v>
      </c>
      <c r="AO61" t="s">
        <v>1286</v>
      </c>
      <c r="AP61" t="s">
        <v>614</v>
      </c>
      <c r="AQ61" t="s">
        <v>887</v>
      </c>
      <c r="AR61">
        <v>0.15052631578947301</v>
      </c>
      <c r="AS61">
        <v>2.6315789473683987E-2</v>
      </c>
      <c r="AT61" t="s">
        <v>311</v>
      </c>
      <c r="AU61">
        <v>8</v>
      </c>
      <c r="AV61">
        <v>0.30947368421052601</v>
      </c>
      <c r="AW61">
        <v>3.3684210526315983E-2</v>
      </c>
      <c r="AX61" t="s">
        <v>311</v>
      </c>
      <c r="AY61">
        <v>6</v>
      </c>
      <c r="AZ61" t="s">
        <v>1055</v>
      </c>
      <c r="BA61" t="s">
        <v>1679</v>
      </c>
      <c r="BB61">
        <v>14</v>
      </c>
      <c r="BC61" t="s">
        <v>1672</v>
      </c>
      <c r="BD61" t="s">
        <v>311</v>
      </c>
      <c r="BE61" t="s">
        <v>1880</v>
      </c>
      <c r="BF61" t="s">
        <v>311</v>
      </c>
      <c r="BG61" t="s">
        <v>311</v>
      </c>
      <c r="BH61" t="s">
        <v>311</v>
      </c>
      <c r="BI61" t="s">
        <v>311</v>
      </c>
      <c r="BJ61" t="s">
        <v>311</v>
      </c>
      <c r="BK61" t="s">
        <v>311</v>
      </c>
      <c r="BL61" t="s">
        <v>311</v>
      </c>
      <c r="BM61" t="s">
        <v>311</v>
      </c>
      <c r="BN61">
        <v>16</v>
      </c>
      <c r="BO61">
        <v>12</v>
      </c>
      <c r="BP61" t="s">
        <v>311</v>
      </c>
      <c r="BQ61" t="s">
        <v>311</v>
      </c>
      <c r="BR61" t="s">
        <v>311</v>
      </c>
      <c r="BS61" t="s">
        <v>311</v>
      </c>
      <c r="BT61">
        <v>9.2812725338587967</v>
      </c>
      <c r="BU61">
        <v>0.23186012866639322</v>
      </c>
      <c r="BV61">
        <v>8.8053098398147309</v>
      </c>
      <c r="BW61">
        <v>0.98468992915112941</v>
      </c>
      <c r="BX61" t="s">
        <v>1126</v>
      </c>
      <c r="BY61" t="s">
        <v>1203</v>
      </c>
      <c r="BZ61">
        <v>2.35</v>
      </c>
      <c r="CA61">
        <v>26</v>
      </c>
      <c r="CB61" t="s">
        <v>1210</v>
      </c>
      <c r="CC61" t="s">
        <v>1210</v>
      </c>
      <c r="CD61" t="s">
        <v>1246</v>
      </c>
      <c r="CE61">
        <v>2011</v>
      </c>
      <c r="CF61">
        <v>0</v>
      </c>
      <c r="CG61" t="s">
        <v>1246</v>
      </c>
      <c r="CH61">
        <v>2009</v>
      </c>
      <c r="CI61">
        <v>0</v>
      </c>
      <c r="CJ61" s="38" t="s">
        <v>311</v>
      </c>
      <c r="CK61" s="38" t="s">
        <v>311</v>
      </c>
      <c r="CL61" s="38" t="s">
        <v>311</v>
      </c>
      <c r="CM61" s="38" t="s">
        <v>311</v>
      </c>
      <c r="CN61" s="38" t="s">
        <v>311</v>
      </c>
      <c r="CO61" s="38" t="s">
        <v>311</v>
      </c>
      <c r="CP61" s="38" t="s">
        <v>311</v>
      </c>
      <c r="CQ61" t="s">
        <v>1696</v>
      </c>
      <c r="CR61" t="s">
        <v>1245</v>
      </c>
    </row>
    <row r="62" spans="1:96">
      <c r="A62">
        <v>61</v>
      </c>
      <c r="B62">
        <v>12</v>
      </c>
      <c r="C62">
        <v>2</v>
      </c>
      <c r="D62" t="s">
        <v>73</v>
      </c>
      <c r="E62" t="s">
        <v>74</v>
      </c>
      <c r="F62" t="s">
        <v>75</v>
      </c>
      <c r="G62">
        <v>2014</v>
      </c>
      <c r="H62" t="s">
        <v>435</v>
      </c>
      <c r="I62" t="s">
        <v>436</v>
      </c>
      <c r="J62">
        <v>-23.5</v>
      </c>
      <c r="K62">
        <v>152.1</v>
      </c>
      <c r="L62" t="s">
        <v>370</v>
      </c>
      <c r="M62" t="s">
        <v>378</v>
      </c>
      <c r="N62" t="s">
        <v>594</v>
      </c>
      <c r="O62" t="s">
        <v>288</v>
      </c>
      <c r="P62" t="s">
        <v>289</v>
      </c>
      <c r="Q62" t="s">
        <v>291</v>
      </c>
      <c r="R62" t="s">
        <v>327</v>
      </c>
      <c r="S62" t="s">
        <v>717</v>
      </c>
      <c r="T62" t="s">
        <v>331</v>
      </c>
      <c r="U62">
        <v>2</v>
      </c>
      <c r="V62" t="s">
        <v>752</v>
      </c>
      <c r="W62">
        <v>2012</v>
      </c>
      <c r="X62" t="s">
        <v>292</v>
      </c>
      <c r="Y62" t="s">
        <v>696</v>
      </c>
      <c r="Z62" t="s">
        <v>302</v>
      </c>
      <c r="AA62" t="s">
        <v>303</v>
      </c>
      <c r="AB62" t="s">
        <v>770</v>
      </c>
      <c r="AC62" t="s">
        <v>771</v>
      </c>
      <c r="AD62" t="s">
        <v>292</v>
      </c>
      <c r="AE62" t="s">
        <v>657</v>
      </c>
      <c r="AF62" t="s">
        <v>304</v>
      </c>
      <c r="AH62" t="s">
        <v>305</v>
      </c>
      <c r="AI62" t="s">
        <v>655</v>
      </c>
      <c r="AJ62" t="s">
        <v>852</v>
      </c>
      <c r="AK62" t="s">
        <v>1124</v>
      </c>
      <c r="AL62" t="s">
        <v>357</v>
      </c>
      <c r="AM62" t="s">
        <v>1059</v>
      </c>
      <c r="AN62" t="s">
        <v>583</v>
      </c>
      <c r="AO62" t="s">
        <v>1286</v>
      </c>
      <c r="AP62" t="s">
        <v>614</v>
      </c>
      <c r="AQ62" t="s">
        <v>887</v>
      </c>
      <c r="AR62">
        <v>0.15052631578947301</v>
      </c>
      <c r="AS62">
        <v>2.4210526315789987E-2</v>
      </c>
      <c r="AT62" t="s">
        <v>311</v>
      </c>
      <c r="AU62">
        <v>10</v>
      </c>
      <c r="AV62">
        <v>0.18105263157894699</v>
      </c>
      <c r="AW62">
        <v>7.052631578947402E-2</v>
      </c>
      <c r="AX62" t="s">
        <v>311</v>
      </c>
      <c r="AY62">
        <v>5</v>
      </c>
      <c r="AZ62" t="s">
        <v>1055</v>
      </c>
      <c r="BA62" t="s">
        <v>1679</v>
      </c>
      <c r="BB62">
        <v>14</v>
      </c>
      <c r="BC62" t="s">
        <v>1672</v>
      </c>
      <c r="BD62" t="s">
        <v>311</v>
      </c>
      <c r="BE62" t="s">
        <v>1880</v>
      </c>
      <c r="BF62" t="s">
        <v>311</v>
      </c>
      <c r="BG62" t="s">
        <v>311</v>
      </c>
      <c r="BH62" t="s">
        <v>311</v>
      </c>
      <c r="BI62" t="s">
        <v>311</v>
      </c>
      <c r="BJ62" t="s">
        <v>311</v>
      </c>
      <c r="BK62" t="s">
        <v>311</v>
      </c>
      <c r="BL62" t="s">
        <v>311</v>
      </c>
      <c r="BM62" t="s">
        <v>311</v>
      </c>
      <c r="BN62">
        <v>20</v>
      </c>
      <c r="BO62">
        <v>10</v>
      </c>
      <c r="BP62" t="s">
        <v>311</v>
      </c>
      <c r="BQ62" t="s">
        <v>311</v>
      </c>
      <c r="BR62" t="s">
        <v>311</v>
      </c>
      <c r="BS62" t="s">
        <v>311</v>
      </c>
      <c r="BT62">
        <v>7.4170853155195733</v>
      </c>
      <c r="BU62">
        <v>2.5241733641276961E-2</v>
      </c>
      <c r="BV62">
        <v>10.312525037620853</v>
      </c>
      <c r="BW62">
        <v>0.12542718287076227</v>
      </c>
      <c r="BX62" t="s">
        <v>1126</v>
      </c>
      <c r="BY62" t="s">
        <v>1203</v>
      </c>
      <c r="BZ62">
        <v>2.35</v>
      </c>
      <c r="CA62">
        <v>26</v>
      </c>
      <c r="CB62" t="s">
        <v>1210</v>
      </c>
      <c r="CC62" t="s">
        <v>1210</v>
      </c>
      <c r="CD62" t="s">
        <v>1246</v>
      </c>
      <c r="CE62">
        <v>2011</v>
      </c>
      <c r="CF62">
        <v>0</v>
      </c>
      <c r="CG62" t="s">
        <v>1246</v>
      </c>
      <c r="CH62">
        <v>2009</v>
      </c>
      <c r="CI62">
        <v>0</v>
      </c>
      <c r="CJ62" s="38" t="s">
        <v>311</v>
      </c>
      <c r="CK62" s="38" t="s">
        <v>311</v>
      </c>
      <c r="CL62" s="38" t="s">
        <v>311</v>
      </c>
      <c r="CM62" s="38" t="s">
        <v>311</v>
      </c>
      <c r="CN62" s="38" t="s">
        <v>311</v>
      </c>
      <c r="CO62" s="38" t="s">
        <v>311</v>
      </c>
      <c r="CP62" s="38" t="s">
        <v>311</v>
      </c>
      <c r="CQ62" t="s">
        <v>1696</v>
      </c>
      <c r="CR62" t="s">
        <v>1247</v>
      </c>
    </row>
    <row r="63" spans="1:96">
      <c r="A63">
        <v>62</v>
      </c>
      <c r="B63">
        <v>12</v>
      </c>
      <c r="C63">
        <v>3</v>
      </c>
      <c r="D63" t="s">
        <v>73</v>
      </c>
      <c r="E63" t="s">
        <v>74</v>
      </c>
      <c r="F63" t="s">
        <v>75</v>
      </c>
      <c r="G63">
        <v>2014</v>
      </c>
      <c r="H63" t="s">
        <v>435</v>
      </c>
      <c r="I63" t="s">
        <v>436</v>
      </c>
      <c r="J63">
        <v>-23.5</v>
      </c>
      <c r="K63">
        <v>152.1</v>
      </c>
      <c r="L63" t="s">
        <v>370</v>
      </c>
      <c r="M63" t="s">
        <v>378</v>
      </c>
      <c r="N63" t="s">
        <v>594</v>
      </c>
      <c r="O63" t="s">
        <v>288</v>
      </c>
      <c r="P63" t="s">
        <v>289</v>
      </c>
      <c r="Q63" t="s">
        <v>291</v>
      </c>
      <c r="R63" t="s">
        <v>327</v>
      </c>
      <c r="S63" t="s">
        <v>717</v>
      </c>
      <c r="T63" t="s">
        <v>331</v>
      </c>
      <c r="U63">
        <v>2</v>
      </c>
      <c r="V63" t="s">
        <v>752</v>
      </c>
      <c r="W63">
        <v>2012</v>
      </c>
      <c r="X63" t="s">
        <v>292</v>
      </c>
      <c r="Y63" t="s">
        <v>696</v>
      </c>
      <c r="Z63" t="s">
        <v>302</v>
      </c>
      <c r="AA63" t="s">
        <v>303</v>
      </c>
      <c r="AB63" t="s">
        <v>770</v>
      </c>
      <c r="AC63" t="s">
        <v>771</v>
      </c>
      <c r="AD63" t="s">
        <v>292</v>
      </c>
      <c r="AE63" t="s">
        <v>657</v>
      </c>
      <c r="AF63" t="s">
        <v>304</v>
      </c>
      <c r="AH63" t="s">
        <v>305</v>
      </c>
      <c r="AI63" t="s">
        <v>655</v>
      </c>
      <c r="AJ63" t="s">
        <v>852</v>
      </c>
      <c r="AK63" t="s">
        <v>1124</v>
      </c>
      <c r="AL63" t="s">
        <v>357</v>
      </c>
      <c r="AM63" t="s">
        <v>1059</v>
      </c>
      <c r="AN63" t="s">
        <v>583</v>
      </c>
      <c r="AO63" t="s">
        <v>1286</v>
      </c>
      <c r="AP63" t="s">
        <v>614</v>
      </c>
      <c r="AQ63" t="s">
        <v>887</v>
      </c>
      <c r="AR63">
        <v>0.24947368421052599</v>
      </c>
      <c r="AS63">
        <v>4.3157894736842034E-2</v>
      </c>
      <c r="AT63" t="s">
        <v>311</v>
      </c>
      <c r="AU63">
        <v>9</v>
      </c>
      <c r="AV63">
        <v>0.19052631578947299</v>
      </c>
      <c r="AW63">
        <v>4.0000000000000008E-2</v>
      </c>
      <c r="AX63" t="s">
        <v>311</v>
      </c>
      <c r="AY63">
        <v>5</v>
      </c>
      <c r="AZ63" t="s">
        <v>1055</v>
      </c>
      <c r="BA63" t="s">
        <v>1679</v>
      </c>
      <c r="BB63">
        <v>14</v>
      </c>
      <c r="BC63" t="s">
        <v>1672</v>
      </c>
      <c r="BD63" t="s">
        <v>311</v>
      </c>
      <c r="BE63" t="s">
        <v>1880</v>
      </c>
      <c r="BF63" t="s">
        <v>311</v>
      </c>
      <c r="BG63" t="s">
        <v>311</v>
      </c>
      <c r="BH63" t="s">
        <v>311</v>
      </c>
      <c r="BI63" t="s">
        <v>311</v>
      </c>
      <c r="BJ63" t="s">
        <v>311</v>
      </c>
      <c r="BK63" t="s">
        <v>311</v>
      </c>
      <c r="BL63" t="s">
        <v>311</v>
      </c>
      <c r="BM63" t="s">
        <v>311</v>
      </c>
      <c r="BN63">
        <v>18</v>
      </c>
      <c r="BO63">
        <v>10</v>
      </c>
      <c r="BP63" t="s">
        <v>311</v>
      </c>
      <c r="BQ63" t="s">
        <v>311</v>
      </c>
      <c r="BR63" t="s">
        <v>311</v>
      </c>
      <c r="BS63" t="s">
        <v>311</v>
      </c>
      <c r="BT63">
        <v>9.0829547446737635</v>
      </c>
      <c r="BU63">
        <v>0.10051579976010624</v>
      </c>
      <c r="BV63">
        <v>8.6069920506296977</v>
      </c>
      <c r="BW63">
        <v>0.38882426689932709</v>
      </c>
      <c r="BX63" t="s">
        <v>1126</v>
      </c>
      <c r="BY63" t="s">
        <v>1203</v>
      </c>
      <c r="BZ63">
        <v>2.35</v>
      </c>
      <c r="CA63">
        <v>26</v>
      </c>
      <c r="CB63" t="s">
        <v>1210</v>
      </c>
      <c r="CC63" t="s">
        <v>1210</v>
      </c>
      <c r="CD63" t="s">
        <v>1246</v>
      </c>
      <c r="CE63">
        <v>2011</v>
      </c>
      <c r="CF63">
        <v>0</v>
      </c>
      <c r="CG63" t="s">
        <v>1246</v>
      </c>
      <c r="CH63">
        <v>2009</v>
      </c>
      <c r="CI63">
        <v>0</v>
      </c>
      <c r="CJ63" s="38" t="s">
        <v>311</v>
      </c>
      <c r="CK63" s="38" t="s">
        <v>311</v>
      </c>
      <c r="CL63" s="38" t="s">
        <v>311</v>
      </c>
      <c r="CM63" s="38" t="s">
        <v>311</v>
      </c>
      <c r="CN63" s="38" t="s">
        <v>311</v>
      </c>
      <c r="CO63" s="38" t="s">
        <v>311</v>
      </c>
      <c r="CP63" s="38" t="s">
        <v>311</v>
      </c>
      <c r="CQ63" t="s">
        <v>1696</v>
      </c>
      <c r="CR63" t="s">
        <v>1248</v>
      </c>
    </row>
    <row r="64" spans="1:96">
      <c r="A64">
        <v>63</v>
      </c>
      <c r="B64">
        <v>12</v>
      </c>
      <c r="C64">
        <v>4</v>
      </c>
      <c r="D64" t="s">
        <v>73</v>
      </c>
      <c r="E64" t="s">
        <v>74</v>
      </c>
      <c r="F64" t="s">
        <v>75</v>
      </c>
      <c r="G64">
        <v>2014</v>
      </c>
      <c r="H64" t="s">
        <v>435</v>
      </c>
      <c r="I64" t="s">
        <v>436</v>
      </c>
      <c r="J64">
        <v>-23.5</v>
      </c>
      <c r="K64">
        <v>152.1</v>
      </c>
      <c r="L64" t="s">
        <v>370</v>
      </c>
      <c r="M64" t="s">
        <v>378</v>
      </c>
      <c r="N64" t="s">
        <v>594</v>
      </c>
      <c r="O64" t="s">
        <v>288</v>
      </c>
      <c r="P64" t="s">
        <v>289</v>
      </c>
      <c r="Q64" t="s">
        <v>291</v>
      </c>
      <c r="R64" t="s">
        <v>327</v>
      </c>
      <c r="S64" t="s">
        <v>717</v>
      </c>
      <c r="T64" t="s">
        <v>331</v>
      </c>
      <c r="U64">
        <v>2</v>
      </c>
      <c r="V64" t="s">
        <v>752</v>
      </c>
      <c r="W64">
        <v>2012</v>
      </c>
      <c r="X64" t="s">
        <v>292</v>
      </c>
      <c r="Y64" t="s">
        <v>696</v>
      </c>
      <c r="Z64" t="s">
        <v>302</v>
      </c>
      <c r="AA64" t="s">
        <v>303</v>
      </c>
      <c r="AB64" t="s">
        <v>770</v>
      </c>
      <c r="AC64" t="s">
        <v>771</v>
      </c>
      <c r="AD64" t="s">
        <v>292</v>
      </c>
      <c r="AE64" t="s">
        <v>657</v>
      </c>
      <c r="AF64" t="s">
        <v>304</v>
      </c>
      <c r="AH64" t="s">
        <v>305</v>
      </c>
      <c r="AI64" t="s">
        <v>655</v>
      </c>
      <c r="AJ64" t="s">
        <v>852</v>
      </c>
      <c r="AK64" t="s">
        <v>1124</v>
      </c>
      <c r="AL64" t="s">
        <v>357</v>
      </c>
      <c r="AM64" t="s">
        <v>1059</v>
      </c>
      <c r="AN64" t="s">
        <v>583</v>
      </c>
      <c r="AO64" t="s">
        <v>1286</v>
      </c>
      <c r="AP64" t="s">
        <v>614</v>
      </c>
      <c r="AQ64" t="s">
        <v>887</v>
      </c>
      <c r="AR64">
        <v>0.170526315789473</v>
      </c>
      <c r="AS64">
        <v>2.7368421052632014E-2</v>
      </c>
      <c r="AT64" t="s">
        <v>311</v>
      </c>
      <c r="AU64">
        <v>9</v>
      </c>
      <c r="AV64">
        <v>0.14105263157894701</v>
      </c>
      <c r="AW64">
        <v>4.4210526315788978E-2</v>
      </c>
      <c r="AX64" t="s">
        <v>311</v>
      </c>
      <c r="AY64">
        <v>4</v>
      </c>
      <c r="AZ64" t="s">
        <v>1055</v>
      </c>
      <c r="BA64" t="s">
        <v>1679</v>
      </c>
      <c r="BB64">
        <v>14</v>
      </c>
      <c r="BC64" t="s">
        <v>1672</v>
      </c>
      <c r="BD64" t="s">
        <v>311</v>
      </c>
      <c r="BE64" t="s">
        <v>1880</v>
      </c>
      <c r="BF64" t="s">
        <v>311</v>
      </c>
      <c r="BG64" t="s">
        <v>311</v>
      </c>
      <c r="BH64" t="s">
        <v>311</v>
      </c>
      <c r="BI64" t="s">
        <v>311</v>
      </c>
      <c r="BJ64" t="s">
        <v>311</v>
      </c>
      <c r="BK64" t="s">
        <v>311</v>
      </c>
      <c r="BL64" t="s">
        <v>311</v>
      </c>
      <c r="BM64" t="s">
        <v>311</v>
      </c>
      <c r="BN64">
        <v>18</v>
      </c>
      <c r="BO64">
        <v>8</v>
      </c>
      <c r="BP64" t="s">
        <v>311</v>
      </c>
      <c r="BQ64" t="s">
        <v>311</v>
      </c>
      <c r="BR64" t="s">
        <v>311</v>
      </c>
      <c r="BS64" t="s">
        <v>311</v>
      </c>
      <c r="BT64">
        <v>10.153870806272854</v>
      </c>
      <c r="BU64">
        <v>0.11568537702459038</v>
      </c>
      <c r="BV64">
        <v>9.2416089760217606</v>
      </c>
      <c r="BW64">
        <v>0.4347187460442084</v>
      </c>
      <c r="BX64" t="s">
        <v>1126</v>
      </c>
      <c r="BY64" t="s">
        <v>1203</v>
      </c>
      <c r="BZ64">
        <v>2.35</v>
      </c>
      <c r="CA64">
        <v>26</v>
      </c>
      <c r="CB64" t="s">
        <v>1210</v>
      </c>
      <c r="CC64" t="s">
        <v>1210</v>
      </c>
      <c r="CD64" t="s">
        <v>1246</v>
      </c>
      <c r="CE64">
        <v>2011</v>
      </c>
      <c r="CF64">
        <v>0</v>
      </c>
      <c r="CG64" t="s">
        <v>1246</v>
      </c>
      <c r="CH64">
        <v>2009</v>
      </c>
      <c r="CI64">
        <v>0</v>
      </c>
      <c r="CJ64" s="38" t="s">
        <v>311</v>
      </c>
      <c r="CK64" s="38" t="s">
        <v>311</v>
      </c>
      <c r="CL64" s="38" t="s">
        <v>311</v>
      </c>
      <c r="CM64" s="38" t="s">
        <v>311</v>
      </c>
      <c r="CN64" s="38" t="s">
        <v>311</v>
      </c>
      <c r="CO64" s="38" t="s">
        <v>311</v>
      </c>
      <c r="CP64" s="38" t="s">
        <v>311</v>
      </c>
      <c r="CQ64" t="s">
        <v>1696</v>
      </c>
      <c r="CR64" t="s">
        <v>1249</v>
      </c>
    </row>
    <row r="65" spans="1:96">
      <c r="A65">
        <v>64</v>
      </c>
      <c r="B65">
        <v>12</v>
      </c>
      <c r="C65">
        <v>5</v>
      </c>
      <c r="D65" t="s">
        <v>73</v>
      </c>
      <c r="E65" t="s">
        <v>74</v>
      </c>
      <c r="F65" t="s">
        <v>75</v>
      </c>
      <c r="G65">
        <v>2014</v>
      </c>
      <c r="H65" t="s">
        <v>435</v>
      </c>
      <c r="I65" t="s">
        <v>436</v>
      </c>
      <c r="J65">
        <v>-23.5</v>
      </c>
      <c r="K65">
        <v>152.1</v>
      </c>
      <c r="L65" t="s">
        <v>370</v>
      </c>
      <c r="M65" t="s">
        <v>378</v>
      </c>
      <c r="N65" t="s">
        <v>594</v>
      </c>
      <c r="O65" t="s">
        <v>288</v>
      </c>
      <c r="P65" t="s">
        <v>289</v>
      </c>
      <c r="Q65" t="s">
        <v>291</v>
      </c>
      <c r="R65" t="s">
        <v>327</v>
      </c>
      <c r="S65" t="s">
        <v>717</v>
      </c>
      <c r="T65" t="s">
        <v>331</v>
      </c>
      <c r="U65">
        <v>2</v>
      </c>
      <c r="V65" t="s">
        <v>752</v>
      </c>
      <c r="W65">
        <v>2012</v>
      </c>
      <c r="X65" t="s">
        <v>292</v>
      </c>
      <c r="Y65" t="s">
        <v>696</v>
      </c>
      <c r="Z65" t="s">
        <v>302</v>
      </c>
      <c r="AA65" t="s">
        <v>303</v>
      </c>
      <c r="AB65" t="s">
        <v>770</v>
      </c>
      <c r="AC65" t="s">
        <v>771</v>
      </c>
      <c r="AD65" t="s">
        <v>292</v>
      </c>
      <c r="AE65" t="s">
        <v>657</v>
      </c>
      <c r="AF65" t="s">
        <v>304</v>
      </c>
      <c r="AH65" t="s">
        <v>305</v>
      </c>
      <c r="AI65" t="s">
        <v>655</v>
      </c>
      <c r="AJ65" t="s">
        <v>852</v>
      </c>
      <c r="AK65" t="s">
        <v>1124</v>
      </c>
      <c r="AL65" t="s">
        <v>357</v>
      </c>
      <c r="AM65" t="s">
        <v>1059</v>
      </c>
      <c r="AN65" t="s">
        <v>583</v>
      </c>
      <c r="AO65" t="s">
        <v>1286</v>
      </c>
      <c r="AP65" t="s">
        <v>614</v>
      </c>
      <c r="AQ65" t="s">
        <v>887</v>
      </c>
      <c r="AR65">
        <v>0.25052631578947299</v>
      </c>
      <c r="AS65">
        <v>4.7368421052632004E-2</v>
      </c>
      <c r="AT65" t="s">
        <v>311</v>
      </c>
      <c r="AU65">
        <v>10</v>
      </c>
      <c r="AV65">
        <v>0.221052631578947</v>
      </c>
      <c r="AW65">
        <v>2.4210526315788988E-2</v>
      </c>
      <c r="AX65" t="s">
        <v>311</v>
      </c>
      <c r="AY65">
        <v>4</v>
      </c>
      <c r="AZ65" t="s">
        <v>1055</v>
      </c>
      <c r="BA65" t="s">
        <v>1679</v>
      </c>
      <c r="BB65">
        <v>14</v>
      </c>
      <c r="BC65" t="s">
        <v>1672</v>
      </c>
      <c r="BD65" t="s">
        <v>311</v>
      </c>
      <c r="BE65" t="s">
        <v>1880</v>
      </c>
      <c r="BF65" t="s">
        <v>311</v>
      </c>
      <c r="BG65" t="s">
        <v>311</v>
      </c>
      <c r="BH65" t="s">
        <v>311</v>
      </c>
      <c r="BI65" t="s">
        <v>311</v>
      </c>
      <c r="BJ65" t="s">
        <v>311</v>
      </c>
      <c r="BK65" t="s">
        <v>311</v>
      </c>
      <c r="BL65" t="s">
        <v>311</v>
      </c>
      <c r="BM65" t="s">
        <v>311</v>
      </c>
      <c r="BN65">
        <v>20</v>
      </c>
      <c r="BO65">
        <v>8</v>
      </c>
      <c r="BP65" t="s">
        <v>311</v>
      </c>
      <c r="BQ65" t="s">
        <v>311</v>
      </c>
      <c r="BR65" t="s">
        <v>311</v>
      </c>
      <c r="BS65" t="s">
        <v>311</v>
      </c>
      <c r="BT65">
        <v>8.5276649349557001</v>
      </c>
      <c r="BU65">
        <v>9.0934707581294655E-2</v>
      </c>
      <c r="BV65">
        <v>6.6238141587795623</v>
      </c>
      <c r="BW65">
        <v>0.72920563852576348</v>
      </c>
      <c r="BX65" t="s">
        <v>1126</v>
      </c>
      <c r="BY65" t="s">
        <v>1203</v>
      </c>
      <c r="BZ65">
        <v>2.35</v>
      </c>
      <c r="CA65">
        <v>26</v>
      </c>
      <c r="CB65" t="s">
        <v>1210</v>
      </c>
      <c r="CC65" t="s">
        <v>1210</v>
      </c>
      <c r="CD65" t="s">
        <v>1246</v>
      </c>
      <c r="CE65">
        <v>2011</v>
      </c>
      <c r="CF65">
        <v>0</v>
      </c>
      <c r="CG65" t="s">
        <v>1246</v>
      </c>
      <c r="CH65">
        <v>2009</v>
      </c>
      <c r="CI65">
        <v>0</v>
      </c>
      <c r="CJ65" s="38" t="s">
        <v>311</v>
      </c>
      <c r="CK65" s="38" t="s">
        <v>311</v>
      </c>
      <c r="CL65" s="38" t="s">
        <v>311</v>
      </c>
      <c r="CM65" s="38" t="s">
        <v>311</v>
      </c>
      <c r="CN65" s="38" t="s">
        <v>311</v>
      </c>
      <c r="CO65" s="38" t="s">
        <v>311</v>
      </c>
      <c r="CP65" s="38" t="s">
        <v>311</v>
      </c>
      <c r="CQ65" t="s">
        <v>1696</v>
      </c>
      <c r="CR65" t="s">
        <v>1250</v>
      </c>
    </row>
    <row r="66" spans="1:96">
      <c r="A66">
        <v>65</v>
      </c>
      <c r="B66">
        <v>12</v>
      </c>
      <c r="C66">
        <v>6</v>
      </c>
      <c r="D66" t="s">
        <v>73</v>
      </c>
      <c r="E66" t="s">
        <v>74</v>
      </c>
      <c r="F66" t="s">
        <v>75</v>
      </c>
      <c r="G66">
        <v>2014</v>
      </c>
      <c r="H66" t="s">
        <v>435</v>
      </c>
      <c r="I66" t="s">
        <v>436</v>
      </c>
      <c r="J66">
        <v>-23.5</v>
      </c>
      <c r="K66">
        <v>152.1</v>
      </c>
      <c r="L66" t="s">
        <v>370</v>
      </c>
      <c r="M66" t="s">
        <v>378</v>
      </c>
      <c r="N66" t="s">
        <v>594</v>
      </c>
      <c r="O66" t="s">
        <v>288</v>
      </c>
      <c r="P66" t="s">
        <v>289</v>
      </c>
      <c r="Q66" t="s">
        <v>291</v>
      </c>
      <c r="R66" t="s">
        <v>327</v>
      </c>
      <c r="S66" t="s">
        <v>717</v>
      </c>
      <c r="T66" t="s">
        <v>331</v>
      </c>
      <c r="U66">
        <v>2</v>
      </c>
      <c r="V66" t="s">
        <v>752</v>
      </c>
      <c r="W66">
        <v>2012</v>
      </c>
      <c r="X66" t="s">
        <v>292</v>
      </c>
      <c r="Y66" t="s">
        <v>696</v>
      </c>
      <c r="Z66" t="s">
        <v>302</v>
      </c>
      <c r="AA66" t="s">
        <v>303</v>
      </c>
      <c r="AB66" t="s">
        <v>770</v>
      </c>
      <c r="AC66" t="s">
        <v>771</v>
      </c>
      <c r="AD66" t="s">
        <v>292</v>
      </c>
      <c r="AE66" t="s">
        <v>657</v>
      </c>
      <c r="AF66" t="s">
        <v>304</v>
      </c>
      <c r="AH66" t="s">
        <v>305</v>
      </c>
      <c r="AI66" t="s">
        <v>655</v>
      </c>
      <c r="AJ66" t="s">
        <v>852</v>
      </c>
      <c r="AK66" t="s">
        <v>1124</v>
      </c>
      <c r="AL66" t="s">
        <v>357</v>
      </c>
      <c r="AM66" t="s">
        <v>1059</v>
      </c>
      <c r="AN66" t="s">
        <v>583</v>
      </c>
      <c r="AO66" t="s">
        <v>1286</v>
      </c>
      <c r="AP66" t="s">
        <v>614</v>
      </c>
      <c r="AQ66" t="s">
        <v>887</v>
      </c>
      <c r="AR66">
        <v>0.25999999999999901</v>
      </c>
      <c r="AS66">
        <v>2.3157894736842988E-2</v>
      </c>
      <c r="AT66" t="s">
        <v>311</v>
      </c>
      <c r="AU66">
        <v>10</v>
      </c>
      <c r="AV66">
        <v>0.15157894736842101</v>
      </c>
      <c r="AW66">
        <v>9.4736842105259955E-3</v>
      </c>
      <c r="AX66" t="s">
        <v>311</v>
      </c>
      <c r="AY66">
        <v>4</v>
      </c>
      <c r="AZ66" t="s">
        <v>1055</v>
      </c>
      <c r="BA66" t="s">
        <v>1679</v>
      </c>
      <c r="BB66">
        <v>14</v>
      </c>
      <c r="BC66" t="s">
        <v>1672</v>
      </c>
      <c r="BD66" t="s">
        <v>311</v>
      </c>
      <c r="BE66" t="s">
        <v>1880</v>
      </c>
      <c r="BF66" t="s">
        <v>311</v>
      </c>
      <c r="BG66" t="s">
        <v>311</v>
      </c>
      <c r="BH66" t="s">
        <v>311</v>
      </c>
      <c r="BI66" t="s">
        <v>311</v>
      </c>
      <c r="BJ66" t="s">
        <v>311</v>
      </c>
      <c r="BK66" t="s">
        <v>311</v>
      </c>
      <c r="BL66" t="s">
        <v>311</v>
      </c>
      <c r="BM66" t="s">
        <v>311</v>
      </c>
      <c r="BN66">
        <v>20</v>
      </c>
      <c r="BO66">
        <v>8</v>
      </c>
      <c r="BP66" t="s">
        <v>311</v>
      </c>
      <c r="BQ66" t="s">
        <v>311</v>
      </c>
      <c r="BR66" t="s">
        <v>311</v>
      </c>
      <c r="BS66" t="s">
        <v>311</v>
      </c>
      <c r="BT66">
        <v>7.5757395468676414</v>
      </c>
      <c r="BU66">
        <v>0.1128844645836771</v>
      </c>
      <c r="BV66">
        <v>7.536075989030607</v>
      </c>
      <c r="BW66">
        <v>0.51885785818181496</v>
      </c>
      <c r="BX66" t="s">
        <v>1126</v>
      </c>
      <c r="BY66" t="s">
        <v>1203</v>
      </c>
      <c r="BZ66">
        <v>2.35</v>
      </c>
      <c r="CA66">
        <v>26</v>
      </c>
      <c r="CB66" t="s">
        <v>1210</v>
      </c>
      <c r="CC66" t="s">
        <v>1210</v>
      </c>
      <c r="CD66" t="s">
        <v>1246</v>
      </c>
      <c r="CE66">
        <v>2011</v>
      </c>
      <c r="CF66">
        <v>0</v>
      </c>
      <c r="CG66" t="s">
        <v>1246</v>
      </c>
      <c r="CH66">
        <v>2009</v>
      </c>
      <c r="CI66">
        <v>0</v>
      </c>
      <c r="CJ66" s="38" t="s">
        <v>311</v>
      </c>
      <c r="CK66" s="38" t="s">
        <v>311</v>
      </c>
      <c r="CL66" s="38" t="s">
        <v>311</v>
      </c>
      <c r="CM66" s="38" t="s">
        <v>311</v>
      </c>
      <c r="CN66" s="38" t="s">
        <v>311</v>
      </c>
      <c r="CO66" s="38" t="s">
        <v>311</v>
      </c>
      <c r="CP66" s="38" t="s">
        <v>311</v>
      </c>
      <c r="CQ66" t="s">
        <v>1696</v>
      </c>
      <c r="CR66" t="s">
        <v>1251</v>
      </c>
    </row>
    <row r="67" spans="1:96">
      <c r="A67">
        <v>66</v>
      </c>
      <c r="B67">
        <v>13</v>
      </c>
      <c r="C67">
        <v>1</v>
      </c>
      <c r="D67" t="s">
        <v>84</v>
      </c>
      <c r="E67" t="s">
        <v>85</v>
      </c>
      <c r="F67" t="s">
        <v>86</v>
      </c>
      <c r="G67">
        <v>2014</v>
      </c>
      <c r="H67" t="s">
        <v>1252</v>
      </c>
      <c r="I67" t="s">
        <v>1253</v>
      </c>
      <c r="J67">
        <v>23.789833000000002</v>
      </c>
      <c r="K67">
        <v>-76.137833000000001</v>
      </c>
      <c r="L67" t="s">
        <v>358</v>
      </c>
      <c r="M67" t="s">
        <v>382</v>
      </c>
      <c r="N67" t="s">
        <v>531</v>
      </c>
      <c r="O67" t="s">
        <v>532</v>
      </c>
      <c r="P67" t="s">
        <v>693</v>
      </c>
      <c r="Q67" t="s">
        <v>291</v>
      </c>
      <c r="R67" t="s">
        <v>944</v>
      </c>
      <c r="S67" t="s">
        <v>717</v>
      </c>
      <c r="T67" t="s">
        <v>331</v>
      </c>
      <c r="U67">
        <v>4</v>
      </c>
      <c r="V67" t="s">
        <v>535</v>
      </c>
      <c r="W67">
        <v>2009</v>
      </c>
      <c r="X67" t="s">
        <v>292</v>
      </c>
      <c r="Y67" t="s">
        <v>947</v>
      </c>
      <c r="Z67" t="s">
        <v>1057</v>
      </c>
      <c r="AA67" t="s">
        <v>610</v>
      </c>
      <c r="AB67" t="s">
        <v>945</v>
      </c>
      <c r="AC67" t="s">
        <v>946</v>
      </c>
      <c r="AD67" t="s">
        <v>292</v>
      </c>
      <c r="AE67" t="s">
        <v>941</v>
      </c>
      <c r="AF67" t="s">
        <v>567</v>
      </c>
      <c r="AG67" t="s">
        <v>1901</v>
      </c>
      <c r="AH67" t="s">
        <v>570</v>
      </c>
      <c r="AI67" t="s">
        <v>942</v>
      </c>
      <c r="AJ67" t="s">
        <v>943</v>
      </c>
      <c r="AK67" t="s">
        <v>649</v>
      </c>
      <c r="AL67" t="s">
        <v>649</v>
      </c>
      <c r="AM67" t="s">
        <v>1059</v>
      </c>
      <c r="AN67" t="s">
        <v>584</v>
      </c>
      <c r="AO67" t="s">
        <v>541</v>
      </c>
      <c r="AP67" t="s">
        <v>887</v>
      </c>
      <c r="AQ67" t="s">
        <v>887</v>
      </c>
      <c r="AR67">
        <v>2.5999999999999999E-2</v>
      </c>
      <c r="AS67">
        <v>2E-3</v>
      </c>
      <c r="AT67" t="s">
        <v>311</v>
      </c>
      <c r="AU67">
        <v>10</v>
      </c>
      <c r="AV67">
        <v>2.1000000000000001E-2</v>
      </c>
      <c r="AW67">
        <v>8.9999999999999998E-4</v>
      </c>
      <c r="AX67" t="s">
        <v>311</v>
      </c>
      <c r="AY67">
        <v>10</v>
      </c>
      <c r="AZ67" t="s">
        <v>1678</v>
      </c>
      <c r="BA67" t="s">
        <v>1679</v>
      </c>
      <c r="BB67">
        <v>28</v>
      </c>
      <c r="BC67" t="s">
        <v>1672</v>
      </c>
      <c r="BD67" t="s">
        <v>311</v>
      </c>
      <c r="BE67" t="s">
        <v>1881</v>
      </c>
      <c r="BF67" t="s">
        <v>311</v>
      </c>
      <c r="BG67" t="s">
        <v>311</v>
      </c>
      <c r="BH67" t="s">
        <v>311</v>
      </c>
      <c r="BI67" t="s">
        <v>311</v>
      </c>
      <c r="BJ67" t="s">
        <v>311</v>
      </c>
      <c r="BK67" t="s">
        <v>311</v>
      </c>
      <c r="BL67" t="s">
        <v>311</v>
      </c>
      <c r="BM67" t="s">
        <v>311</v>
      </c>
      <c r="BN67" t="s">
        <v>311</v>
      </c>
      <c r="BO67" t="s">
        <v>311</v>
      </c>
      <c r="BP67" t="s">
        <v>311</v>
      </c>
      <c r="BQ67" t="s">
        <v>311</v>
      </c>
      <c r="BR67" t="s">
        <v>311</v>
      </c>
      <c r="BS67" t="s">
        <v>311</v>
      </c>
      <c r="BT67" t="s">
        <v>311</v>
      </c>
      <c r="BU67" t="s">
        <v>311</v>
      </c>
      <c r="BV67" t="s">
        <v>311</v>
      </c>
      <c r="BW67" t="s">
        <v>311</v>
      </c>
      <c r="BX67" t="s">
        <v>311</v>
      </c>
      <c r="BY67" t="s">
        <v>311</v>
      </c>
      <c r="BZ67" s="16">
        <v>3.257625762212927</v>
      </c>
      <c r="CA67">
        <v>28.65</v>
      </c>
      <c r="CB67" t="s">
        <v>1210</v>
      </c>
      <c r="CC67" t="s">
        <v>1210</v>
      </c>
      <c r="CD67" t="s">
        <v>1255</v>
      </c>
      <c r="CE67" t="s">
        <v>668</v>
      </c>
      <c r="CF67">
        <v>120</v>
      </c>
      <c r="CG67" t="s">
        <v>1254</v>
      </c>
      <c r="CH67" t="s">
        <v>961</v>
      </c>
      <c r="CI67">
        <v>0</v>
      </c>
      <c r="CJ67" s="38" t="s">
        <v>311</v>
      </c>
      <c r="CK67" s="38" t="s">
        <v>311</v>
      </c>
      <c r="CL67" s="38" t="s">
        <v>311</v>
      </c>
      <c r="CM67" s="38" t="s">
        <v>311</v>
      </c>
      <c r="CN67" s="38" t="s">
        <v>311</v>
      </c>
      <c r="CO67" s="38" t="s">
        <v>311</v>
      </c>
      <c r="CP67" s="38" t="s">
        <v>311</v>
      </c>
      <c r="CQ67" t="s">
        <v>1697</v>
      </c>
      <c r="CR67" t="s">
        <v>1569</v>
      </c>
    </row>
    <row r="68" spans="1:96">
      <c r="A68">
        <v>67</v>
      </c>
      <c r="B68">
        <v>14</v>
      </c>
      <c r="C68">
        <v>1</v>
      </c>
      <c r="D68" t="s">
        <v>96</v>
      </c>
      <c r="E68" t="s">
        <v>97</v>
      </c>
      <c r="F68" t="s">
        <v>80</v>
      </c>
      <c r="G68">
        <v>2013</v>
      </c>
      <c r="H68" t="s">
        <v>441</v>
      </c>
      <c r="I68" t="s">
        <v>442</v>
      </c>
      <c r="J68">
        <v>24.547222000000001</v>
      </c>
      <c r="K68">
        <v>-81.394166999999996</v>
      </c>
      <c r="L68" t="s">
        <v>361</v>
      </c>
      <c r="M68" t="s">
        <v>360</v>
      </c>
      <c r="N68" t="s">
        <v>531</v>
      </c>
      <c r="O68" t="s">
        <v>532</v>
      </c>
      <c r="P68" t="s">
        <v>693</v>
      </c>
      <c r="Q68" t="s">
        <v>419</v>
      </c>
      <c r="R68" t="s">
        <v>647</v>
      </c>
      <c r="S68" t="s">
        <v>717</v>
      </c>
      <c r="T68" t="s">
        <v>331</v>
      </c>
      <c r="U68">
        <v>1</v>
      </c>
      <c r="V68" t="s">
        <v>311</v>
      </c>
      <c r="W68" t="s">
        <v>648</v>
      </c>
      <c r="X68" t="s">
        <v>340</v>
      </c>
      <c r="Y68" t="s">
        <v>311</v>
      </c>
      <c r="Z68" t="s">
        <v>302</v>
      </c>
      <c r="AA68" t="s">
        <v>303</v>
      </c>
      <c r="AB68" t="s">
        <v>311</v>
      </c>
      <c r="AC68" t="s">
        <v>311</v>
      </c>
      <c r="AD68" t="s">
        <v>292</v>
      </c>
      <c r="AE68" t="s">
        <v>607</v>
      </c>
      <c r="AF68" t="s">
        <v>552</v>
      </c>
      <c r="AH68" t="s">
        <v>555</v>
      </c>
      <c r="AI68" t="s">
        <v>553</v>
      </c>
      <c r="AJ68" t="s">
        <v>554</v>
      </c>
      <c r="AK68" t="s">
        <v>317</v>
      </c>
      <c r="AL68" t="s">
        <v>599</v>
      </c>
      <c r="AM68" t="s">
        <v>1059</v>
      </c>
      <c r="AN68" t="s">
        <v>1277</v>
      </c>
      <c r="AO68" t="s">
        <v>606</v>
      </c>
      <c r="AP68" t="s">
        <v>614</v>
      </c>
      <c r="AQ68" t="s">
        <v>887</v>
      </c>
      <c r="AR68">
        <v>5.7089999999999996</v>
      </c>
      <c r="AS68" t="s">
        <v>311</v>
      </c>
      <c r="AT68">
        <v>0.53</v>
      </c>
      <c r="AU68">
        <v>12</v>
      </c>
      <c r="AV68">
        <v>3.16</v>
      </c>
      <c r="AW68" t="s">
        <v>311</v>
      </c>
      <c r="AX68">
        <v>0.26</v>
      </c>
      <c r="AY68">
        <v>12</v>
      </c>
      <c r="AZ68" t="s">
        <v>1055</v>
      </c>
      <c r="BA68" t="s">
        <v>1679</v>
      </c>
      <c r="BB68">
        <v>12</v>
      </c>
      <c r="BC68" t="s">
        <v>1672</v>
      </c>
      <c r="BD68" t="s">
        <v>311</v>
      </c>
      <c r="BE68" t="s">
        <v>1880</v>
      </c>
      <c r="BF68" t="s">
        <v>311</v>
      </c>
      <c r="BG68" t="s">
        <v>311</v>
      </c>
      <c r="BH68" t="s">
        <v>311</v>
      </c>
      <c r="BI68" t="s">
        <v>311</v>
      </c>
      <c r="BJ68" t="s">
        <v>311</v>
      </c>
      <c r="BK68" t="s">
        <v>311</v>
      </c>
      <c r="BL68" t="s">
        <v>311</v>
      </c>
      <c r="BM68" t="s">
        <v>311</v>
      </c>
      <c r="BN68" t="s">
        <v>311</v>
      </c>
      <c r="BO68" t="s">
        <v>311</v>
      </c>
      <c r="BP68" t="s">
        <v>311</v>
      </c>
      <c r="BQ68" t="s">
        <v>311</v>
      </c>
      <c r="BR68" t="s">
        <v>311</v>
      </c>
      <c r="BS68" t="s">
        <v>311</v>
      </c>
      <c r="BT68" t="s">
        <v>311</v>
      </c>
      <c r="BU68" t="s">
        <v>311</v>
      </c>
      <c r="BV68" t="s">
        <v>311</v>
      </c>
      <c r="BW68" t="s">
        <v>311</v>
      </c>
      <c r="BX68" t="s">
        <v>311</v>
      </c>
      <c r="BY68" t="s">
        <v>311</v>
      </c>
      <c r="BZ68">
        <v>2.86</v>
      </c>
      <c r="CA68">
        <v>27.94</v>
      </c>
      <c r="CB68" t="s">
        <v>1210</v>
      </c>
      <c r="CC68" t="s">
        <v>1210</v>
      </c>
      <c r="CD68" t="s">
        <v>1259</v>
      </c>
      <c r="CE68">
        <v>1992</v>
      </c>
      <c r="CF68">
        <v>0</v>
      </c>
      <c r="CG68" t="s">
        <v>1259</v>
      </c>
      <c r="CH68">
        <v>1992</v>
      </c>
      <c r="CI68">
        <v>0</v>
      </c>
      <c r="CJ68" s="38" t="s">
        <v>311</v>
      </c>
      <c r="CK68" s="38" t="s">
        <v>311</v>
      </c>
      <c r="CL68" s="38" t="s">
        <v>311</v>
      </c>
      <c r="CM68" s="38" t="s">
        <v>311</v>
      </c>
      <c r="CN68" s="38" t="s">
        <v>311</v>
      </c>
      <c r="CO68" s="38" t="s">
        <v>311</v>
      </c>
      <c r="CP68" s="38" t="s">
        <v>311</v>
      </c>
      <c r="CQ68" t="s">
        <v>1698</v>
      </c>
      <c r="CR68" t="s">
        <v>1585</v>
      </c>
    </row>
    <row r="69" spans="1:96">
      <c r="A69">
        <v>68</v>
      </c>
      <c r="B69">
        <v>14</v>
      </c>
      <c r="C69">
        <v>2</v>
      </c>
      <c r="D69" t="s">
        <v>96</v>
      </c>
      <c r="E69" t="s">
        <v>97</v>
      </c>
      <c r="F69" t="s">
        <v>80</v>
      </c>
      <c r="G69">
        <v>2013</v>
      </c>
      <c r="H69" t="s">
        <v>441</v>
      </c>
      <c r="I69" t="s">
        <v>442</v>
      </c>
      <c r="J69">
        <v>24.547222000000001</v>
      </c>
      <c r="K69">
        <v>-81.394166999999996</v>
      </c>
      <c r="L69" t="s">
        <v>361</v>
      </c>
      <c r="M69" t="s">
        <v>360</v>
      </c>
      <c r="N69" t="s">
        <v>531</v>
      </c>
      <c r="O69" t="s">
        <v>532</v>
      </c>
      <c r="P69" t="s">
        <v>693</v>
      </c>
      <c r="Q69" t="s">
        <v>419</v>
      </c>
      <c r="R69" t="s">
        <v>647</v>
      </c>
      <c r="S69" t="s">
        <v>717</v>
      </c>
      <c r="T69" t="s">
        <v>331</v>
      </c>
      <c r="U69">
        <v>1</v>
      </c>
      <c r="V69" t="s">
        <v>311</v>
      </c>
      <c r="W69" t="s">
        <v>648</v>
      </c>
      <c r="X69" t="s">
        <v>340</v>
      </c>
      <c r="Y69" t="s">
        <v>311</v>
      </c>
      <c r="Z69" t="s">
        <v>302</v>
      </c>
      <c r="AA69" t="s">
        <v>303</v>
      </c>
      <c r="AB69" t="s">
        <v>311</v>
      </c>
      <c r="AC69" t="s">
        <v>311</v>
      </c>
      <c r="AD69" t="s">
        <v>340</v>
      </c>
      <c r="AE69" t="s">
        <v>311</v>
      </c>
      <c r="AF69" t="s">
        <v>567</v>
      </c>
      <c r="AG69" t="s">
        <v>1905</v>
      </c>
      <c r="AH69" t="s">
        <v>311</v>
      </c>
      <c r="AI69" t="s">
        <v>311</v>
      </c>
      <c r="AJ69" t="s">
        <v>311</v>
      </c>
      <c r="AK69" t="s">
        <v>649</v>
      </c>
      <c r="AL69" t="s">
        <v>599</v>
      </c>
      <c r="AM69" t="s">
        <v>1059</v>
      </c>
      <c r="AN69" t="s">
        <v>584</v>
      </c>
      <c r="AO69" t="s">
        <v>606</v>
      </c>
      <c r="AP69" t="s">
        <v>887</v>
      </c>
      <c r="AQ69" t="s">
        <v>887</v>
      </c>
      <c r="AR69">
        <v>7.68</v>
      </c>
      <c r="AS69" t="s">
        <v>311</v>
      </c>
      <c r="AT69">
        <v>1.73</v>
      </c>
      <c r="AU69">
        <v>12</v>
      </c>
      <c r="AV69">
        <v>6.58</v>
      </c>
      <c r="AW69" t="s">
        <v>311</v>
      </c>
      <c r="AX69">
        <v>1.81</v>
      </c>
      <c r="AY69">
        <v>12</v>
      </c>
      <c r="AZ69" t="s">
        <v>1055</v>
      </c>
      <c r="BA69" t="s">
        <v>1679</v>
      </c>
      <c r="BB69">
        <v>386</v>
      </c>
      <c r="BC69" t="s">
        <v>1672</v>
      </c>
      <c r="BD69" t="s">
        <v>311</v>
      </c>
      <c r="BE69" t="s">
        <v>1880</v>
      </c>
      <c r="BF69" t="s">
        <v>311</v>
      </c>
      <c r="BG69" t="s">
        <v>311</v>
      </c>
      <c r="BH69" t="s">
        <v>311</v>
      </c>
      <c r="BI69" t="s">
        <v>311</v>
      </c>
      <c r="BJ69" t="s">
        <v>311</v>
      </c>
      <c r="BK69" t="s">
        <v>311</v>
      </c>
      <c r="BL69" t="s">
        <v>311</v>
      </c>
      <c r="BM69" t="s">
        <v>311</v>
      </c>
      <c r="BN69" t="s">
        <v>311</v>
      </c>
      <c r="BO69" t="s">
        <v>311</v>
      </c>
      <c r="BP69" t="s">
        <v>311</v>
      </c>
      <c r="BQ69" t="s">
        <v>311</v>
      </c>
      <c r="BR69" t="s">
        <v>311</v>
      </c>
      <c r="BS69" t="s">
        <v>311</v>
      </c>
      <c r="BT69" t="s">
        <v>311</v>
      </c>
      <c r="BU69" t="s">
        <v>311</v>
      </c>
      <c r="BV69" t="s">
        <v>311</v>
      </c>
      <c r="BW69" t="s">
        <v>311</v>
      </c>
      <c r="BX69" t="s">
        <v>311</v>
      </c>
      <c r="BY69" t="s">
        <v>311</v>
      </c>
      <c r="BZ69">
        <v>2.86</v>
      </c>
      <c r="CA69">
        <v>27.94</v>
      </c>
      <c r="CB69" t="s">
        <v>1210</v>
      </c>
      <c r="CC69" t="s">
        <v>1210</v>
      </c>
      <c r="CD69" t="s">
        <v>1259</v>
      </c>
      <c r="CE69">
        <v>1992</v>
      </c>
      <c r="CF69">
        <v>0</v>
      </c>
      <c r="CG69" t="s">
        <v>1259</v>
      </c>
      <c r="CH69">
        <v>1992</v>
      </c>
      <c r="CI69">
        <v>0</v>
      </c>
      <c r="CJ69" s="38" t="s">
        <v>311</v>
      </c>
      <c r="CK69" s="38" t="s">
        <v>311</v>
      </c>
      <c r="CL69" s="38" t="s">
        <v>311</v>
      </c>
      <c r="CM69" s="38" t="s">
        <v>311</v>
      </c>
      <c r="CN69" s="38" t="s">
        <v>311</v>
      </c>
      <c r="CO69" s="38" t="s">
        <v>311</v>
      </c>
      <c r="CP69" s="38" t="s">
        <v>311</v>
      </c>
      <c r="CQ69" t="s">
        <v>1699</v>
      </c>
      <c r="CR69" t="s">
        <v>1562</v>
      </c>
    </row>
    <row r="70" spans="1:96">
      <c r="A70">
        <v>69</v>
      </c>
      <c r="B70">
        <v>15</v>
      </c>
      <c r="C70">
        <v>1</v>
      </c>
      <c r="D70" t="s">
        <v>98</v>
      </c>
      <c r="E70" t="s">
        <v>99</v>
      </c>
      <c r="F70" t="s">
        <v>38</v>
      </c>
      <c r="G70">
        <v>2013</v>
      </c>
      <c r="H70" t="s">
        <v>1260</v>
      </c>
      <c r="I70" t="s">
        <v>1261</v>
      </c>
      <c r="J70">
        <v>26.342791999999999</v>
      </c>
      <c r="K70">
        <v>-77.017656000000002</v>
      </c>
      <c r="L70" t="s">
        <v>358</v>
      </c>
      <c r="M70" t="s">
        <v>364</v>
      </c>
      <c r="N70" t="s">
        <v>531</v>
      </c>
      <c r="O70" t="s">
        <v>532</v>
      </c>
      <c r="P70" t="s">
        <v>693</v>
      </c>
      <c r="Q70" t="s">
        <v>419</v>
      </c>
      <c r="R70" t="s">
        <v>550</v>
      </c>
      <c r="S70" t="s">
        <v>534</v>
      </c>
      <c r="T70" t="s">
        <v>331</v>
      </c>
      <c r="U70">
        <v>1</v>
      </c>
      <c r="V70" t="s">
        <v>535</v>
      </c>
      <c r="W70">
        <v>2011</v>
      </c>
      <c r="X70" t="s">
        <v>340</v>
      </c>
      <c r="Y70" t="s">
        <v>311</v>
      </c>
      <c r="Z70" t="s">
        <v>302</v>
      </c>
      <c r="AA70" t="s">
        <v>303</v>
      </c>
      <c r="AB70" t="s">
        <v>311</v>
      </c>
      <c r="AC70" t="s">
        <v>311</v>
      </c>
      <c r="AD70" t="s">
        <v>292</v>
      </c>
      <c r="AE70" t="s">
        <v>607</v>
      </c>
      <c r="AF70" t="s">
        <v>552</v>
      </c>
      <c r="AH70" t="s">
        <v>555</v>
      </c>
      <c r="AI70" t="s">
        <v>553</v>
      </c>
      <c r="AJ70" t="s">
        <v>554</v>
      </c>
      <c r="AK70" t="s">
        <v>649</v>
      </c>
      <c r="AL70" t="s">
        <v>649</v>
      </c>
      <c r="AM70" t="s">
        <v>1059</v>
      </c>
      <c r="AN70" t="s">
        <v>1282</v>
      </c>
      <c r="AO70" t="s">
        <v>1283</v>
      </c>
      <c r="AP70" t="s">
        <v>614</v>
      </c>
      <c r="AQ70" t="s">
        <v>887</v>
      </c>
      <c r="AR70">
        <v>23.8</v>
      </c>
      <c r="AS70" t="s">
        <v>311</v>
      </c>
      <c r="AT70">
        <v>7.5</v>
      </c>
      <c r="AU70">
        <v>4</v>
      </c>
      <c r="AV70">
        <v>12.9</v>
      </c>
      <c r="AW70" t="s">
        <v>311</v>
      </c>
      <c r="AX70">
        <v>3.1</v>
      </c>
      <c r="AY70">
        <v>4</v>
      </c>
      <c r="AZ70" t="s">
        <v>1055</v>
      </c>
      <c r="BA70" t="s">
        <v>1679</v>
      </c>
      <c r="BB70">
        <v>10</v>
      </c>
      <c r="BC70" t="s">
        <v>1672</v>
      </c>
      <c r="BD70" t="s">
        <v>311</v>
      </c>
      <c r="BE70" t="s">
        <v>1880</v>
      </c>
      <c r="BF70" t="s">
        <v>311</v>
      </c>
      <c r="BG70" t="s">
        <v>311</v>
      </c>
      <c r="BH70" t="s">
        <v>311</v>
      </c>
      <c r="BI70" t="s">
        <v>311</v>
      </c>
      <c r="BJ70" t="s">
        <v>311</v>
      </c>
      <c r="BK70" t="s">
        <v>311</v>
      </c>
      <c r="BL70" t="s">
        <v>311</v>
      </c>
      <c r="BM70" t="s">
        <v>311</v>
      </c>
      <c r="BN70">
        <v>4</v>
      </c>
      <c r="BO70">
        <v>4</v>
      </c>
      <c r="BP70" t="s">
        <v>311</v>
      </c>
      <c r="BQ70" t="s">
        <v>311</v>
      </c>
      <c r="BR70" t="s">
        <v>311</v>
      </c>
      <c r="BS70" t="s">
        <v>311</v>
      </c>
      <c r="BT70">
        <v>1.05</v>
      </c>
      <c r="BU70" t="s">
        <v>311</v>
      </c>
      <c r="BV70">
        <v>0</v>
      </c>
      <c r="BW70" t="s">
        <v>311</v>
      </c>
      <c r="BX70" t="s">
        <v>1127</v>
      </c>
      <c r="BY70" t="s">
        <v>1200</v>
      </c>
      <c r="BZ70">
        <v>3.4000000000000002E-2</v>
      </c>
      <c r="CA70">
        <v>29</v>
      </c>
      <c r="CB70" t="s">
        <v>1210</v>
      </c>
      <c r="CC70" t="s">
        <v>1210</v>
      </c>
      <c r="CD70" t="s">
        <v>1262</v>
      </c>
      <c r="CE70">
        <v>2019</v>
      </c>
      <c r="CF70">
        <v>0</v>
      </c>
      <c r="CG70" t="s">
        <v>1236</v>
      </c>
      <c r="CH70">
        <v>2008</v>
      </c>
      <c r="CI70">
        <v>0</v>
      </c>
      <c r="CJ70" s="38" t="s">
        <v>311</v>
      </c>
      <c r="CK70" s="38" t="s">
        <v>311</v>
      </c>
      <c r="CL70" s="38" t="s">
        <v>311</v>
      </c>
      <c r="CM70" s="38" t="s">
        <v>311</v>
      </c>
      <c r="CN70" s="38" t="s">
        <v>311</v>
      </c>
      <c r="CO70" s="38" t="s">
        <v>311</v>
      </c>
      <c r="CP70" s="38" t="s">
        <v>311</v>
      </c>
      <c r="CQ70" t="s">
        <v>1700</v>
      </c>
      <c r="CR70" t="s">
        <v>1198</v>
      </c>
    </row>
    <row r="71" spans="1:96">
      <c r="A71">
        <v>70</v>
      </c>
      <c r="B71">
        <v>16</v>
      </c>
      <c r="C71">
        <v>1</v>
      </c>
      <c r="D71" t="s">
        <v>100</v>
      </c>
      <c r="E71" t="s">
        <v>101</v>
      </c>
      <c r="F71" t="s">
        <v>86</v>
      </c>
      <c r="G71">
        <v>2013</v>
      </c>
      <c r="H71" t="s">
        <v>1265</v>
      </c>
      <c r="I71" t="s">
        <v>1266</v>
      </c>
      <c r="J71">
        <v>23.524999999999999</v>
      </c>
      <c r="K71">
        <v>-75.758332999999993</v>
      </c>
      <c r="L71" t="s">
        <v>358</v>
      </c>
      <c r="M71" t="s">
        <v>387</v>
      </c>
      <c r="N71" t="s">
        <v>531</v>
      </c>
      <c r="O71" t="s">
        <v>532</v>
      </c>
      <c r="P71" t="s">
        <v>693</v>
      </c>
      <c r="Q71" t="s">
        <v>291</v>
      </c>
      <c r="R71" t="s">
        <v>650</v>
      </c>
      <c r="S71" t="s">
        <v>534</v>
      </c>
      <c r="T71" t="s">
        <v>331</v>
      </c>
      <c r="U71">
        <v>1</v>
      </c>
      <c r="V71" t="s">
        <v>311</v>
      </c>
      <c r="W71" t="s">
        <v>654</v>
      </c>
      <c r="X71" t="s">
        <v>340</v>
      </c>
      <c r="Y71" t="s">
        <v>311</v>
      </c>
      <c r="Z71" t="s">
        <v>1057</v>
      </c>
      <c r="AA71" t="s">
        <v>610</v>
      </c>
      <c r="AB71" t="s">
        <v>311</v>
      </c>
      <c r="AC71" t="s">
        <v>311</v>
      </c>
      <c r="AD71" t="s">
        <v>340</v>
      </c>
      <c r="AE71" t="s">
        <v>311</v>
      </c>
      <c r="AF71" t="s">
        <v>304</v>
      </c>
      <c r="AH71" t="s">
        <v>305</v>
      </c>
      <c r="AI71" t="s">
        <v>311</v>
      </c>
      <c r="AJ71" t="s">
        <v>311</v>
      </c>
      <c r="AK71" t="s">
        <v>674</v>
      </c>
      <c r="AL71" t="s">
        <v>357</v>
      </c>
      <c r="AM71" t="s">
        <v>1059</v>
      </c>
      <c r="AN71" t="s">
        <v>583</v>
      </c>
      <c r="AO71" t="s">
        <v>948</v>
      </c>
      <c r="AP71" t="s">
        <v>887</v>
      </c>
      <c r="AQ71" t="s">
        <v>887</v>
      </c>
      <c r="AR71">
        <v>17.9296875</v>
      </c>
      <c r="AS71">
        <v>0.9375</v>
      </c>
      <c r="AT71" t="s">
        <v>311</v>
      </c>
      <c r="AU71">
        <v>50</v>
      </c>
      <c r="AV71">
        <v>1.9921875</v>
      </c>
      <c r="AW71">
        <v>0.46874999999998979</v>
      </c>
      <c r="AX71" t="s">
        <v>311</v>
      </c>
      <c r="AY71">
        <v>50</v>
      </c>
      <c r="AZ71" t="s">
        <v>1677</v>
      </c>
      <c r="BA71" t="s">
        <v>1680</v>
      </c>
      <c r="BB71">
        <v>0</v>
      </c>
      <c r="BC71" t="s">
        <v>1672</v>
      </c>
      <c r="BD71" t="s">
        <v>311</v>
      </c>
      <c r="BE71" t="s">
        <v>1880</v>
      </c>
      <c r="BF71" t="s">
        <v>311</v>
      </c>
      <c r="BG71" t="s">
        <v>311</v>
      </c>
      <c r="BH71" t="s">
        <v>311</v>
      </c>
      <c r="BI71" t="s">
        <v>311</v>
      </c>
      <c r="BJ71">
        <v>2.5806451612903198</v>
      </c>
      <c r="BK71">
        <v>0.15053763440860024</v>
      </c>
      <c r="BL71">
        <v>0.15053763440860024</v>
      </c>
      <c r="BM71">
        <v>4.3010752688173753E-2</v>
      </c>
      <c r="BN71">
        <v>10</v>
      </c>
      <c r="BO71">
        <v>10</v>
      </c>
      <c r="BP71" t="s">
        <v>311</v>
      </c>
      <c r="BQ71" t="s">
        <v>311</v>
      </c>
      <c r="BR71" t="s">
        <v>311</v>
      </c>
      <c r="BS71" t="s">
        <v>311</v>
      </c>
      <c r="BT71" t="s">
        <v>311</v>
      </c>
      <c r="BU71" t="s">
        <v>311</v>
      </c>
      <c r="BV71" t="s">
        <v>311</v>
      </c>
      <c r="BW71" t="s">
        <v>311</v>
      </c>
      <c r="BX71" t="s">
        <v>1126</v>
      </c>
      <c r="BY71" t="s">
        <v>1272</v>
      </c>
      <c r="BZ71">
        <v>0.15053763440860024</v>
      </c>
      <c r="CA71">
        <v>26.17</v>
      </c>
      <c r="CB71" t="s">
        <v>1209</v>
      </c>
      <c r="CC71" t="s">
        <v>1209</v>
      </c>
      <c r="CD71" t="s">
        <v>311</v>
      </c>
      <c r="CE71" t="s">
        <v>311</v>
      </c>
      <c r="CF71" t="s">
        <v>311</v>
      </c>
      <c r="CG71" t="s">
        <v>311</v>
      </c>
      <c r="CH71" t="s">
        <v>311</v>
      </c>
      <c r="CI71" t="s">
        <v>311</v>
      </c>
      <c r="CJ71" s="38" t="s">
        <v>311</v>
      </c>
      <c r="CK71" s="38" t="s">
        <v>311</v>
      </c>
      <c r="CL71" s="38" t="s">
        <v>311</v>
      </c>
      <c r="CM71" s="38" t="s">
        <v>311</v>
      </c>
      <c r="CN71" s="38" t="s">
        <v>311</v>
      </c>
      <c r="CO71" s="38" t="s">
        <v>311</v>
      </c>
      <c r="CP71" s="38" t="s">
        <v>311</v>
      </c>
      <c r="CQ71" t="s">
        <v>1701</v>
      </c>
      <c r="CR71" t="s">
        <v>1603</v>
      </c>
    </row>
    <row r="72" spans="1:96">
      <c r="A72">
        <v>71</v>
      </c>
      <c r="B72">
        <v>16</v>
      </c>
      <c r="C72">
        <v>2</v>
      </c>
      <c r="D72" t="s">
        <v>100</v>
      </c>
      <c r="E72" t="s">
        <v>101</v>
      </c>
      <c r="F72" t="s">
        <v>86</v>
      </c>
      <c r="G72">
        <v>2013</v>
      </c>
      <c r="H72" t="s">
        <v>1265</v>
      </c>
      <c r="I72" t="s">
        <v>1267</v>
      </c>
      <c r="J72">
        <v>23.524999999999999</v>
      </c>
      <c r="K72">
        <v>-75.760000000000005</v>
      </c>
      <c r="L72" t="s">
        <v>358</v>
      </c>
      <c r="M72" t="s">
        <v>387</v>
      </c>
      <c r="N72" t="s">
        <v>531</v>
      </c>
      <c r="O72" t="s">
        <v>532</v>
      </c>
      <c r="P72" t="s">
        <v>693</v>
      </c>
      <c r="Q72" t="s">
        <v>291</v>
      </c>
      <c r="R72" t="s">
        <v>650</v>
      </c>
      <c r="S72" t="s">
        <v>534</v>
      </c>
      <c r="T72" t="s">
        <v>331</v>
      </c>
      <c r="U72">
        <v>1</v>
      </c>
      <c r="V72" t="s">
        <v>311</v>
      </c>
      <c r="W72" t="s">
        <v>654</v>
      </c>
      <c r="X72" t="s">
        <v>340</v>
      </c>
      <c r="Y72" t="s">
        <v>311</v>
      </c>
      <c r="Z72" t="s">
        <v>1057</v>
      </c>
      <c r="AA72" t="s">
        <v>610</v>
      </c>
      <c r="AB72" t="s">
        <v>311</v>
      </c>
      <c r="AC72" t="s">
        <v>311</v>
      </c>
      <c r="AD72" t="s">
        <v>340</v>
      </c>
      <c r="AE72" t="s">
        <v>311</v>
      </c>
      <c r="AF72" t="s">
        <v>304</v>
      </c>
      <c r="AH72" t="s">
        <v>305</v>
      </c>
      <c r="AI72" t="s">
        <v>311</v>
      </c>
      <c r="AJ72" t="s">
        <v>311</v>
      </c>
      <c r="AK72" t="s">
        <v>674</v>
      </c>
      <c r="AL72" t="s">
        <v>357</v>
      </c>
      <c r="AM72" t="s">
        <v>1059</v>
      </c>
      <c r="AN72" t="s">
        <v>583</v>
      </c>
      <c r="AO72" t="s">
        <v>948</v>
      </c>
      <c r="AP72" t="s">
        <v>887</v>
      </c>
      <c r="AQ72" t="s">
        <v>887</v>
      </c>
      <c r="AR72">
        <v>10.1953125</v>
      </c>
      <c r="AS72">
        <v>0.8203125</v>
      </c>
      <c r="AT72" t="s">
        <v>311</v>
      </c>
      <c r="AU72">
        <v>60</v>
      </c>
      <c r="AV72">
        <v>1.52343749999999</v>
      </c>
      <c r="AW72">
        <v>0.234375</v>
      </c>
      <c r="AX72" t="s">
        <v>311</v>
      </c>
      <c r="AY72">
        <v>60</v>
      </c>
      <c r="AZ72" t="s">
        <v>1677</v>
      </c>
      <c r="BA72" t="s">
        <v>1680</v>
      </c>
      <c r="BB72">
        <v>0</v>
      </c>
      <c r="BC72" t="s">
        <v>1672</v>
      </c>
      <c r="BD72" t="s">
        <v>311</v>
      </c>
      <c r="BE72" t="s">
        <v>1880</v>
      </c>
      <c r="BF72" t="s">
        <v>311</v>
      </c>
      <c r="BG72" t="s">
        <v>311</v>
      </c>
      <c r="BH72" t="s">
        <v>311</v>
      </c>
      <c r="BI72" t="s">
        <v>311</v>
      </c>
      <c r="BJ72">
        <v>2.21505376344086</v>
      </c>
      <c r="BK72">
        <v>2.1505376344079785E-2</v>
      </c>
      <c r="BL72">
        <v>0.17204301075268699</v>
      </c>
      <c r="BM72">
        <v>4.3010752688173004E-2</v>
      </c>
      <c r="BN72">
        <v>10</v>
      </c>
      <c r="BO72">
        <v>10</v>
      </c>
      <c r="BP72" t="s">
        <v>311</v>
      </c>
      <c r="BQ72" t="s">
        <v>311</v>
      </c>
      <c r="BR72" t="s">
        <v>311</v>
      </c>
      <c r="BS72" t="s">
        <v>311</v>
      </c>
      <c r="BT72" t="s">
        <v>311</v>
      </c>
      <c r="BU72" t="s">
        <v>311</v>
      </c>
      <c r="BV72" t="s">
        <v>311</v>
      </c>
      <c r="BW72" t="s">
        <v>311</v>
      </c>
      <c r="BX72" t="s">
        <v>1126</v>
      </c>
      <c r="BY72" t="s">
        <v>1272</v>
      </c>
      <c r="BZ72">
        <v>0.17204301075268699</v>
      </c>
      <c r="CA72">
        <v>26.17</v>
      </c>
      <c r="CB72" t="s">
        <v>1209</v>
      </c>
      <c r="CC72" t="s">
        <v>1209</v>
      </c>
      <c r="CD72" t="s">
        <v>311</v>
      </c>
      <c r="CE72" t="s">
        <v>311</v>
      </c>
      <c r="CF72" t="s">
        <v>311</v>
      </c>
      <c r="CG72" t="s">
        <v>311</v>
      </c>
      <c r="CH72" t="s">
        <v>311</v>
      </c>
      <c r="CI72" t="s">
        <v>311</v>
      </c>
      <c r="CJ72" s="38" t="s">
        <v>311</v>
      </c>
      <c r="CK72" s="38" t="s">
        <v>311</v>
      </c>
      <c r="CL72" s="38" t="s">
        <v>311</v>
      </c>
      <c r="CM72" s="38" t="s">
        <v>311</v>
      </c>
      <c r="CN72" s="38" t="s">
        <v>311</v>
      </c>
      <c r="CO72" s="38" t="s">
        <v>311</v>
      </c>
      <c r="CP72" s="38" t="s">
        <v>311</v>
      </c>
      <c r="CQ72" t="s">
        <v>1701</v>
      </c>
      <c r="CR72" t="s">
        <v>950</v>
      </c>
    </row>
    <row r="73" spans="1:96">
      <c r="A73">
        <v>72</v>
      </c>
      <c r="B73">
        <v>16</v>
      </c>
      <c r="C73">
        <v>3</v>
      </c>
      <c r="D73" t="s">
        <v>100</v>
      </c>
      <c r="E73" t="s">
        <v>101</v>
      </c>
      <c r="F73" t="s">
        <v>86</v>
      </c>
      <c r="G73">
        <v>2013</v>
      </c>
      <c r="H73" t="s">
        <v>1268</v>
      </c>
      <c r="I73" t="s">
        <v>1269</v>
      </c>
      <c r="J73">
        <v>23.678332999999999</v>
      </c>
      <c r="K73">
        <v>-75.998333000000002</v>
      </c>
      <c r="L73" t="s">
        <v>358</v>
      </c>
      <c r="M73" t="s">
        <v>387</v>
      </c>
      <c r="N73" t="s">
        <v>531</v>
      </c>
      <c r="O73" t="s">
        <v>532</v>
      </c>
      <c r="P73" t="s">
        <v>693</v>
      </c>
      <c r="Q73" t="s">
        <v>291</v>
      </c>
      <c r="R73" t="s">
        <v>650</v>
      </c>
      <c r="S73" t="s">
        <v>534</v>
      </c>
      <c r="T73" t="s">
        <v>331</v>
      </c>
      <c r="U73">
        <v>1</v>
      </c>
      <c r="V73" t="s">
        <v>311</v>
      </c>
      <c r="W73" t="s">
        <v>654</v>
      </c>
      <c r="X73" t="s">
        <v>340</v>
      </c>
      <c r="Y73" t="s">
        <v>311</v>
      </c>
      <c r="Z73" t="s">
        <v>1057</v>
      </c>
      <c r="AA73" t="s">
        <v>610</v>
      </c>
      <c r="AB73" t="s">
        <v>311</v>
      </c>
      <c r="AC73" t="s">
        <v>311</v>
      </c>
      <c r="AD73" t="s">
        <v>340</v>
      </c>
      <c r="AE73" t="s">
        <v>311</v>
      </c>
      <c r="AF73" t="s">
        <v>304</v>
      </c>
      <c r="AH73" t="s">
        <v>305</v>
      </c>
      <c r="AI73" t="s">
        <v>311</v>
      </c>
      <c r="AJ73" t="s">
        <v>311</v>
      </c>
      <c r="AK73" t="s">
        <v>674</v>
      </c>
      <c r="AL73" t="s">
        <v>357</v>
      </c>
      <c r="AM73" t="s">
        <v>1059</v>
      </c>
      <c r="AN73" t="s">
        <v>583</v>
      </c>
      <c r="AO73" t="s">
        <v>948</v>
      </c>
      <c r="AP73" t="s">
        <v>887</v>
      </c>
      <c r="AQ73" t="s">
        <v>887</v>
      </c>
      <c r="AR73">
        <v>3.8671874999999898</v>
      </c>
      <c r="AS73">
        <v>0.93750000000001021</v>
      </c>
      <c r="AT73" t="s">
        <v>311</v>
      </c>
      <c r="AU73">
        <v>60</v>
      </c>
      <c r="AV73">
        <v>0.9375</v>
      </c>
      <c r="AW73">
        <v>0.23437499999999001</v>
      </c>
      <c r="AX73" t="s">
        <v>311</v>
      </c>
      <c r="AY73">
        <v>60</v>
      </c>
      <c r="AZ73" t="s">
        <v>1677</v>
      </c>
      <c r="BA73" t="s">
        <v>1680</v>
      </c>
      <c r="BB73">
        <v>0</v>
      </c>
      <c r="BC73" t="s">
        <v>1672</v>
      </c>
      <c r="BD73" t="s">
        <v>311</v>
      </c>
      <c r="BE73" t="s">
        <v>1880</v>
      </c>
      <c r="BF73" t="s">
        <v>311</v>
      </c>
      <c r="BG73" t="s">
        <v>311</v>
      </c>
      <c r="BH73" t="s">
        <v>311</v>
      </c>
      <c r="BI73" t="s">
        <v>311</v>
      </c>
      <c r="BJ73">
        <v>1.5652173913043399</v>
      </c>
      <c r="BK73">
        <v>2.1739130434780041E-2</v>
      </c>
      <c r="BL73">
        <v>6.5217391304347394E-2</v>
      </c>
      <c r="BM73">
        <v>4.3478260869564606E-2</v>
      </c>
      <c r="BN73">
        <v>10</v>
      </c>
      <c r="BO73">
        <v>10</v>
      </c>
      <c r="BP73" t="s">
        <v>311</v>
      </c>
      <c r="BQ73" t="s">
        <v>311</v>
      </c>
      <c r="BR73" t="s">
        <v>311</v>
      </c>
      <c r="BS73" t="s">
        <v>311</v>
      </c>
      <c r="BT73" t="s">
        <v>311</v>
      </c>
      <c r="BU73" t="s">
        <v>311</v>
      </c>
      <c r="BV73" t="s">
        <v>311</v>
      </c>
      <c r="BW73" t="s">
        <v>311</v>
      </c>
      <c r="BX73" t="s">
        <v>1126</v>
      </c>
      <c r="BY73" t="s">
        <v>1272</v>
      </c>
      <c r="BZ73">
        <v>6.5217391304347394E-2</v>
      </c>
      <c r="CA73">
        <v>26.17</v>
      </c>
      <c r="CB73" t="s">
        <v>1209</v>
      </c>
      <c r="CC73" t="s">
        <v>1209</v>
      </c>
      <c r="CD73" t="s">
        <v>311</v>
      </c>
      <c r="CE73" t="s">
        <v>311</v>
      </c>
      <c r="CF73" t="s">
        <v>311</v>
      </c>
      <c r="CG73" t="s">
        <v>311</v>
      </c>
      <c r="CH73" t="s">
        <v>311</v>
      </c>
      <c r="CI73" t="s">
        <v>311</v>
      </c>
      <c r="CJ73" s="38" t="s">
        <v>311</v>
      </c>
      <c r="CK73" s="38" t="s">
        <v>311</v>
      </c>
      <c r="CL73" s="38" t="s">
        <v>311</v>
      </c>
      <c r="CM73" s="38" t="s">
        <v>311</v>
      </c>
      <c r="CN73" s="38" t="s">
        <v>311</v>
      </c>
      <c r="CO73" s="38" t="s">
        <v>311</v>
      </c>
      <c r="CP73" s="38" t="s">
        <v>311</v>
      </c>
      <c r="CQ73" t="s">
        <v>1701</v>
      </c>
      <c r="CR73" t="s">
        <v>952</v>
      </c>
    </row>
    <row r="74" spans="1:96">
      <c r="A74">
        <v>73</v>
      </c>
      <c r="B74">
        <v>16</v>
      </c>
      <c r="C74">
        <v>4</v>
      </c>
      <c r="D74" t="s">
        <v>100</v>
      </c>
      <c r="E74" t="s">
        <v>101</v>
      </c>
      <c r="F74" t="s">
        <v>86</v>
      </c>
      <c r="G74">
        <v>2013</v>
      </c>
      <c r="H74" t="s">
        <v>1270</v>
      </c>
      <c r="I74" t="s">
        <v>1271</v>
      </c>
      <c r="J74">
        <v>23.698333000000002</v>
      </c>
      <c r="K74">
        <v>-76.004999999999995</v>
      </c>
      <c r="L74" t="s">
        <v>358</v>
      </c>
      <c r="M74" t="s">
        <v>387</v>
      </c>
      <c r="N74" t="s">
        <v>531</v>
      </c>
      <c r="O74" t="s">
        <v>532</v>
      </c>
      <c r="P74" t="s">
        <v>693</v>
      </c>
      <c r="Q74" t="s">
        <v>291</v>
      </c>
      <c r="R74" t="s">
        <v>650</v>
      </c>
      <c r="S74" t="s">
        <v>534</v>
      </c>
      <c r="T74" t="s">
        <v>331</v>
      </c>
      <c r="U74">
        <v>1</v>
      </c>
      <c r="V74" t="s">
        <v>311</v>
      </c>
      <c r="W74" t="s">
        <v>654</v>
      </c>
      <c r="X74" t="s">
        <v>340</v>
      </c>
      <c r="Y74" t="s">
        <v>311</v>
      </c>
      <c r="Z74" t="s">
        <v>1057</v>
      </c>
      <c r="AA74" t="s">
        <v>610</v>
      </c>
      <c r="AB74" t="s">
        <v>311</v>
      </c>
      <c r="AC74" t="s">
        <v>311</v>
      </c>
      <c r="AD74" t="s">
        <v>340</v>
      </c>
      <c r="AE74" t="s">
        <v>311</v>
      </c>
      <c r="AF74" t="s">
        <v>304</v>
      </c>
      <c r="AH74" t="s">
        <v>305</v>
      </c>
      <c r="AI74" t="s">
        <v>311</v>
      </c>
      <c r="AJ74" t="s">
        <v>311</v>
      </c>
      <c r="AK74" t="s">
        <v>674</v>
      </c>
      <c r="AL74" t="s">
        <v>357</v>
      </c>
      <c r="AM74" t="s">
        <v>1059</v>
      </c>
      <c r="AN74" t="s">
        <v>583</v>
      </c>
      <c r="AO74" t="s">
        <v>948</v>
      </c>
      <c r="AP74" t="s">
        <v>887</v>
      </c>
      <c r="AQ74" t="s">
        <v>887</v>
      </c>
      <c r="AR74">
        <v>16.640625</v>
      </c>
      <c r="AS74">
        <v>0.8203125</v>
      </c>
      <c r="AT74" t="s">
        <v>311</v>
      </c>
      <c r="AU74">
        <v>60</v>
      </c>
      <c r="AV74">
        <v>4.2187499999999902</v>
      </c>
      <c r="AW74">
        <v>0.46875000000000977</v>
      </c>
      <c r="AX74" t="s">
        <v>311</v>
      </c>
      <c r="AY74">
        <v>60</v>
      </c>
      <c r="AZ74" t="s">
        <v>1677</v>
      </c>
      <c r="BA74" t="s">
        <v>1680</v>
      </c>
      <c r="BB74">
        <v>0</v>
      </c>
      <c r="BC74" t="s">
        <v>1672</v>
      </c>
      <c r="BD74" t="s">
        <v>311</v>
      </c>
      <c r="BE74" t="s">
        <v>1880</v>
      </c>
      <c r="BF74" t="s">
        <v>311</v>
      </c>
      <c r="BG74" t="s">
        <v>311</v>
      </c>
      <c r="BH74" t="s">
        <v>311</v>
      </c>
      <c r="BI74" t="s">
        <v>311</v>
      </c>
      <c r="BJ74">
        <v>0.934782608695651</v>
      </c>
      <c r="BK74">
        <v>2.1739130434783038E-2</v>
      </c>
      <c r="BL74">
        <v>0.47826086956521702</v>
      </c>
      <c r="BM74">
        <v>2.1739130434781984E-2</v>
      </c>
      <c r="BN74">
        <v>10</v>
      </c>
      <c r="BO74">
        <v>10</v>
      </c>
      <c r="BP74" t="s">
        <v>311</v>
      </c>
      <c r="BQ74" t="s">
        <v>311</v>
      </c>
      <c r="BR74" t="s">
        <v>311</v>
      </c>
      <c r="BS74" t="s">
        <v>311</v>
      </c>
      <c r="BT74" t="s">
        <v>311</v>
      </c>
      <c r="BU74" t="s">
        <v>311</v>
      </c>
      <c r="BV74" t="s">
        <v>311</v>
      </c>
      <c r="BW74" t="s">
        <v>311</v>
      </c>
      <c r="BX74" t="s">
        <v>1126</v>
      </c>
      <c r="BY74" t="s">
        <v>1272</v>
      </c>
      <c r="BZ74">
        <v>0.47826086956521702</v>
      </c>
      <c r="CA74">
        <v>26.17</v>
      </c>
      <c r="CB74" t="s">
        <v>1209</v>
      </c>
      <c r="CC74" t="s">
        <v>1209</v>
      </c>
      <c r="CD74" t="s">
        <v>311</v>
      </c>
      <c r="CE74" t="s">
        <v>311</v>
      </c>
      <c r="CF74" t="s">
        <v>311</v>
      </c>
      <c r="CG74" t="s">
        <v>311</v>
      </c>
      <c r="CH74" t="s">
        <v>311</v>
      </c>
      <c r="CI74" t="s">
        <v>311</v>
      </c>
      <c r="CJ74" s="38" t="s">
        <v>311</v>
      </c>
      <c r="CK74" s="38" t="s">
        <v>311</v>
      </c>
      <c r="CL74" s="38" t="s">
        <v>311</v>
      </c>
      <c r="CM74" s="38" t="s">
        <v>311</v>
      </c>
      <c r="CN74" s="38" t="s">
        <v>311</v>
      </c>
      <c r="CO74" s="38" t="s">
        <v>311</v>
      </c>
      <c r="CP74" s="38" t="s">
        <v>311</v>
      </c>
      <c r="CQ74" t="s">
        <v>1701</v>
      </c>
      <c r="CR74" t="s">
        <v>954</v>
      </c>
    </row>
    <row r="75" spans="1:96">
      <c r="A75">
        <v>74</v>
      </c>
      <c r="B75">
        <v>16</v>
      </c>
      <c r="C75">
        <v>5</v>
      </c>
      <c r="D75" t="s">
        <v>100</v>
      </c>
      <c r="E75" t="s">
        <v>101</v>
      </c>
      <c r="F75" t="s">
        <v>86</v>
      </c>
      <c r="G75">
        <v>2013</v>
      </c>
      <c r="H75" t="s">
        <v>1265</v>
      </c>
      <c r="I75" t="s">
        <v>1266</v>
      </c>
      <c r="J75">
        <v>23.524999999999999</v>
      </c>
      <c r="K75">
        <v>-75.758332999999993</v>
      </c>
      <c r="L75" t="s">
        <v>358</v>
      </c>
      <c r="M75" t="s">
        <v>387</v>
      </c>
      <c r="N75" t="s">
        <v>531</v>
      </c>
      <c r="O75" t="s">
        <v>532</v>
      </c>
      <c r="P75" t="s">
        <v>693</v>
      </c>
      <c r="Q75" t="s">
        <v>291</v>
      </c>
      <c r="R75" t="s">
        <v>650</v>
      </c>
      <c r="S75" t="s">
        <v>534</v>
      </c>
      <c r="T75" t="s">
        <v>331</v>
      </c>
      <c r="U75">
        <v>1</v>
      </c>
      <c r="V75" t="s">
        <v>311</v>
      </c>
      <c r="W75" t="s">
        <v>654</v>
      </c>
      <c r="X75" t="s">
        <v>340</v>
      </c>
      <c r="Y75" t="s">
        <v>311</v>
      </c>
      <c r="Z75" t="s">
        <v>1057</v>
      </c>
      <c r="AA75" t="s">
        <v>610</v>
      </c>
      <c r="AB75" t="s">
        <v>311</v>
      </c>
      <c r="AC75" t="s">
        <v>311</v>
      </c>
      <c r="AD75" t="s">
        <v>340</v>
      </c>
      <c r="AE75" t="s">
        <v>311</v>
      </c>
      <c r="AF75" t="s">
        <v>567</v>
      </c>
      <c r="AG75" t="s">
        <v>1901</v>
      </c>
      <c r="AH75" t="s">
        <v>311</v>
      </c>
      <c r="AI75" t="s">
        <v>311</v>
      </c>
      <c r="AJ75" t="s">
        <v>311</v>
      </c>
      <c r="AK75" t="s">
        <v>674</v>
      </c>
      <c r="AL75" t="s">
        <v>357</v>
      </c>
      <c r="AM75" t="s">
        <v>1059</v>
      </c>
      <c r="AN75" t="s">
        <v>584</v>
      </c>
      <c r="AO75" t="s">
        <v>948</v>
      </c>
      <c r="AP75" t="s">
        <v>887</v>
      </c>
      <c r="AQ75" t="s">
        <v>887</v>
      </c>
      <c r="AR75">
        <v>19.921875</v>
      </c>
      <c r="AS75">
        <v>1.4062499999999005</v>
      </c>
      <c r="AT75" t="s">
        <v>311</v>
      </c>
      <c r="AU75">
        <v>50</v>
      </c>
      <c r="AV75">
        <v>7.96875</v>
      </c>
      <c r="AW75">
        <v>0.703125</v>
      </c>
      <c r="AX75" t="s">
        <v>311</v>
      </c>
      <c r="AY75">
        <v>50</v>
      </c>
      <c r="AZ75" t="s">
        <v>1677</v>
      </c>
      <c r="BA75" t="s">
        <v>1680</v>
      </c>
      <c r="BB75">
        <v>0</v>
      </c>
      <c r="BC75" t="s">
        <v>1672</v>
      </c>
      <c r="BD75" t="s">
        <v>311</v>
      </c>
      <c r="BE75" t="s">
        <v>1880</v>
      </c>
      <c r="BF75" t="s">
        <v>311</v>
      </c>
      <c r="BG75" t="s">
        <v>311</v>
      </c>
      <c r="BH75" t="s">
        <v>311</v>
      </c>
      <c r="BI75" t="s">
        <v>311</v>
      </c>
      <c r="BJ75">
        <v>2.5806451612903198</v>
      </c>
      <c r="BK75">
        <v>0.15053763440860024</v>
      </c>
      <c r="BL75">
        <v>0.15053763440860024</v>
      </c>
      <c r="BM75">
        <v>4.3010752688173753E-2</v>
      </c>
      <c r="BN75">
        <v>10</v>
      </c>
      <c r="BO75">
        <v>10</v>
      </c>
      <c r="BP75" t="s">
        <v>311</v>
      </c>
      <c r="BQ75" t="s">
        <v>311</v>
      </c>
      <c r="BR75" t="s">
        <v>311</v>
      </c>
      <c r="BS75" t="s">
        <v>311</v>
      </c>
      <c r="BT75" t="s">
        <v>311</v>
      </c>
      <c r="BU75" t="s">
        <v>311</v>
      </c>
      <c r="BV75" t="s">
        <v>311</v>
      </c>
      <c r="BW75" t="s">
        <v>311</v>
      </c>
      <c r="BX75" t="s">
        <v>1126</v>
      </c>
      <c r="BY75" t="s">
        <v>1272</v>
      </c>
      <c r="BZ75">
        <v>0.15053763440860024</v>
      </c>
      <c r="CA75">
        <v>26.17</v>
      </c>
      <c r="CB75" t="s">
        <v>1209</v>
      </c>
      <c r="CC75" t="s">
        <v>1209</v>
      </c>
      <c r="CD75" t="s">
        <v>311</v>
      </c>
      <c r="CE75" t="s">
        <v>311</v>
      </c>
      <c r="CF75" t="s">
        <v>311</v>
      </c>
      <c r="CG75" t="s">
        <v>311</v>
      </c>
      <c r="CH75" t="s">
        <v>311</v>
      </c>
      <c r="CI75" t="s">
        <v>311</v>
      </c>
      <c r="CJ75" s="38" t="s">
        <v>311</v>
      </c>
      <c r="CK75" s="38" t="s">
        <v>311</v>
      </c>
      <c r="CL75" s="38" t="s">
        <v>311</v>
      </c>
      <c r="CM75" s="38" t="s">
        <v>311</v>
      </c>
      <c r="CN75" s="38" t="s">
        <v>311</v>
      </c>
      <c r="CO75" s="38" t="s">
        <v>311</v>
      </c>
      <c r="CP75" s="38" t="s">
        <v>311</v>
      </c>
      <c r="CQ75" t="s">
        <v>1701</v>
      </c>
      <c r="CR75" t="s">
        <v>949</v>
      </c>
    </row>
    <row r="76" spans="1:96">
      <c r="A76">
        <v>75</v>
      </c>
      <c r="B76">
        <v>16</v>
      </c>
      <c r="C76">
        <v>6</v>
      </c>
      <c r="D76" t="s">
        <v>100</v>
      </c>
      <c r="E76" t="s">
        <v>101</v>
      </c>
      <c r="F76" t="s">
        <v>86</v>
      </c>
      <c r="G76">
        <v>2013</v>
      </c>
      <c r="H76" t="s">
        <v>1265</v>
      </c>
      <c r="I76" t="s">
        <v>1267</v>
      </c>
      <c r="J76">
        <v>23.524999999999999</v>
      </c>
      <c r="K76">
        <v>-75.760000000000005</v>
      </c>
      <c r="L76" t="s">
        <v>358</v>
      </c>
      <c r="M76" t="s">
        <v>387</v>
      </c>
      <c r="N76" t="s">
        <v>531</v>
      </c>
      <c r="O76" t="s">
        <v>532</v>
      </c>
      <c r="P76" t="s">
        <v>693</v>
      </c>
      <c r="Q76" t="s">
        <v>291</v>
      </c>
      <c r="R76" t="s">
        <v>650</v>
      </c>
      <c r="S76" t="s">
        <v>534</v>
      </c>
      <c r="T76" t="s">
        <v>331</v>
      </c>
      <c r="U76">
        <v>1</v>
      </c>
      <c r="V76" t="s">
        <v>311</v>
      </c>
      <c r="W76" t="s">
        <v>654</v>
      </c>
      <c r="X76" t="s">
        <v>340</v>
      </c>
      <c r="Y76" t="s">
        <v>311</v>
      </c>
      <c r="Z76" t="s">
        <v>1057</v>
      </c>
      <c r="AA76" t="s">
        <v>610</v>
      </c>
      <c r="AB76" t="s">
        <v>311</v>
      </c>
      <c r="AC76" t="s">
        <v>311</v>
      </c>
      <c r="AD76" t="s">
        <v>340</v>
      </c>
      <c r="AE76" t="s">
        <v>311</v>
      </c>
      <c r="AF76" t="s">
        <v>567</v>
      </c>
      <c r="AG76" t="s">
        <v>1901</v>
      </c>
      <c r="AH76" t="s">
        <v>311</v>
      </c>
      <c r="AI76" t="s">
        <v>311</v>
      </c>
      <c r="AJ76" t="s">
        <v>311</v>
      </c>
      <c r="AK76" t="s">
        <v>674</v>
      </c>
      <c r="AL76" t="s">
        <v>357</v>
      </c>
      <c r="AM76" t="s">
        <v>1059</v>
      </c>
      <c r="AN76" t="s">
        <v>584</v>
      </c>
      <c r="AO76" t="s">
        <v>948</v>
      </c>
      <c r="AP76" t="s">
        <v>887</v>
      </c>
      <c r="AQ76" t="s">
        <v>887</v>
      </c>
      <c r="AR76">
        <v>11.249999999999901</v>
      </c>
      <c r="AS76">
        <v>0.70312500000009948</v>
      </c>
      <c r="AT76" t="s">
        <v>311</v>
      </c>
      <c r="AU76">
        <v>60</v>
      </c>
      <c r="AV76">
        <v>5.3906250000000098</v>
      </c>
      <c r="AW76">
        <v>0.70312499999998046</v>
      </c>
      <c r="AX76" t="s">
        <v>311</v>
      </c>
      <c r="AY76">
        <v>60</v>
      </c>
      <c r="AZ76" t="s">
        <v>1677</v>
      </c>
      <c r="BA76" t="s">
        <v>1680</v>
      </c>
      <c r="BB76">
        <v>0</v>
      </c>
      <c r="BC76" t="s">
        <v>1672</v>
      </c>
      <c r="BD76" t="s">
        <v>311</v>
      </c>
      <c r="BE76" t="s">
        <v>1880</v>
      </c>
      <c r="BF76" t="s">
        <v>311</v>
      </c>
      <c r="BG76" t="s">
        <v>311</v>
      </c>
      <c r="BH76" t="s">
        <v>311</v>
      </c>
      <c r="BI76" t="s">
        <v>311</v>
      </c>
      <c r="BJ76">
        <v>2.21505376344086</v>
      </c>
      <c r="BK76">
        <v>2.1505376344079785E-2</v>
      </c>
      <c r="BL76">
        <v>0.17204301075268699</v>
      </c>
      <c r="BM76">
        <v>4.3010752688173004E-2</v>
      </c>
      <c r="BN76">
        <v>10</v>
      </c>
      <c r="BO76">
        <v>10</v>
      </c>
      <c r="BP76" t="s">
        <v>311</v>
      </c>
      <c r="BQ76" t="s">
        <v>311</v>
      </c>
      <c r="BR76" t="s">
        <v>311</v>
      </c>
      <c r="BS76" t="s">
        <v>311</v>
      </c>
      <c r="BT76" t="s">
        <v>311</v>
      </c>
      <c r="BU76" t="s">
        <v>311</v>
      </c>
      <c r="BV76" t="s">
        <v>311</v>
      </c>
      <c r="BW76" t="s">
        <v>311</v>
      </c>
      <c r="BX76" t="s">
        <v>1126</v>
      </c>
      <c r="BY76" t="s">
        <v>1272</v>
      </c>
      <c r="BZ76">
        <v>0.17204301075268699</v>
      </c>
      <c r="CA76">
        <v>26.17</v>
      </c>
      <c r="CB76" t="s">
        <v>1209</v>
      </c>
      <c r="CC76" t="s">
        <v>1209</v>
      </c>
      <c r="CD76" t="s">
        <v>311</v>
      </c>
      <c r="CE76" t="s">
        <v>311</v>
      </c>
      <c r="CF76" t="s">
        <v>311</v>
      </c>
      <c r="CG76" t="s">
        <v>311</v>
      </c>
      <c r="CH76" t="s">
        <v>311</v>
      </c>
      <c r="CI76" t="s">
        <v>311</v>
      </c>
      <c r="CJ76" s="38" t="s">
        <v>311</v>
      </c>
      <c r="CK76" s="38" t="s">
        <v>311</v>
      </c>
      <c r="CL76" s="38" t="s">
        <v>311</v>
      </c>
      <c r="CM76" s="38" t="s">
        <v>311</v>
      </c>
      <c r="CN76" s="38" t="s">
        <v>311</v>
      </c>
      <c r="CO76" s="38" t="s">
        <v>311</v>
      </c>
      <c r="CP76" s="38" t="s">
        <v>311</v>
      </c>
      <c r="CQ76" t="s">
        <v>1701</v>
      </c>
      <c r="CR76" t="s">
        <v>951</v>
      </c>
    </row>
    <row r="77" spans="1:96">
      <c r="A77">
        <v>76</v>
      </c>
      <c r="B77">
        <v>16</v>
      </c>
      <c r="C77">
        <v>7</v>
      </c>
      <c r="D77" t="s">
        <v>100</v>
      </c>
      <c r="E77" t="s">
        <v>101</v>
      </c>
      <c r="F77" t="s">
        <v>86</v>
      </c>
      <c r="G77">
        <v>2013</v>
      </c>
      <c r="H77" t="s">
        <v>1268</v>
      </c>
      <c r="I77" t="s">
        <v>1269</v>
      </c>
      <c r="J77">
        <v>23.678332999999999</v>
      </c>
      <c r="K77">
        <v>-75.998333000000002</v>
      </c>
      <c r="L77" t="s">
        <v>358</v>
      </c>
      <c r="M77" t="s">
        <v>387</v>
      </c>
      <c r="N77" t="s">
        <v>531</v>
      </c>
      <c r="O77" t="s">
        <v>532</v>
      </c>
      <c r="P77" t="s">
        <v>693</v>
      </c>
      <c r="Q77" t="s">
        <v>291</v>
      </c>
      <c r="R77" t="s">
        <v>650</v>
      </c>
      <c r="S77" t="s">
        <v>534</v>
      </c>
      <c r="T77" t="s">
        <v>331</v>
      </c>
      <c r="U77">
        <v>1</v>
      </c>
      <c r="V77" t="s">
        <v>311</v>
      </c>
      <c r="W77" t="s">
        <v>654</v>
      </c>
      <c r="X77" t="s">
        <v>340</v>
      </c>
      <c r="Y77" t="s">
        <v>311</v>
      </c>
      <c r="Z77" t="s">
        <v>1057</v>
      </c>
      <c r="AA77" t="s">
        <v>610</v>
      </c>
      <c r="AB77" t="s">
        <v>311</v>
      </c>
      <c r="AC77" t="s">
        <v>311</v>
      </c>
      <c r="AD77" t="s">
        <v>340</v>
      </c>
      <c r="AE77" t="s">
        <v>311</v>
      </c>
      <c r="AF77" t="s">
        <v>567</v>
      </c>
      <c r="AG77" t="s">
        <v>1901</v>
      </c>
      <c r="AH77" t="s">
        <v>311</v>
      </c>
      <c r="AI77" t="s">
        <v>311</v>
      </c>
      <c r="AJ77" t="s">
        <v>311</v>
      </c>
      <c r="AK77" t="s">
        <v>674</v>
      </c>
      <c r="AL77" t="s">
        <v>357</v>
      </c>
      <c r="AM77" t="s">
        <v>1059</v>
      </c>
      <c r="AN77" t="s">
        <v>584</v>
      </c>
      <c r="AO77" t="s">
        <v>948</v>
      </c>
      <c r="AP77" t="s">
        <v>887</v>
      </c>
      <c r="AQ77" t="s">
        <v>887</v>
      </c>
      <c r="AR77">
        <v>11.953125</v>
      </c>
      <c r="AS77">
        <v>0.93749999999990052</v>
      </c>
      <c r="AT77" t="s">
        <v>311</v>
      </c>
      <c r="AU77">
        <v>60</v>
      </c>
      <c r="AV77">
        <v>30.46875</v>
      </c>
      <c r="AW77">
        <v>0.703125</v>
      </c>
      <c r="AX77" t="s">
        <v>311</v>
      </c>
      <c r="AY77">
        <v>60</v>
      </c>
      <c r="AZ77" t="s">
        <v>1677</v>
      </c>
      <c r="BA77" t="s">
        <v>1680</v>
      </c>
      <c r="BB77">
        <v>0</v>
      </c>
      <c r="BC77" t="s">
        <v>1672</v>
      </c>
      <c r="BD77" t="s">
        <v>311</v>
      </c>
      <c r="BE77" t="s">
        <v>1880</v>
      </c>
      <c r="BF77" t="s">
        <v>311</v>
      </c>
      <c r="BG77" t="s">
        <v>311</v>
      </c>
      <c r="BH77" t="s">
        <v>311</v>
      </c>
      <c r="BI77" t="s">
        <v>311</v>
      </c>
      <c r="BJ77">
        <v>1.5652173913043399</v>
      </c>
      <c r="BK77">
        <v>2.1739130434780041E-2</v>
      </c>
      <c r="BL77">
        <v>6.5217391304347394E-2</v>
      </c>
      <c r="BM77">
        <v>4.3478260869564606E-2</v>
      </c>
      <c r="BN77">
        <v>10</v>
      </c>
      <c r="BO77">
        <v>10</v>
      </c>
      <c r="BP77" t="s">
        <v>311</v>
      </c>
      <c r="BQ77" t="s">
        <v>311</v>
      </c>
      <c r="BR77" t="s">
        <v>311</v>
      </c>
      <c r="BS77" t="s">
        <v>311</v>
      </c>
      <c r="BT77" t="s">
        <v>311</v>
      </c>
      <c r="BU77" t="s">
        <v>311</v>
      </c>
      <c r="BV77" t="s">
        <v>311</v>
      </c>
      <c r="BW77" t="s">
        <v>311</v>
      </c>
      <c r="BX77" t="s">
        <v>1126</v>
      </c>
      <c r="BY77" t="s">
        <v>1272</v>
      </c>
      <c r="BZ77">
        <v>6.5217391304347394E-2</v>
      </c>
      <c r="CA77">
        <v>26.17</v>
      </c>
      <c r="CB77" t="s">
        <v>1209</v>
      </c>
      <c r="CC77" t="s">
        <v>1209</v>
      </c>
      <c r="CD77" t="s">
        <v>311</v>
      </c>
      <c r="CE77" t="s">
        <v>311</v>
      </c>
      <c r="CF77" t="s">
        <v>311</v>
      </c>
      <c r="CG77" t="s">
        <v>311</v>
      </c>
      <c r="CH77" t="s">
        <v>311</v>
      </c>
      <c r="CI77" t="s">
        <v>311</v>
      </c>
      <c r="CJ77" s="38" t="s">
        <v>311</v>
      </c>
      <c r="CK77" s="38" t="s">
        <v>311</v>
      </c>
      <c r="CL77" s="38" t="s">
        <v>311</v>
      </c>
      <c r="CM77" s="38" t="s">
        <v>311</v>
      </c>
      <c r="CN77" s="38" t="s">
        <v>311</v>
      </c>
      <c r="CO77" s="38" t="s">
        <v>311</v>
      </c>
      <c r="CP77" s="38" t="s">
        <v>311</v>
      </c>
      <c r="CQ77" t="s">
        <v>1701</v>
      </c>
      <c r="CR77" t="s">
        <v>953</v>
      </c>
    </row>
    <row r="78" spans="1:96">
      <c r="A78">
        <v>77</v>
      </c>
      <c r="B78">
        <v>16</v>
      </c>
      <c r="C78">
        <v>8</v>
      </c>
      <c r="D78" t="s">
        <v>100</v>
      </c>
      <c r="E78" t="s">
        <v>101</v>
      </c>
      <c r="F78" t="s">
        <v>86</v>
      </c>
      <c r="G78">
        <v>2013</v>
      </c>
      <c r="H78" t="s">
        <v>1270</v>
      </c>
      <c r="I78" t="s">
        <v>1271</v>
      </c>
      <c r="J78">
        <v>23.698333000000002</v>
      </c>
      <c r="K78">
        <v>-76.004999999999995</v>
      </c>
      <c r="L78" t="s">
        <v>358</v>
      </c>
      <c r="M78" t="s">
        <v>387</v>
      </c>
      <c r="N78" t="s">
        <v>531</v>
      </c>
      <c r="O78" t="s">
        <v>532</v>
      </c>
      <c r="P78" t="s">
        <v>693</v>
      </c>
      <c r="Q78" t="s">
        <v>291</v>
      </c>
      <c r="R78" t="s">
        <v>650</v>
      </c>
      <c r="S78" t="s">
        <v>534</v>
      </c>
      <c r="T78" t="s">
        <v>331</v>
      </c>
      <c r="U78">
        <v>1</v>
      </c>
      <c r="V78" t="s">
        <v>311</v>
      </c>
      <c r="W78" t="s">
        <v>654</v>
      </c>
      <c r="X78" t="s">
        <v>340</v>
      </c>
      <c r="Y78" t="s">
        <v>311</v>
      </c>
      <c r="Z78" t="s">
        <v>1057</v>
      </c>
      <c r="AA78" t="s">
        <v>610</v>
      </c>
      <c r="AB78" t="s">
        <v>311</v>
      </c>
      <c r="AC78" t="s">
        <v>311</v>
      </c>
      <c r="AD78" t="s">
        <v>340</v>
      </c>
      <c r="AE78" t="s">
        <v>311</v>
      </c>
      <c r="AF78" t="s">
        <v>567</v>
      </c>
      <c r="AG78" t="s">
        <v>1901</v>
      </c>
      <c r="AH78" t="s">
        <v>311</v>
      </c>
      <c r="AI78" t="s">
        <v>311</v>
      </c>
      <c r="AJ78" t="s">
        <v>311</v>
      </c>
      <c r="AK78" t="s">
        <v>674</v>
      </c>
      <c r="AL78" t="s">
        <v>357</v>
      </c>
      <c r="AM78" t="s">
        <v>1059</v>
      </c>
      <c r="AN78" t="s">
        <v>584</v>
      </c>
      <c r="AO78" t="s">
        <v>948</v>
      </c>
      <c r="AP78" t="s">
        <v>887</v>
      </c>
      <c r="AQ78" t="s">
        <v>887</v>
      </c>
      <c r="AR78">
        <v>8.9062499999999893</v>
      </c>
      <c r="AS78">
        <v>0.93750000000002132</v>
      </c>
      <c r="AT78" t="s">
        <v>311</v>
      </c>
      <c r="AU78">
        <v>60</v>
      </c>
      <c r="AV78">
        <v>2.34375</v>
      </c>
      <c r="AW78">
        <v>0.46874999999998979</v>
      </c>
      <c r="AX78" t="s">
        <v>311</v>
      </c>
      <c r="AY78">
        <v>60</v>
      </c>
      <c r="AZ78" t="s">
        <v>1677</v>
      </c>
      <c r="BA78" t="s">
        <v>1680</v>
      </c>
      <c r="BB78">
        <v>0</v>
      </c>
      <c r="BC78" t="s">
        <v>1672</v>
      </c>
      <c r="BD78" t="s">
        <v>311</v>
      </c>
      <c r="BE78" t="s">
        <v>1880</v>
      </c>
      <c r="BF78" t="s">
        <v>311</v>
      </c>
      <c r="BG78" t="s">
        <v>311</v>
      </c>
      <c r="BH78" t="s">
        <v>311</v>
      </c>
      <c r="BI78" t="s">
        <v>311</v>
      </c>
      <c r="BJ78">
        <v>0.934782608695651</v>
      </c>
      <c r="BK78">
        <v>2.1739130434783038E-2</v>
      </c>
      <c r="BL78">
        <v>0.47826086956521702</v>
      </c>
      <c r="BM78">
        <v>2.1739130434781984E-2</v>
      </c>
      <c r="BN78">
        <v>10</v>
      </c>
      <c r="BO78">
        <v>10</v>
      </c>
      <c r="BP78" t="s">
        <v>311</v>
      </c>
      <c r="BQ78" t="s">
        <v>311</v>
      </c>
      <c r="BR78" t="s">
        <v>311</v>
      </c>
      <c r="BS78" t="s">
        <v>311</v>
      </c>
      <c r="BT78" t="s">
        <v>311</v>
      </c>
      <c r="BU78" t="s">
        <v>311</v>
      </c>
      <c r="BV78" t="s">
        <v>311</v>
      </c>
      <c r="BW78" t="s">
        <v>311</v>
      </c>
      <c r="BX78" t="s">
        <v>1126</v>
      </c>
      <c r="BY78" t="s">
        <v>1272</v>
      </c>
      <c r="BZ78">
        <v>0.47826086956521702</v>
      </c>
      <c r="CA78">
        <v>26.17</v>
      </c>
      <c r="CB78" t="s">
        <v>1209</v>
      </c>
      <c r="CC78" t="s">
        <v>1209</v>
      </c>
      <c r="CD78" t="s">
        <v>311</v>
      </c>
      <c r="CE78" t="s">
        <v>311</v>
      </c>
      <c r="CF78" t="s">
        <v>311</v>
      </c>
      <c r="CG78" t="s">
        <v>311</v>
      </c>
      <c r="CH78" t="s">
        <v>311</v>
      </c>
      <c r="CI78" t="s">
        <v>311</v>
      </c>
      <c r="CJ78" s="38" t="s">
        <v>311</v>
      </c>
      <c r="CK78" s="38" t="s">
        <v>311</v>
      </c>
      <c r="CL78" s="38" t="s">
        <v>311</v>
      </c>
      <c r="CM78" s="38" t="s">
        <v>311</v>
      </c>
      <c r="CN78" s="38" t="s">
        <v>311</v>
      </c>
      <c r="CO78" s="38" t="s">
        <v>311</v>
      </c>
      <c r="CP78" s="38" t="s">
        <v>311</v>
      </c>
      <c r="CQ78" t="s">
        <v>1701</v>
      </c>
      <c r="CR78" t="s">
        <v>955</v>
      </c>
    </row>
    <row r="79" spans="1:96">
      <c r="A79">
        <v>78</v>
      </c>
      <c r="B79">
        <v>16</v>
      </c>
      <c r="C79">
        <v>9</v>
      </c>
      <c r="D79" t="s">
        <v>100</v>
      </c>
      <c r="E79" t="s">
        <v>101</v>
      </c>
      <c r="F79" t="s">
        <v>86</v>
      </c>
      <c r="G79">
        <v>2013</v>
      </c>
      <c r="H79" t="s">
        <v>1265</v>
      </c>
      <c r="I79" t="s">
        <v>1266</v>
      </c>
      <c r="J79">
        <v>23.524999999999999</v>
      </c>
      <c r="K79">
        <v>-75.758332999999993</v>
      </c>
      <c r="L79" t="s">
        <v>358</v>
      </c>
      <c r="M79" t="s">
        <v>387</v>
      </c>
      <c r="N79" t="s">
        <v>531</v>
      </c>
      <c r="O79" t="s">
        <v>532</v>
      </c>
      <c r="P79" t="s">
        <v>693</v>
      </c>
      <c r="Q79" t="s">
        <v>291</v>
      </c>
      <c r="R79" t="s">
        <v>650</v>
      </c>
      <c r="S79" t="s">
        <v>534</v>
      </c>
      <c r="T79" t="s">
        <v>331</v>
      </c>
      <c r="U79">
        <v>1</v>
      </c>
      <c r="V79" t="s">
        <v>311</v>
      </c>
      <c r="W79" t="s">
        <v>654</v>
      </c>
      <c r="X79" t="s">
        <v>340</v>
      </c>
      <c r="Y79" t="s">
        <v>311</v>
      </c>
      <c r="Z79" t="s">
        <v>1057</v>
      </c>
      <c r="AA79" t="s">
        <v>610</v>
      </c>
      <c r="AB79" t="s">
        <v>311</v>
      </c>
      <c r="AC79" t="s">
        <v>311</v>
      </c>
      <c r="AD79" t="s">
        <v>292</v>
      </c>
      <c r="AE79" t="s">
        <v>653</v>
      </c>
      <c r="AF79" t="s">
        <v>304</v>
      </c>
      <c r="AH79" t="s">
        <v>305</v>
      </c>
      <c r="AI79" t="s">
        <v>652</v>
      </c>
      <c r="AJ79" t="s">
        <v>651</v>
      </c>
      <c r="AK79" t="s">
        <v>1274</v>
      </c>
      <c r="AL79" t="s">
        <v>357</v>
      </c>
      <c r="AM79" t="s">
        <v>1059</v>
      </c>
      <c r="AN79" t="s">
        <v>583</v>
      </c>
      <c r="AO79" t="s">
        <v>1294</v>
      </c>
      <c r="AP79" t="s">
        <v>614</v>
      </c>
      <c r="AQ79" t="s">
        <v>614</v>
      </c>
      <c r="AR79">
        <v>46.510067114093999</v>
      </c>
      <c r="AS79">
        <v>3.151505203187714</v>
      </c>
      <c r="AT79" t="s">
        <v>311</v>
      </c>
      <c r="AU79">
        <v>13</v>
      </c>
      <c r="AV79">
        <v>37.114093959732003</v>
      </c>
      <c r="AW79">
        <v>2.3489932885908047</v>
      </c>
      <c r="AX79" t="s">
        <v>311</v>
      </c>
      <c r="AY79">
        <v>11</v>
      </c>
      <c r="AZ79" t="s">
        <v>1055</v>
      </c>
      <c r="BA79" t="s">
        <v>1679</v>
      </c>
      <c r="BB79">
        <v>1825</v>
      </c>
      <c r="BC79" t="s">
        <v>1672</v>
      </c>
      <c r="BD79" t="s">
        <v>311</v>
      </c>
      <c r="BE79" t="s">
        <v>1880</v>
      </c>
      <c r="BF79" t="s">
        <v>311</v>
      </c>
      <c r="BG79" t="s">
        <v>311</v>
      </c>
      <c r="BH79" t="s">
        <v>311</v>
      </c>
      <c r="BI79" t="s">
        <v>311</v>
      </c>
      <c r="BJ79">
        <v>2.5806451612903198</v>
      </c>
      <c r="BK79">
        <v>0.15053763440860024</v>
      </c>
      <c r="BL79">
        <v>0.15053763440860024</v>
      </c>
      <c r="BM79">
        <v>4.3010752688173753E-2</v>
      </c>
      <c r="BN79">
        <v>10</v>
      </c>
      <c r="BO79">
        <v>10</v>
      </c>
      <c r="BP79" t="s">
        <v>311</v>
      </c>
      <c r="BQ79" t="s">
        <v>311</v>
      </c>
      <c r="BR79" t="s">
        <v>311</v>
      </c>
      <c r="BS79" t="s">
        <v>311</v>
      </c>
      <c r="BT79" t="s">
        <v>311</v>
      </c>
      <c r="BU79" t="s">
        <v>311</v>
      </c>
      <c r="BV79" t="s">
        <v>311</v>
      </c>
      <c r="BW79" t="s">
        <v>311</v>
      </c>
      <c r="BX79" t="s">
        <v>1126</v>
      </c>
      <c r="BY79" t="s">
        <v>1272</v>
      </c>
      <c r="BZ79">
        <v>0.15053763440860024</v>
      </c>
      <c r="CA79">
        <v>26.17</v>
      </c>
      <c r="CB79" t="s">
        <v>1209</v>
      </c>
      <c r="CC79" t="s">
        <v>1209</v>
      </c>
      <c r="CD79" t="s">
        <v>311</v>
      </c>
      <c r="CE79" t="s">
        <v>311</v>
      </c>
      <c r="CF79" t="s">
        <v>311</v>
      </c>
      <c r="CG79" t="s">
        <v>311</v>
      </c>
      <c r="CH79" t="s">
        <v>311</v>
      </c>
      <c r="CI79" t="s">
        <v>311</v>
      </c>
      <c r="CJ79" s="38" t="s">
        <v>311</v>
      </c>
      <c r="CK79" s="38" t="s">
        <v>311</v>
      </c>
      <c r="CL79" s="38" t="s">
        <v>311</v>
      </c>
      <c r="CM79" s="38" t="s">
        <v>311</v>
      </c>
      <c r="CN79" s="38" t="s">
        <v>311</v>
      </c>
      <c r="CO79" s="38" t="s">
        <v>311</v>
      </c>
      <c r="CP79" s="38" t="s">
        <v>311</v>
      </c>
      <c r="CQ79" t="s">
        <v>1799</v>
      </c>
      <c r="CR79" t="s">
        <v>1869</v>
      </c>
    </row>
    <row r="80" spans="1:96" s="30" customFormat="1">
      <c r="A80">
        <v>79</v>
      </c>
      <c r="B80" s="30">
        <v>16</v>
      </c>
      <c r="C80" s="30">
        <v>10</v>
      </c>
      <c r="D80" s="30" t="s">
        <v>100</v>
      </c>
      <c r="E80" s="30" t="s">
        <v>101</v>
      </c>
      <c r="F80" s="30" t="s">
        <v>86</v>
      </c>
      <c r="G80" s="30">
        <v>2013</v>
      </c>
      <c r="H80" s="30" t="s">
        <v>1265</v>
      </c>
      <c r="I80" s="30" t="s">
        <v>1266</v>
      </c>
      <c r="J80" s="30">
        <v>23.524999999999999</v>
      </c>
      <c r="K80" s="30">
        <v>-75.758332999999993</v>
      </c>
      <c r="L80" s="30" t="s">
        <v>358</v>
      </c>
      <c r="M80" s="30" t="s">
        <v>387</v>
      </c>
      <c r="N80" s="30" t="s">
        <v>531</v>
      </c>
      <c r="O80" s="30" t="s">
        <v>532</v>
      </c>
      <c r="P80" s="30" t="s">
        <v>693</v>
      </c>
      <c r="Q80" s="30" t="s">
        <v>291</v>
      </c>
      <c r="R80" s="30" t="s">
        <v>650</v>
      </c>
      <c r="S80" s="30" t="s">
        <v>534</v>
      </c>
      <c r="T80" s="30" t="s">
        <v>331</v>
      </c>
      <c r="U80" s="30">
        <v>1</v>
      </c>
      <c r="V80" s="30" t="s">
        <v>311</v>
      </c>
      <c r="W80" s="30" t="s">
        <v>654</v>
      </c>
      <c r="X80" s="30" t="s">
        <v>340</v>
      </c>
      <c r="Y80" s="30" t="s">
        <v>311</v>
      </c>
      <c r="Z80" s="30" t="s">
        <v>1057</v>
      </c>
      <c r="AA80" s="30" t="s">
        <v>610</v>
      </c>
      <c r="AB80" s="30" t="s">
        <v>311</v>
      </c>
      <c r="AC80" s="30" t="s">
        <v>311</v>
      </c>
      <c r="AD80" s="30" t="s">
        <v>292</v>
      </c>
      <c r="AE80" s="30" t="s">
        <v>653</v>
      </c>
      <c r="AF80" s="30" t="s">
        <v>304</v>
      </c>
      <c r="AH80" s="30" t="s">
        <v>305</v>
      </c>
      <c r="AI80" s="30" t="s">
        <v>652</v>
      </c>
      <c r="AJ80" s="30" t="s">
        <v>651</v>
      </c>
      <c r="AK80" s="30" t="s">
        <v>1274</v>
      </c>
      <c r="AL80" s="30" t="s">
        <v>357</v>
      </c>
      <c r="AM80" s="30" t="s">
        <v>1059</v>
      </c>
      <c r="AN80" s="30" t="s">
        <v>583</v>
      </c>
      <c r="AO80" s="30" t="s">
        <v>1294</v>
      </c>
      <c r="AP80" s="30" t="s">
        <v>887</v>
      </c>
      <c r="AQ80" s="30" t="s">
        <v>614</v>
      </c>
      <c r="AR80" s="30">
        <v>158.120805369127</v>
      </c>
      <c r="AS80" s="30">
        <v>1.4093959731540053</v>
      </c>
      <c r="AT80" s="30" t="s">
        <v>311</v>
      </c>
      <c r="AU80" s="30">
        <v>13</v>
      </c>
      <c r="AV80" s="30">
        <v>148.724832214765</v>
      </c>
      <c r="AW80" s="30">
        <v>1.4093959731540053</v>
      </c>
      <c r="AX80" s="30" t="s">
        <v>311</v>
      </c>
      <c r="AY80" s="30">
        <v>11</v>
      </c>
      <c r="AZ80" s="30" t="s">
        <v>1055</v>
      </c>
      <c r="BA80" s="30" t="s">
        <v>1679</v>
      </c>
      <c r="BB80">
        <v>1825</v>
      </c>
      <c r="BC80" s="30" t="s">
        <v>1673</v>
      </c>
      <c r="BD80" s="30" t="s">
        <v>311</v>
      </c>
      <c r="BE80" s="30" t="s">
        <v>1880</v>
      </c>
      <c r="BF80" s="30" t="s">
        <v>311</v>
      </c>
      <c r="BG80" s="30" t="s">
        <v>311</v>
      </c>
      <c r="BH80" s="30" t="s">
        <v>311</v>
      </c>
      <c r="BI80" s="30" t="s">
        <v>311</v>
      </c>
      <c r="BJ80" s="30">
        <v>2.5806451612903198</v>
      </c>
      <c r="BK80" s="30">
        <v>0.15053763440860024</v>
      </c>
      <c r="BL80" s="30">
        <v>0.15053763440860024</v>
      </c>
      <c r="BM80" s="30">
        <v>4.3010752688173753E-2</v>
      </c>
      <c r="BN80" s="30">
        <v>10</v>
      </c>
      <c r="BO80" s="30">
        <v>10</v>
      </c>
      <c r="BP80" s="30" t="s">
        <v>311</v>
      </c>
      <c r="BQ80" s="30" t="s">
        <v>311</v>
      </c>
      <c r="BR80" s="30" t="s">
        <v>311</v>
      </c>
      <c r="BS80" s="30" t="s">
        <v>311</v>
      </c>
      <c r="BT80" s="30" t="s">
        <v>311</v>
      </c>
      <c r="BU80" s="30" t="s">
        <v>311</v>
      </c>
      <c r="BV80" s="30" t="s">
        <v>311</v>
      </c>
      <c r="BW80" s="30" t="s">
        <v>311</v>
      </c>
      <c r="BX80" s="30" t="s">
        <v>1126</v>
      </c>
      <c r="BY80" s="30" t="s">
        <v>1272</v>
      </c>
      <c r="BZ80" s="30">
        <v>0.15053763440860024</v>
      </c>
      <c r="CA80" s="30">
        <v>26.17</v>
      </c>
      <c r="CB80" s="30" t="s">
        <v>1209</v>
      </c>
      <c r="CC80" s="30" t="s">
        <v>1209</v>
      </c>
      <c r="CD80" s="30" t="s">
        <v>311</v>
      </c>
      <c r="CE80" s="30" t="s">
        <v>311</v>
      </c>
      <c r="CF80" s="30" t="s">
        <v>311</v>
      </c>
      <c r="CG80" s="30" t="s">
        <v>311</v>
      </c>
      <c r="CH80" s="30" t="s">
        <v>311</v>
      </c>
      <c r="CI80" s="30" t="s">
        <v>311</v>
      </c>
      <c r="CJ80" s="38" t="s">
        <v>311</v>
      </c>
      <c r="CK80" s="38" t="s">
        <v>311</v>
      </c>
      <c r="CL80" s="38" t="s">
        <v>311</v>
      </c>
      <c r="CM80" s="38" t="s">
        <v>311</v>
      </c>
      <c r="CN80" s="38" t="s">
        <v>311</v>
      </c>
      <c r="CO80" s="38" t="s">
        <v>311</v>
      </c>
      <c r="CP80" s="38" t="s">
        <v>311</v>
      </c>
      <c r="CQ80" s="30" t="s">
        <v>1799</v>
      </c>
      <c r="CR80" s="30" t="s">
        <v>1870</v>
      </c>
    </row>
    <row r="81" spans="1:96">
      <c r="A81">
        <v>80</v>
      </c>
      <c r="B81">
        <v>16</v>
      </c>
      <c r="C81">
        <v>11</v>
      </c>
      <c r="D81" t="s">
        <v>100</v>
      </c>
      <c r="E81" t="s">
        <v>101</v>
      </c>
      <c r="F81" t="s">
        <v>86</v>
      </c>
      <c r="G81">
        <v>2013</v>
      </c>
      <c r="H81" t="s">
        <v>1265</v>
      </c>
      <c r="I81" t="s">
        <v>1267</v>
      </c>
      <c r="J81">
        <v>23.524999999999999</v>
      </c>
      <c r="K81">
        <v>-75.760000000000005</v>
      </c>
      <c r="L81" t="s">
        <v>358</v>
      </c>
      <c r="M81" t="s">
        <v>387</v>
      </c>
      <c r="N81" t="s">
        <v>531</v>
      </c>
      <c r="O81" t="s">
        <v>532</v>
      </c>
      <c r="P81" t="s">
        <v>693</v>
      </c>
      <c r="Q81" t="s">
        <v>291</v>
      </c>
      <c r="R81" t="s">
        <v>650</v>
      </c>
      <c r="S81" t="s">
        <v>534</v>
      </c>
      <c r="T81" t="s">
        <v>331</v>
      </c>
      <c r="U81">
        <v>1</v>
      </c>
      <c r="V81" t="s">
        <v>311</v>
      </c>
      <c r="W81" t="s">
        <v>654</v>
      </c>
      <c r="X81" t="s">
        <v>340</v>
      </c>
      <c r="Y81" t="s">
        <v>311</v>
      </c>
      <c r="Z81" t="s">
        <v>1057</v>
      </c>
      <c r="AA81" t="s">
        <v>610</v>
      </c>
      <c r="AB81" t="s">
        <v>311</v>
      </c>
      <c r="AC81" t="s">
        <v>311</v>
      </c>
      <c r="AD81" t="s">
        <v>292</v>
      </c>
      <c r="AE81" t="s">
        <v>653</v>
      </c>
      <c r="AF81" t="s">
        <v>304</v>
      </c>
      <c r="AH81" t="s">
        <v>305</v>
      </c>
      <c r="AI81" t="s">
        <v>652</v>
      </c>
      <c r="AJ81" t="s">
        <v>651</v>
      </c>
      <c r="AK81" t="s">
        <v>1274</v>
      </c>
      <c r="AL81" t="s">
        <v>357</v>
      </c>
      <c r="AM81" t="s">
        <v>1059</v>
      </c>
      <c r="AN81" t="s">
        <v>583</v>
      </c>
      <c r="AO81" t="s">
        <v>1294</v>
      </c>
      <c r="AP81" t="s">
        <v>614</v>
      </c>
      <c r="AQ81" t="s">
        <v>614</v>
      </c>
      <c r="AR81">
        <v>41.342281879194985</v>
      </c>
      <c r="AS81">
        <v>3.0081791719483326</v>
      </c>
      <c r="AT81" t="s">
        <v>311</v>
      </c>
      <c r="AU81">
        <v>13</v>
      </c>
      <c r="AV81">
        <v>31.006711409396004</v>
      </c>
      <c r="AW81">
        <v>3.0081791719489543</v>
      </c>
      <c r="AX81" t="s">
        <v>311</v>
      </c>
      <c r="AY81">
        <v>11</v>
      </c>
      <c r="AZ81" t="s">
        <v>1055</v>
      </c>
      <c r="BA81" t="s">
        <v>1679</v>
      </c>
      <c r="BB81">
        <v>1825</v>
      </c>
      <c r="BC81" t="s">
        <v>1672</v>
      </c>
      <c r="BD81" t="s">
        <v>311</v>
      </c>
      <c r="BE81" t="s">
        <v>1880</v>
      </c>
      <c r="BF81" t="s">
        <v>311</v>
      </c>
      <c r="BG81" t="s">
        <v>311</v>
      </c>
      <c r="BH81" t="s">
        <v>311</v>
      </c>
      <c r="BI81" t="s">
        <v>311</v>
      </c>
      <c r="BJ81">
        <v>2.21505376344086</v>
      </c>
      <c r="BK81">
        <v>2.1505376344079785E-2</v>
      </c>
      <c r="BL81">
        <v>0.17204301075268699</v>
      </c>
      <c r="BM81">
        <v>4.3010752688173004E-2</v>
      </c>
      <c r="BN81">
        <v>10</v>
      </c>
      <c r="BO81">
        <v>10</v>
      </c>
      <c r="BP81" t="s">
        <v>311</v>
      </c>
      <c r="BQ81" t="s">
        <v>311</v>
      </c>
      <c r="BR81" t="s">
        <v>311</v>
      </c>
      <c r="BS81" t="s">
        <v>311</v>
      </c>
      <c r="BT81" t="s">
        <v>311</v>
      </c>
      <c r="BU81" t="s">
        <v>311</v>
      </c>
      <c r="BV81" t="s">
        <v>311</v>
      </c>
      <c r="BW81" t="s">
        <v>311</v>
      </c>
      <c r="BX81" t="s">
        <v>1126</v>
      </c>
      <c r="BY81" t="s">
        <v>1272</v>
      </c>
      <c r="BZ81">
        <v>0.17204301075268699</v>
      </c>
      <c r="CA81">
        <v>26.17</v>
      </c>
      <c r="CB81" t="s">
        <v>1209</v>
      </c>
      <c r="CC81" t="s">
        <v>1209</v>
      </c>
      <c r="CD81" t="s">
        <v>311</v>
      </c>
      <c r="CE81" t="s">
        <v>311</v>
      </c>
      <c r="CF81" t="s">
        <v>311</v>
      </c>
      <c r="CG81" t="s">
        <v>311</v>
      </c>
      <c r="CH81" t="s">
        <v>311</v>
      </c>
      <c r="CI81" t="s">
        <v>311</v>
      </c>
      <c r="CJ81" s="38" t="s">
        <v>311</v>
      </c>
      <c r="CK81" s="38" t="s">
        <v>311</v>
      </c>
      <c r="CL81" s="38" t="s">
        <v>311</v>
      </c>
      <c r="CM81" s="38" t="s">
        <v>311</v>
      </c>
      <c r="CN81" s="38" t="s">
        <v>311</v>
      </c>
      <c r="CO81" s="38" t="s">
        <v>311</v>
      </c>
      <c r="CP81" s="38" t="s">
        <v>311</v>
      </c>
      <c r="CQ81" t="s">
        <v>1799</v>
      </c>
      <c r="CR81" t="s">
        <v>1604</v>
      </c>
    </row>
    <row r="82" spans="1:96" s="30" customFormat="1">
      <c r="A82">
        <v>81</v>
      </c>
      <c r="B82" s="30">
        <v>16</v>
      </c>
      <c r="C82" s="30">
        <v>12</v>
      </c>
      <c r="D82" s="30" t="s">
        <v>100</v>
      </c>
      <c r="E82" s="30" t="s">
        <v>101</v>
      </c>
      <c r="F82" s="30" t="s">
        <v>86</v>
      </c>
      <c r="G82" s="30">
        <v>2013</v>
      </c>
      <c r="H82" s="30" t="s">
        <v>1265</v>
      </c>
      <c r="I82" s="30" t="s">
        <v>1267</v>
      </c>
      <c r="J82" s="30">
        <v>23.524999999999999</v>
      </c>
      <c r="K82" s="30">
        <v>-75.760000000000005</v>
      </c>
      <c r="L82" s="30" t="s">
        <v>358</v>
      </c>
      <c r="M82" s="30" t="s">
        <v>387</v>
      </c>
      <c r="N82" s="30" t="s">
        <v>531</v>
      </c>
      <c r="O82" s="30" t="s">
        <v>532</v>
      </c>
      <c r="P82" s="30" t="s">
        <v>693</v>
      </c>
      <c r="Q82" s="30" t="s">
        <v>291</v>
      </c>
      <c r="R82" s="30" t="s">
        <v>650</v>
      </c>
      <c r="S82" s="30" t="s">
        <v>534</v>
      </c>
      <c r="T82" s="30" t="s">
        <v>331</v>
      </c>
      <c r="U82" s="30">
        <v>1</v>
      </c>
      <c r="V82" s="30" t="s">
        <v>311</v>
      </c>
      <c r="W82" s="30" t="s">
        <v>654</v>
      </c>
      <c r="X82" s="30" t="s">
        <v>340</v>
      </c>
      <c r="Y82" s="30" t="s">
        <v>311</v>
      </c>
      <c r="Z82" s="30" t="s">
        <v>1057</v>
      </c>
      <c r="AA82" s="30" t="s">
        <v>610</v>
      </c>
      <c r="AB82" s="30" t="s">
        <v>311</v>
      </c>
      <c r="AC82" s="30" t="s">
        <v>311</v>
      </c>
      <c r="AD82" s="30" t="s">
        <v>292</v>
      </c>
      <c r="AE82" s="30" t="s">
        <v>653</v>
      </c>
      <c r="AF82" s="30" t="s">
        <v>304</v>
      </c>
      <c r="AH82" s="30" t="s">
        <v>305</v>
      </c>
      <c r="AI82" s="30" t="s">
        <v>652</v>
      </c>
      <c r="AJ82" s="30" t="s">
        <v>651</v>
      </c>
      <c r="AK82" s="30" t="s">
        <v>1274</v>
      </c>
      <c r="AL82" s="30" t="s">
        <v>357</v>
      </c>
      <c r="AM82" s="30" t="s">
        <v>1059</v>
      </c>
      <c r="AN82" s="30" t="s">
        <v>583</v>
      </c>
      <c r="AO82" s="30" t="s">
        <v>1294</v>
      </c>
      <c r="AP82" s="30" t="s">
        <v>887</v>
      </c>
      <c r="AQ82" s="30" t="s">
        <v>614</v>
      </c>
      <c r="AR82" s="30">
        <v>142.14765100671099</v>
      </c>
      <c r="AS82" s="30">
        <v>1.8791946308720071</v>
      </c>
      <c r="AT82" s="30" t="s">
        <v>311</v>
      </c>
      <c r="AU82" s="30">
        <v>13</v>
      </c>
      <c r="AV82" s="30">
        <v>135.100671140939</v>
      </c>
      <c r="AW82" s="30">
        <v>1.8791946308730019</v>
      </c>
      <c r="AX82" s="30" t="s">
        <v>311</v>
      </c>
      <c r="AY82" s="30">
        <v>11</v>
      </c>
      <c r="AZ82" s="30" t="s">
        <v>1055</v>
      </c>
      <c r="BA82" s="30" t="s">
        <v>1679</v>
      </c>
      <c r="BB82">
        <v>1825</v>
      </c>
      <c r="BC82" s="30" t="s">
        <v>1673</v>
      </c>
      <c r="BD82" s="30" t="s">
        <v>311</v>
      </c>
      <c r="BE82" s="30" t="s">
        <v>1880</v>
      </c>
      <c r="BF82" s="30" t="s">
        <v>311</v>
      </c>
      <c r="BG82" s="30" t="s">
        <v>311</v>
      </c>
      <c r="BH82" s="30" t="s">
        <v>311</v>
      </c>
      <c r="BI82" s="30" t="s">
        <v>311</v>
      </c>
      <c r="BJ82" s="30">
        <v>2.21505376344086</v>
      </c>
      <c r="BK82" s="30">
        <v>2.1505376344079785E-2</v>
      </c>
      <c r="BL82" s="30">
        <v>0.17204301075268699</v>
      </c>
      <c r="BM82" s="30">
        <v>4.3010752688173004E-2</v>
      </c>
      <c r="BN82" s="30">
        <v>10</v>
      </c>
      <c r="BO82" s="30">
        <v>10</v>
      </c>
      <c r="BP82" s="30" t="s">
        <v>311</v>
      </c>
      <c r="BQ82" s="30" t="s">
        <v>311</v>
      </c>
      <c r="BR82" s="30" t="s">
        <v>311</v>
      </c>
      <c r="BS82" s="30" t="s">
        <v>311</v>
      </c>
      <c r="BT82" s="30" t="s">
        <v>311</v>
      </c>
      <c r="BU82" s="30" t="s">
        <v>311</v>
      </c>
      <c r="BV82" s="30" t="s">
        <v>311</v>
      </c>
      <c r="BW82" s="30" t="s">
        <v>311</v>
      </c>
      <c r="BX82" s="30" t="s">
        <v>1126</v>
      </c>
      <c r="BY82" s="30" t="s">
        <v>1272</v>
      </c>
      <c r="BZ82" s="30">
        <v>0.17204301075268699</v>
      </c>
      <c r="CA82" s="30">
        <v>26.17</v>
      </c>
      <c r="CB82" s="30" t="s">
        <v>1209</v>
      </c>
      <c r="CC82" s="30" t="s">
        <v>1209</v>
      </c>
      <c r="CD82" s="30" t="s">
        <v>311</v>
      </c>
      <c r="CE82" s="30" t="s">
        <v>311</v>
      </c>
      <c r="CF82" s="30" t="s">
        <v>311</v>
      </c>
      <c r="CG82" s="30" t="s">
        <v>311</v>
      </c>
      <c r="CH82" s="30" t="s">
        <v>311</v>
      </c>
      <c r="CI82" s="30" t="s">
        <v>311</v>
      </c>
      <c r="CJ82" s="38" t="s">
        <v>311</v>
      </c>
      <c r="CK82" s="38" t="s">
        <v>311</v>
      </c>
      <c r="CL82" s="38" t="s">
        <v>311</v>
      </c>
      <c r="CM82" s="38" t="s">
        <v>311</v>
      </c>
      <c r="CN82" s="38" t="s">
        <v>311</v>
      </c>
      <c r="CO82" s="38" t="s">
        <v>311</v>
      </c>
      <c r="CP82" s="38" t="s">
        <v>311</v>
      </c>
      <c r="CQ82" s="30" t="s">
        <v>1799</v>
      </c>
      <c r="CR82" s="30" t="s">
        <v>1871</v>
      </c>
    </row>
    <row r="83" spans="1:96">
      <c r="A83">
        <v>82</v>
      </c>
      <c r="B83">
        <v>16</v>
      </c>
      <c r="C83">
        <v>13</v>
      </c>
      <c r="D83" t="s">
        <v>100</v>
      </c>
      <c r="E83" t="s">
        <v>101</v>
      </c>
      <c r="F83" t="s">
        <v>86</v>
      </c>
      <c r="G83">
        <v>2013</v>
      </c>
      <c r="H83" t="s">
        <v>1268</v>
      </c>
      <c r="I83" t="s">
        <v>1269</v>
      </c>
      <c r="J83">
        <v>23.678332999999999</v>
      </c>
      <c r="K83">
        <v>-75.998333000000002</v>
      </c>
      <c r="L83" t="s">
        <v>358</v>
      </c>
      <c r="M83" t="s">
        <v>387</v>
      </c>
      <c r="N83" t="s">
        <v>531</v>
      </c>
      <c r="O83" t="s">
        <v>532</v>
      </c>
      <c r="P83" t="s">
        <v>693</v>
      </c>
      <c r="Q83" t="s">
        <v>291</v>
      </c>
      <c r="R83" t="s">
        <v>650</v>
      </c>
      <c r="S83" t="s">
        <v>534</v>
      </c>
      <c r="T83" t="s">
        <v>331</v>
      </c>
      <c r="U83">
        <v>1</v>
      </c>
      <c r="V83" t="s">
        <v>311</v>
      </c>
      <c r="W83" t="s">
        <v>654</v>
      </c>
      <c r="X83" t="s">
        <v>340</v>
      </c>
      <c r="Y83" t="s">
        <v>311</v>
      </c>
      <c r="Z83" t="s">
        <v>1057</v>
      </c>
      <c r="AA83" t="s">
        <v>610</v>
      </c>
      <c r="AB83" t="s">
        <v>311</v>
      </c>
      <c r="AC83" t="s">
        <v>311</v>
      </c>
      <c r="AD83" t="s">
        <v>292</v>
      </c>
      <c r="AE83" t="s">
        <v>653</v>
      </c>
      <c r="AF83" t="s">
        <v>304</v>
      </c>
      <c r="AH83" t="s">
        <v>305</v>
      </c>
      <c r="AI83" t="s">
        <v>652</v>
      </c>
      <c r="AJ83" t="s">
        <v>651</v>
      </c>
      <c r="AK83" t="s">
        <v>1274</v>
      </c>
      <c r="AL83" t="s">
        <v>357</v>
      </c>
      <c r="AM83" t="s">
        <v>1059</v>
      </c>
      <c r="AN83" t="s">
        <v>583</v>
      </c>
      <c r="AO83" t="s">
        <v>1294</v>
      </c>
      <c r="AP83" t="s">
        <v>614</v>
      </c>
      <c r="AQ83" t="s">
        <v>614</v>
      </c>
      <c r="AR83">
        <v>43.69127516778471</v>
      </c>
      <c r="AS83">
        <v>2.6575825333189496</v>
      </c>
      <c r="AT83" t="s">
        <v>311</v>
      </c>
      <c r="AU83">
        <v>13</v>
      </c>
      <c r="AV83">
        <v>32.885906040267798</v>
      </c>
      <c r="AW83">
        <v>5.6571249699023145</v>
      </c>
      <c r="AX83" t="s">
        <v>311</v>
      </c>
      <c r="AY83">
        <v>11</v>
      </c>
      <c r="AZ83" t="s">
        <v>1055</v>
      </c>
      <c r="BA83" t="s">
        <v>1679</v>
      </c>
      <c r="BB83">
        <v>1825</v>
      </c>
      <c r="BC83" t="s">
        <v>1672</v>
      </c>
      <c r="BD83" t="s">
        <v>311</v>
      </c>
      <c r="BE83" t="s">
        <v>1880</v>
      </c>
      <c r="BF83" t="s">
        <v>311</v>
      </c>
      <c r="BG83" t="s">
        <v>311</v>
      </c>
      <c r="BH83" t="s">
        <v>311</v>
      </c>
      <c r="BI83" t="s">
        <v>311</v>
      </c>
      <c r="BJ83">
        <v>1.5652173913043399</v>
      </c>
      <c r="BK83">
        <v>2.1739130434780041E-2</v>
      </c>
      <c r="BL83">
        <v>6.5217391304347394E-2</v>
      </c>
      <c r="BM83">
        <v>4.3478260869564606E-2</v>
      </c>
      <c r="BN83">
        <v>10</v>
      </c>
      <c r="BO83">
        <v>10</v>
      </c>
      <c r="BP83" t="s">
        <v>311</v>
      </c>
      <c r="BQ83" t="s">
        <v>311</v>
      </c>
      <c r="BR83" t="s">
        <v>311</v>
      </c>
      <c r="BS83" t="s">
        <v>311</v>
      </c>
      <c r="BT83" t="s">
        <v>311</v>
      </c>
      <c r="BU83" t="s">
        <v>311</v>
      </c>
      <c r="BV83" t="s">
        <v>311</v>
      </c>
      <c r="BW83" t="s">
        <v>311</v>
      </c>
      <c r="BX83" t="s">
        <v>1126</v>
      </c>
      <c r="BY83" t="s">
        <v>1272</v>
      </c>
      <c r="BZ83">
        <v>6.5217391304347394E-2</v>
      </c>
      <c r="CA83">
        <v>26.17</v>
      </c>
      <c r="CB83" t="s">
        <v>1209</v>
      </c>
      <c r="CC83" t="s">
        <v>1209</v>
      </c>
      <c r="CD83" t="s">
        <v>311</v>
      </c>
      <c r="CE83" t="s">
        <v>311</v>
      </c>
      <c r="CF83" t="s">
        <v>311</v>
      </c>
      <c r="CG83" t="s">
        <v>311</v>
      </c>
      <c r="CH83" t="s">
        <v>311</v>
      </c>
      <c r="CI83" t="s">
        <v>311</v>
      </c>
      <c r="CJ83" s="38" t="s">
        <v>311</v>
      </c>
      <c r="CK83" s="38" t="s">
        <v>311</v>
      </c>
      <c r="CL83" s="38" t="s">
        <v>311</v>
      </c>
      <c r="CM83" s="38" t="s">
        <v>311</v>
      </c>
      <c r="CN83" s="38" t="s">
        <v>311</v>
      </c>
      <c r="CO83" s="38" t="s">
        <v>311</v>
      </c>
      <c r="CP83" s="38" t="s">
        <v>311</v>
      </c>
      <c r="CQ83" t="s">
        <v>1799</v>
      </c>
      <c r="CR83" t="s">
        <v>1606</v>
      </c>
    </row>
    <row r="84" spans="1:96" s="30" customFormat="1">
      <c r="A84">
        <v>83</v>
      </c>
      <c r="B84" s="30">
        <v>16</v>
      </c>
      <c r="C84" s="30">
        <v>14</v>
      </c>
      <c r="D84" s="30" t="s">
        <v>100</v>
      </c>
      <c r="E84" s="30" t="s">
        <v>101</v>
      </c>
      <c r="F84" s="30" t="s">
        <v>86</v>
      </c>
      <c r="G84" s="30">
        <v>2013</v>
      </c>
      <c r="H84" s="30" t="s">
        <v>1268</v>
      </c>
      <c r="I84" s="30" t="s">
        <v>1269</v>
      </c>
      <c r="J84" s="30">
        <v>23.678332999999999</v>
      </c>
      <c r="K84" s="30">
        <v>-75.998333000000002</v>
      </c>
      <c r="L84" s="30" t="s">
        <v>358</v>
      </c>
      <c r="M84" s="30" t="s">
        <v>387</v>
      </c>
      <c r="N84" s="30" t="s">
        <v>531</v>
      </c>
      <c r="O84" s="30" t="s">
        <v>532</v>
      </c>
      <c r="P84" s="30" t="s">
        <v>693</v>
      </c>
      <c r="Q84" s="30" t="s">
        <v>291</v>
      </c>
      <c r="R84" s="30" t="s">
        <v>650</v>
      </c>
      <c r="S84" s="30" t="s">
        <v>534</v>
      </c>
      <c r="T84" s="30" t="s">
        <v>331</v>
      </c>
      <c r="U84" s="30">
        <v>1</v>
      </c>
      <c r="V84" s="30" t="s">
        <v>311</v>
      </c>
      <c r="W84" s="30" t="s">
        <v>654</v>
      </c>
      <c r="X84" s="30" t="s">
        <v>340</v>
      </c>
      <c r="Y84" s="30" t="s">
        <v>311</v>
      </c>
      <c r="Z84" s="30" t="s">
        <v>1057</v>
      </c>
      <c r="AA84" s="30" t="s">
        <v>610</v>
      </c>
      <c r="AB84" s="30" t="s">
        <v>311</v>
      </c>
      <c r="AC84" s="30" t="s">
        <v>311</v>
      </c>
      <c r="AD84" s="30" t="s">
        <v>292</v>
      </c>
      <c r="AE84" s="30" t="s">
        <v>653</v>
      </c>
      <c r="AF84" s="30" t="s">
        <v>304</v>
      </c>
      <c r="AH84" s="30" t="s">
        <v>305</v>
      </c>
      <c r="AI84" s="30" t="s">
        <v>652</v>
      </c>
      <c r="AJ84" s="30" t="s">
        <v>651</v>
      </c>
      <c r="AK84" s="30" t="s">
        <v>1274</v>
      </c>
      <c r="AL84" s="30" t="s">
        <v>357</v>
      </c>
      <c r="AM84" s="30" t="s">
        <v>1059</v>
      </c>
      <c r="AN84" s="30" t="s">
        <v>583</v>
      </c>
      <c r="AO84" s="30" t="s">
        <v>1294</v>
      </c>
      <c r="AP84" s="30" t="s">
        <v>887</v>
      </c>
      <c r="AQ84" s="30" t="s">
        <v>614</v>
      </c>
      <c r="AR84" s="31">
        <v>138.85906040268401</v>
      </c>
      <c r="AS84" s="30">
        <v>1.8791946308730019</v>
      </c>
      <c r="AT84" s="30" t="s">
        <v>311</v>
      </c>
      <c r="AU84" s="30">
        <v>13</v>
      </c>
      <c r="AV84" s="31">
        <v>127.583892617449</v>
      </c>
      <c r="AW84" s="30">
        <v>4.2281879194629965</v>
      </c>
      <c r="AX84" s="30" t="s">
        <v>311</v>
      </c>
      <c r="AY84" s="30">
        <v>11</v>
      </c>
      <c r="AZ84" s="30" t="s">
        <v>1055</v>
      </c>
      <c r="BA84" s="30" t="s">
        <v>1679</v>
      </c>
      <c r="BB84">
        <v>1825</v>
      </c>
      <c r="BC84" s="30" t="s">
        <v>1673</v>
      </c>
      <c r="BD84" s="30" t="s">
        <v>311</v>
      </c>
      <c r="BE84" s="30" t="s">
        <v>1880</v>
      </c>
      <c r="BF84" s="30" t="s">
        <v>311</v>
      </c>
      <c r="BG84" s="30" t="s">
        <v>311</v>
      </c>
      <c r="BH84" s="30" t="s">
        <v>311</v>
      </c>
      <c r="BI84" s="30" t="s">
        <v>311</v>
      </c>
      <c r="BJ84" s="30">
        <v>1.5652173913043399</v>
      </c>
      <c r="BK84" s="30">
        <v>2.1739130434780041E-2</v>
      </c>
      <c r="BL84" s="30">
        <v>6.5217391304347394E-2</v>
      </c>
      <c r="BM84" s="30">
        <v>4.3478260869564606E-2</v>
      </c>
      <c r="BN84" s="30">
        <v>10</v>
      </c>
      <c r="BO84" s="30">
        <v>10</v>
      </c>
      <c r="BP84" s="30" t="s">
        <v>311</v>
      </c>
      <c r="BQ84" s="30" t="s">
        <v>311</v>
      </c>
      <c r="BR84" s="30" t="s">
        <v>311</v>
      </c>
      <c r="BS84" s="30" t="s">
        <v>311</v>
      </c>
      <c r="BT84" s="30" t="s">
        <v>311</v>
      </c>
      <c r="BU84" s="30" t="s">
        <v>311</v>
      </c>
      <c r="BV84" s="30" t="s">
        <v>311</v>
      </c>
      <c r="BW84" s="30" t="s">
        <v>311</v>
      </c>
      <c r="BX84" s="30" t="s">
        <v>1126</v>
      </c>
      <c r="BY84" s="30" t="s">
        <v>1272</v>
      </c>
      <c r="BZ84" s="30">
        <v>6.5217391304347394E-2</v>
      </c>
      <c r="CA84" s="30">
        <v>26.17</v>
      </c>
      <c r="CB84" s="30" t="s">
        <v>1209</v>
      </c>
      <c r="CC84" s="30" t="s">
        <v>1209</v>
      </c>
      <c r="CD84" s="30" t="s">
        <v>311</v>
      </c>
      <c r="CE84" s="30" t="s">
        <v>311</v>
      </c>
      <c r="CF84" s="30" t="s">
        <v>311</v>
      </c>
      <c r="CG84" s="30" t="s">
        <v>311</v>
      </c>
      <c r="CH84" s="30" t="s">
        <v>311</v>
      </c>
      <c r="CI84" s="30" t="s">
        <v>311</v>
      </c>
      <c r="CJ84" s="38" t="s">
        <v>311</v>
      </c>
      <c r="CK84" s="38" t="s">
        <v>311</v>
      </c>
      <c r="CL84" s="38" t="s">
        <v>311</v>
      </c>
      <c r="CM84" s="38" t="s">
        <v>311</v>
      </c>
      <c r="CN84" s="38" t="s">
        <v>311</v>
      </c>
      <c r="CO84" s="38" t="s">
        <v>311</v>
      </c>
      <c r="CP84" s="38" t="s">
        <v>311</v>
      </c>
      <c r="CQ84" s="30" t="s">
        <v>1799</v>
      </c>
      <c r="CR84" s="30" t="s">
        <v>1872</v>
      </c>
    </row>
    <row r="85" spans="1:96">
      <c r="A85">
        <v>84</v>
      </c>
      <c r="B85">
        <v>16</v>
      </c>
      <c r="C85">
        <v>15</v>
      </c>
      <c r="D85" t="s">
        <v>100</v>
      </c>
      <c r="E85" t="s">
        <v>101</v>
      </c>
      <c r="F85" t="s">
        <v>86</v>
      </c>
      <c r="G85">
        <v>2013</v>
      </c>
      <c r="H85" t="s">
        <v>1270</v>
      </c>
      <c r="I85" t="s">
        <v>1271</v>
      </c>
      <c r="J85">
        <v>23.698333000000002</v>
      </c>
      <c r="K85">
        <v>-76.004999999999995</v>
      </c>
      <c r="L85" t="s">
        <v>358</v>
      </c>
      <c r="M85" t="s">
        <v>387</v>
      </c>
      <c r="N85" t="s">
        <v>531</v>
      </c>
      <c r="O85" t="s">
        <v>532</v>
      </c>
      <c r="P85" t="s">
        <v>693</v>
      </c>
      <c r="Q85" t="s">
        <v>291</v>
      </c>
      <c r="R85" t="s">
        <v>650</v>
      </c>
      <c r="S85" t="s">
        <v>534</v>
      </c>
      <c r="T85" t="s">
        <v>331</v>
      </c>
      <c r="U85">
        <v>1</v>
      </c>
      <c r="V85" t="s">
        <v>311</v>
      </c>
      <c r="W85" t="s">
        <v>654</v>
      </c>
      <c r="X85" t="s">
        <v>340</v>
      </c>
      <c r="Y85" t="s">
        <v>311</v>
      </c>
      <c r="Z85" t="s">
        <v>1057</v>
      </c>
      <c r="AA85" t="s">
        <v>610</v>
      </c>
      <c r="AB85" t="s">
        <v>311</v>
      </c>
      <c r="AC85" t="s">
        <v>311</v>
      </c>
      <c r="AD85" t="s">
        <v>292</v>
      </c>
      <c r="AE85" t="s">
        <v>653</v>
      </c>
      <c r="AF85" t="s">
        <v>304</v>
      </c>
      <c r="AH85" t="s">
        <v>305</v>
      </c>
      <c r="AI85" t="s">
        <v>652</v>
      </c>
      <c r="AJ85" t="s">
        <v>651</v>
      </c>
      <c r="AK85" t="s">
        <v>1274</v>
      </c>
      <c r="AL85" t="s">
        <v>357</v>
      </c>
      <c r="AM85" t="s">
        <v>1059</v>
      </c>
      <c r="AN85" t="s">
        <v>583</v>
      </c>
      <c r="AO85" t="s">
        <v>1294</v>
      </c>
      <c r="AP85" t="s">
        <v>614</v>
      </c>
      <c r="AQ85" t="s">
        <v>614</v>
      </c>
      <c r="AR85">
        <v>42.75167785234899</v>
      </c>
      <c r="AS85">
        <v>2.6575825333193013</v>
      </c>
      <c r="AT85" t="s">
        <v>311</v>
      </c>
      <c r="AU85">
        <v>13</v>
      </c>
      <c r="AV85">
        <v>32.885906040267699</v>
      </c>
      <c r="AW85">
        <v>2.6575825333183869</v>
      </c>
      <c r="AX85" t="s">
        <v>311</v>
      </c>
      <c r="AY85">
        <v>11</v>
      </c>
      <c r="AZ85" t="s">
        <v>1055</v>
      </c>
      <c r="BA85" t="s">
        <v>1679</v>
      </c>
      <c r="BB85">
        <v>1825</v>
      </c>
      <c r="BC85" t="s">
        <v>1672</v>
      </c>
      <c r="BD85" t="s">
        <v>311</v>
      </c>
      <c r="BE85" t="s">
        <v>1880</v>
      </c>
      <c r="BF85" t="s">
        <v>311</v>
      </c>
      <c r="BG85" t="s">
        <v>311</v>
      </c>
      <c r="BH85" t="s">
        <v>311</v>
      </c>
      <c r="BI85" t="s">
        <v>311</v>
      </c>
      <c r="BJ85">
        <v>0.934782608695651</v>
      </c>
      <c r="BK85">
        <v>2.1739130434783038E-2</v>
      </c>
      <c r="BL85">
        <v>0.47826086956521702</v>
      </c>
      <c r="BM85">
        <v>2.1739130434781984E-2</v>
      </c>
      <c r="BN85">
        <v>10</v>
      </c>
      <c r="BO85">
        <v>10</v>
      </c>
      <c r="BP85" t="s">
        <v>311</v>
      </c>
      <c r="BQ85" t="s">
        <v>311</v>
      </c>
      <c r="BR85" t="s">
        <v>311</v>
      </c>
      <c r="BS85" t="s">
        <v>311</v>
      </c>
      <c r="BT85" t="s">
        <v>311</v>
      </c>
      <c r="BU85" t="s">
        <v>311</v>
      </c>
      <c r="BV85" t="s">
        <v>311</v>
      </c>
      <c r="BW85" t="s">
        <v>311</v>
      </c>
      <c r="BX85" t="s">
        <v>1126</v>
      </c>
      <c r="BY85" t="s">
        <v>1272</v>
      </c>
      <c r="BZ85">
        <v>0.47826086956521702</v>
      </c>
      <c r="CA85">
        <v>26.17</v>
      </c>
      <c r="CB85" t="s">
        <v>1209</v>
      </c>
      <c r="CC85" t="s">
        <v>1209</v>
      </c>
      <c r="CD85" t="s">
        <v>311</v>
      </c>
      <c r="CE85" t="s">
        <v>311</v>
      </c>
      <c r="CF85" t="s">
        <v>311</v>
      </c>
      <c r="CG85" t="s">
        <v>311</v>
      </c>
      <c r="CH85" t="s">
        <v>311</v>
      </c>
      <c r="CI85" t="s">
        <v>311</v>
      </c>
      <c r="CJ85" s="38" t="s">
        <v>311</v>
      </c>
      <c r="CK85" s="38" t="s">
        <v>311</v>
      </c>
      <c r="CL85" s="38" t="s">
        <v>311</v>
      </c>
      <c r="CM85" s="38" t="s">
        <v>311</v>
      </c>
      <c r="CN85" s="38" t="s">
        <v>311</v>
      </c>
      <c r="CO85" s="38" t="s">
        <v>311</v>
      </c>
      <c r="CP85" s="38" t="s">
        <v>311</v>
      </c>
      <c r="CQ85" t="s">
        <v>1799</v>
      </c>
      <c r="CR85" t="s">
        <v>1605</v>
      </c>
    </row>
    <row r="86" spans="1:96" s="30" customFormat="1">
      <c r="A86">
        <v>85</v>
      </c>
      <c r="B86" s="30">
        <v>16</v>
      </c>
      <c r="C86" s="30">
        <v>16</v>
      </c>
      <c r="D86" s="30" t="s">
        <v>100</v>
      </c>
      <c r="E86" s="30" t="s">
        <v>101</v>
      </c>
      <c r="F86" s="30" t="s">
        <v>86</v>
      </c>
      <c r="G86" s="30">
        <v>2013</v>
      </c>
      <c r="H86" s="30" t="s">
        <v>1270</v>
      </c>
      <c r="I86" s="30" t="s">
        <v>1271</v>
      </c>
      <c r="J86" s="30">
        <v>23.698333000000002</v>
      </c>
      <c r="K86" s="30">
        <v>-76.004999999999995</v>
      </c>
      <c r="L86" s="30" t="s">
        <v>358</v>
      </c>
      <c r="M86" s="30" t="s">
        <v>387</v>
      </c>
      <c r="N86" s="30" t="s">
        <v>531</v>
      </c>
      <c r="O86" s="30" t="s">
        <v>532</v>
      </c>
      <c r="P86" s="30" t="s">
        <v>693</v>
      </c>
      <c r="Q86" s="30" t="s">
        <v>291</v>
      </c>
      <c r="R86" s="30" t="s">
        <v>650</v>
      </c>
      <c r="S86" s="30" t="s">
        <v>534</v>
      </c>
      <c r="T86" s="30" t="s">
        <v>331</v>
      </c>
      <c r="U86" s="30">
        <v>1</v>
      </c>
      <c r="V86" s="30" t="s">
        <v>311</v>
      </c>
      <c r="W86" s="30" t="s">
        <v>654</v>
      </c>
      <c r="X86" s="30" t="s">
        <v>340</v>
      </c>
      <c r="Y86" s="30" t="s">
        <v>311</v>
      </c>
      <c r="Z86" s="30" t="s">
        <v>1057</v>
      </c>
      <c r="AA86" s="30" t="s">
        <v>610</v>
      </c>
      <c r="AB86" s="30" t="s">
        <v>311</v>
      </c>
      <c r="AC86" s="30" t="s">
        <v>311</v>
      </c>
      <c r="AD86" s="30" t="s">
        <v>292</v>
      </c>
      <c r="AE86" s="30" t="s">
        <v>653</v>
      </c>
      <c r="AF86" s="30" t="s">
        <v>304</v>
      </c>
      <c r="AH86" s="30" t="s">
        <v>305</v>
      </c>
      <c r="AI86" s="30" t="s">
        <v>652</v>
      </c>
      <c r="AJ86" s="30" t="s">
        <v>651</v>
      </c>
      <c r="AK86" s="30" t="s">
        <v>1274</v>
      </c>
      <c r="AL86" s="30" t="s">
        <v>357</v>
      </c>
      <c r="AM86" s="30" t="s">
        <v>1059</v>
      </c>
      <c r="AN86" s="30" t="s">
        <v>583</v>
      </c>
      <c r="AO86" s="30" t="s">
        <v>1294</v>
      </c>
      <c r="AP86" s="30" t="s">
        <v>887</v>
      </c>
      <c r="AQ86" s="30" t="s">
        <v>614</v>
      </c>
      <c r="AR86" s="31">
        <v>143.55704697986499</v>
      </c>
      <c r="AS86" s="30">
        <v>1.8791946308730019</v>
      </c>
      <c r="AT86" s="30" t="s">
        <v>311</v>
      </c>
      <c r="AU86" s="30">
        <v>13</v>
      </c>
      <c r="AV86" s="31">
        <v>131.81208053691199</v>
      </c>
      <c r="AW86" s="30">
        <v>1.8791946308730019</v>
      </c>
      <c r="AX86" s="30" t="s">
        <v>311</v>
      </c>
      <c r="AY86" s="30">
        <v>11</v>
      </c>
      <c r="AZ86" s="30" t="s">
        <v>1055</v>
      </c>
      <c r="BA86" s="30" t="s">
        <v>1679</v>
      </c>
      <c r="BB86">
        <v>1825</v>
      </c>
      <c r="BC86" s="30" t="s">
        <v>1673</v>
      </c>
      <c r="BD86" s="30" t="s">
        <v>311</v>
      </c>
      <c r="BE86" s="30" t="s">
        <v>1880</v>
      </c>
      <c r="BF86" s="30" t="s">
        <v>311</v>
      </c>
      <c r="BG86" s="30" t="s">
        <v>311</v>
      </c>
      <c r="BH86" s="30" t="s">
        <v>311</v>
      </c>
      <c r="BI86" s="30" t="s">
        <v>311</v>
      </c>
      <c r="BJ86" s="30">
        <v>0.934782608695651</v>
      </c>
      <c r="BK86" s="30">
        <v>2.1739130434783038E-2</v>
      </c>
      <c r="BL86" s="30">
        <v>0.47826086956521702</v>
      </c>
      <c r="BM86" s="30">
        <v>2.1739130434781984E-2</v>
      </c>
      <c r="BN86" s="30">
        <v>10</v>
      </c>
      <c r="BO86" s="30">
        <v>10</v>
      </c>
      <c r="BP86" s="30" t="s">
        <v>311</v>
      </c>
      <c r="BQ86" s="30" t="s">
        <v>311</v>
      </c>
      <c r="BR86" s="30" t="s">
        <v>311</v>
      </c>
      <c r="BS86" s="30" t="s">
        <v>311</v>
      </c>
      <c r="BT86" s="30" t="s">
        <v>311</v>
      </c>
      <c r="BU86" s="30" t="s">
        <v>311</v>
      </c>
      <c r="BV86" s="30" t="s">
        <v>311</v>
      </c>
      <c r="BW86" s="30" t="s">
        <v>311</v>
      </c>
      <c r="BX86" s="30" t="s">
        <v>1126</v>
      </c>
      <c r="BY86" s="30" t="s">
        <v>1272</v>
      </c>
      <c r="BZ86" s="30">
        <v>0.47826086956521702</v>
      </c>
      <c r="CA86" s="30">
        <v>26.17</v>
      </c>
      <c r="CB86" s="30" t="s">
        <v>1209</v>
      </c>
      <c r="CC86" s="30" t="s">
        <v>1209</v>
      </c>
      <c r="CD86" s="30" t="s">
        <v>311</v>
      </c>
      <c r="CE86" s="30" t="s">
        <v>311</v>
      </c>
      <c r="CF86" s="30" t="s">
        <v>311</v>
      </c>
      <c r="CG86" s="30" t="s">
        <v>311</v>
      </c>
      <c r="CH86" s="30" t="s">
        <v>311</v>
      </c>
      <c r="CI86" s="30" t="s">
        <v>311</v>
      </c>
      <c r="CJ86" s="38" t="s">
        <v>311</v>
      </c>
      <c r="CK86" s="38" t="s">
        <v>311</v>
      </c>
      <c r="CL86" s="38" t="s">
        <v>311</v>
      </c>
      <c r="CM86" s="38" t="s">
        <v>311</v>
      </c>
      <c r="CN86" s="38" t="s">
        <v>311</v>
      </c>
      <c r="CO86" s="38" t="s">
        <v>311</v>
      </c>
      <c r="CP86" s="38" t="s">
        <v>311</v>
      </c>
      <c r="CQ86" s="30" t="s">
        <v>1799</v>
      </c>
      <c r="CR86" s="30" t="s">
        <v>1873</v>
      </c>
    </row>
    <row r="87" spans="1:96" s="30" customFormat="1">
      <c r="A87">
        <v>86</v>
      </c>
      <c r="B87" s="30">
        <v>16</v>
      </c>
      <c r="C87" s="30">
        <v>17</v>
      </c>
      <c r="D87" s="30" t="s">
        <v>100</v>
      </c>
      <c r="E87" s="30" t="s">
        <v>101</v>
      </c>
      <c r="F87" s="30" t="s">
        <v>86</v>
      </c>
      <c r="G87" s="30">
        <v>2013</v>
      </c>
      <c r="H87" s="30" t="s">
        <v>1265</v>
      </c>
      <c r="I87" s="30" t="s">
        <v>1266</v>
      </c>
      <c r="J87" s="30">
        <v>23.524999999999999</v>
      </c>
      <c r="K87" s="30">
        <v>-75.758332999999993</v>
      </c>
      <c r="L87" s="30" t="s">
        <v>358</v>
      </c>
      <c r="M87" s="30" t="s">
        <v>387</v>
      </c>
      <c r="N87" s="30" t="s">
        <v>531</v>
      </c>
      <c r="O87" s="30" t="s">
        <v>532</v>
      </c>
      <c r="P87" s="30" t="s">
        <v>693</v>
      </c>
      <c r="Q87" s="30" t="s">
        <v>291</v>
      </c>
      <c r="R87" s="30" t="s">
        <v>650</v>
      </c>
      <c r="S87" s="30" t="s">
        <v>534</v>
      </c>
      <c r="T87" s="30" t="s">
        <v>331</v>
      </c>
      <c r="U87" s="30">
        <v>1</v>
      </c>
      <c r="V87" s="30" t="s">
        <v>311</v>
      </c>
      <c r="W87" s="30">
        <v>2000</v>
      </c>
      <c r="X87" s="30" t="s">
        <v>340</v>
      </c>
      <c r="Y87" s="30" t="s">
        <v>311</v>
      </c>
      <c r="Z87" s="30" t="s">
        <v>1057</v>
      </c>
      <c r="AA87" s="30" t="s">
        <v>610</v>
      </c>
      <c r="AB87" s="30" t="s">
        <v>311</v>
      </c>
      <c r="AC87" s="30" t="s">
        <v>311</v>
      </c>
      <c r="AD87" s="30" t="s">
        <v>340</v>
      </c>
      <c r="AE87" s="30" t="s">
        <v>311</v>
      </c>
      <c r="AF87" s="30" t="s">
        <v>802</v>
      </c>
      <c r="AH87" s="30" t="s">
        <v>820</v>
      </c>
      <c r="AI87" s="30" t="s">
        <v>311</v>
      </c>
      <c r="AJ87" s="30" t="s">
        <v>311</v>
      </c>
      <c r="AK87" s="30" t="s">
        <v>1303</v>
      </c>
      <c r="AL87" s="30" t="s">
        <v>357</v>
      </c>
      <c r="AM87" s="30" t="s">
        <v>1059</v>
      </c>
      <c r="AN87" s="30" t="s">
        <v>584</v>
      </c>
      <c r="AO87" s="30" t="s">
        <v>345</v>
      </c>
      <c r="AP87" s="30" t="s">
        <v>614</v>
      </c>
      <c r="AQ87" s="30" t="s">
        <v>614</v>
      </c>
      <c r="AR87" s="30">
        <v>2.919708029196999E-3</v>
      </c>
      <c r="AS87" s="30">
        <v>1.3459188988748724E-2</v>
      </c>
      <c r="AT87" s="30" t="s">
        <v>311</v>
      </c>
      <c r="AU87" s="30">
        <v>13</v>
      </c>
      <c r="AV87" s="30">
        <v>4.3795620437959981E-3</v>
      </c>
      <c r="AW87" s="30">
        <v>9.8201635380105977E-3</v>
      </c>
      <c r="AX87" s="30" t="s">
        <v>311</v>
      </c>
      <c r="AY87" s="30">
        <v>11</v>
      </c>
      <c r="AZ87" s="30" t="s">
        <v>1677</v>
      </c>
      <c r="BA87" s="30" t="s">
        <v>1679</v>
      </c>
      <c r="BB87">
        <v>0</v>
      </c>
      <c r="BC87" s="30" t="s">
        <v>1673</v>
      </c>
      <c r="BD87" s="30" t="s">
        <v>311</v>
      </c>
      <c r="BE87" s="30" t="s">
        <v>1881</v>
      </c>
      <c r="BF87" s="30" t="s">
        <v>311</v>
      </c>
      <c r="BG87" s="30" t="s">
        <v>311</v>
      </c>
      <c r="BH87" s="30" t="s">
        <v>311</v>
      </c>
      <c r="BI87" s="30" t="s">
        <v>311</v>
      </c>
      <c r="BJ87" s="30">
        <v>2.5806451612903198</v>
      </c>
      <c r="BK87" s="30">
        <v>0.15053763440860024</v>
      </c>
      <c r="BL87" s="30">
        <v>0.15053763440860024</v>
      </c>
      <c r="BM87" s="30">
        <v>4.3010752688173753E-2</v>
      </c>
      <c r="BN87" s="30">
        <v>10</v>
      </c>
      <c r="BO87" s="30">
        <v>10</v>
      </c>
      <c r="BP87" s="30" t="s">
        <v>311</v>
      </c>
      <c r="BQ87" s="30" t="s">
        <v>311</v>
      </c>
      <c r="BR87" s="30" t="s">
        <v>311</v>
      </c>
      <c r="BS87" s="30" t="s">
        <v>311</v>
      </c>
      <c r="BT87" s="30" t="s">
        <v>311</v>
      </c>
      <c r="BU87" s="30" t="s">
        <v>311</v>
      </c>
      <c r="BV87" s="30" t="s">
        <v>311</v>
      </c>
      <c r="BW87" s="30" t="s">
        <v>311</v>
      </c>
      <c r="BX87" s="30" t="s">
        <v>1126</v>
      </c>
      <c r="BY87" s="30" t="s">
        <v>1272</v>
      </c>
      <c r="BZ87" s="30">
        <v>0.15053763440860024</v>
      </c>
      <c r="CA87" s="30">
        <v>26.17</v>
      </c>
      <c r="CB87" s="30" t="s">
        <v>1209</v>
      </c>
      <c r="CC87" s="30" t="s">
        <v>1209</v>
      </c>
      <c r="CD87" s="30" t="s">
        <v>311</v>
      </c>
      <c r="CE87" s="30" t="s">
        <v>311</v>
      </c>
      <c r="CF87" s="30" t="s">
        <v>311</v>
      </c>
      <c r="CG87" s="30" t="s">
        <v>311</v>
      </c>
      <c r="CH87" s="30" t="s">
        <v>311</v>
      </c>
      <c r="CI87" s="30" t="s">
        <v>311</v>
      </c>
      <c r="CJ87" s="38" t="s">
        <v>311</v>
      </c>
      <c r="CK87" s="38" t="s">
        <v>311</v>
      </c>
      <c r="CL87" s="38" t="s">
        <v>311</v>
      </c>
      <c r="CM87" s="38" t="s">
        <v>311</v>
      </c>
      <c r="CN87" s="38" t="s">
        <v>311</v>
      </c>
      <c r="CO87" s="38" t="s">
        <v>311</v>
      </c>
      <c r="CP87" s="38" t="s">
        <v>311</v>
      </c>
      <c r="CQ87" s="30" t="s">
        <v>1874</v>
      </c>
      <c r="CR87" s="30" t="s">
        <v>1875</v>
      </c>
    </row>
    <row r="88" spans="1:96">
      <c r="A88">
        <v>87</v>
      </c>
      <c r="B88">
        <v>16</v>
      </c>
      <c r="C88">
        <v>18</v>
      </c>
      <c r="D88" t="s">
        <v>100</v>
      </c>
      <c r="E88" t="s">
        <v>101</v>
      </c>
      <c r="F88" t="s">
        <v>86</v>
      </c>
      <c r="G88">
        <v>2013</v>
      </c>
      <c r="H88" t="s">
        <v>1265</v>
      </c>
      <c r="I88" t="s">
        <v>1266</v>
      </c>
      <c r="J88">
        <v>23.524999999999999</v>
      </c>
      <c r="K88">
        <v>-75.758332999999993</v>
      </c>
      <c r="L88" t="s">
        <v>358</v>
      </c>
      <c r="M88" t="s">
        <v>387</v>
      </c>
      <c r="N88" t="s">
        <v>531</v>
      </c>
      <c r="O88" t="s">
        <v>532</v>
      </c>
      <c r="P88" t="s">
        <v>693</v>
      </c>
      <c r="Q88" t="s">
        <v>291</v>
      </c>
      <c r="R88" t="s">
        <v>650</v>
      </c>
      <c r="S88" t="s">
        <v>534</v>
      </c>
      <c r="T88" t="s">
        <v>331</v>
      </c>
      <c r="U88">
        <v>1</v>
      </c>
      <c r="V88" t="s">
        <v>311</v>
      </c>
      <c r="W88">
        <v>2000</v>
      </c>
      <c r="X88" t="s">
        <v>340</v>
      </c>
      <c r="Y88" t="s">
        <v>311</v>
      </c>
      <c r="Z88" t="s">
        <v>1057</v>
      </c>
      <c r="AA88" t="s">
        <v>610</v>
      </c>
      <c r="AB88" t="s">
        <v>311</v>
      </c>
      <c r="AC88" t="s">
        <v>311</v>
      </c>
      <c r="AD88" t="s">
        <v>340</v>
      </c>
      <c r="AE88" t="s">
        <v>311</v>
      </c>
      <c r="AF88" t="s">
        <v>802</v>
      </c>
      <c r="AH88" t="s">
        <v>820</v>
      </c>
      <c r="AI88" t="s">
        <v>311</v>
      </c>
      <c r="AJ88" t="s">
        <v>311</v>
      </c>
      <c r="AK88" t="s">
        <v>1303</v>
      </c>
      <c r="AL88" t="s">
        <v>357</v>
      </c>
      <c r="AM88" t="s">
        <v>1059</v>
      </c>
      <c r="AN88" t="s">
        <v>584</v>
      </c>
      <c r="AO88" t="s">
        <v>345</v>
      </c>
      <c r="AP88" t="s">
        <v>887</v>
      </c>
      <c r="AQ88" t="s">
        <v>614</v>
      </c>
      <c r="AR88">
        <v>0.30182481751824802</v>
      </c>
      <c r="AS88">
        <v>8.759124087590997E-3</v>
      </c>
      <c r="AT88" t="s">
        <v>311</v>
      </c>
      <c r="AU88">
        <v>13</v>
      </c>
      <c r="AV88">
        <v>0.23102189781021801</v>
      </c>
      <c r="AW88">
        <v>6.5693430656939833E-3</v>
      </c>
      <c r="AX88" t="s">
        <v>311</v>
      </c>
      <c r="AY88">
        <v>11</v>
      </c>
      <c r="AZ88" t="s">
        <v>1677</v>
      </c>
      <c r="BA88" t="s">
        <v>1680</v>
      </c>
      <c r="BB88">
        <v>0</v>
      </c>
      <c r="BC88" t="s">
        <v>1672</v>
      </c>
      <c r="BD88" t="s">
        <v>1764</v>
      </c>
      <c r="BE88" t="s">
        <v>1881</v>
      </c>
      <c r="BF88" t="s">
        <v>311</v>
      </c>
      <c r="BG88" t="s">
        <v>311</v>
      </c>
      <c r="BH88" t="s">
        <v>311</v>
      </c>
      <c r="BI88" t="s">
        <v>311</v>
      </c>
      <c r="BJ88">
        <v>2.5806451612903198</v>
      </c>
      <c r="BK88">
        <v>0.15053763440860024</v>
      </c>
      <c r="BL88">
        <v>0.15053763440860024</v>
      </c>
      <c r="BM88">
        <v>4.3010752688173753E-2</v>
      </c>
      <c r="BN88">
        <v>10</v>
      </c>
      <c r="BO88">
        <v>10</v>
      </c>
      <c r="BP88" t="s">
        <v>311</v>
      </c>
      <c r="BQ88" t="s">
        <v>311</v>
      </c>
      <c r="BR88" t="s">
        <v>311</v>
      </c>
      <c r="BS88" t="s">
        <v>311</v>
      </c>
      <c r="BT88" t="s">
        <v>311</v>
      </c>
      <c r="BU88" t="s">
        <v>311</v>
      </c>
      <c r="BV88" t="s">
        <v>311</v>
      </c>
      <c r="BW88" t="s">
        <v>311</v>
      </c>
      <c r="BX88" t="s">
        <v>1126</v>
      </c>
      <c r="BY88" t="s">
        <v>1272</v>
      </c>
      <c r="BZ88">
        <v>0.15053763440860024</v>
      </c>
      <c r="CA88">
        <v>26.17</v>
      </c>
      <c r="CB88" t="s">
        <v>1209</v>
      </c>
      <c r="CC88" t="s">
        <v>1209</v>
      </c>
      <c r="CD88" t="s">
        <v>311</v>
      </c>
      <c r="CE88" t="s">
        <v>311</v>
      </c>
      <c r="CF88" t="s">
        <v>311</v>
      </c>
      <c r="CG88" t="s">
        <v>311</v>
      </c>
      <c r="CH88" t="s">
        <v>311</v>
      </c>
      <c r="CI88" t="s">
        <v>311</v>
      </c>
      <c r="CJ88" s="38" t="s">
        <v>311</v>
      </c>
      <c r="CK88" s="38" t="s">
        <v>311</v>
      </c>
      <c r="CL88" s="38" t="s">
        <v>311</v>
      </c>
      <c r="CM88" s="38" t="s">
        <v>311</v>
      </c>
      <c r="CN88" s="38" t="s">
        <v>311</v>
      </c>
      <c r="CO88" s="38" t="s">
        <v>311</v>
      </c>
      <c r="CP88" s="38" t="s">
        <v>311</v>
      </c>
      <c r="CQ88" t="s">
        <v>1702</v>
      </c>
      <c r="CR88" t="s">
        <v>1586</v>
      </c>
    </row>
    <row r="89" spans="1:96">
      <c r="A89">
        <v>88</v>
      </c>
      <c r="B89">
        <v>16</v>
      </c>
      <c r="C89">
        <v>19</v>
      </c>
      <c r="D89" t="s">
        <v>100</v>
      </c>
      <c r="E89" t="s">
        <v>101</v>
      </c>
      <c r="F89" t="s">
        <v>86</v>
      </c>
      <c r="G89">
        <v>2013</v>
      </c>
      <c r="H89" t="s">
        <v>1265</v>
      </c>
      <c r="I89" t="s">
        <v>1266</v>
      </c>
      <c r="J89">
        <v>23.524999999999999</v>
      </c>
      <c r="K89">
        <v>-75.758332999999993</v>
      </c>
      <c r="L89" t="s">
        <v>358</v>
      </c>
      <c r="M89" t="s">
        <v>387</v>
      </c>
      <c r="N89" t="s">
        <v>531</v>
      </c>
      <c r="O89" t="s">
        <v>532</v>
      </c>
      <c r="P89" t="s">
        <v>693</v>
      </c>
      <c r="Q89" t="s">
        <v>291</v>
      </c>
      <c r="R89" t="s">
        <v>650</v>
      </c>
      <c r="S89" t="s">
        <v>534</v>
      </c>
      <c r="T89" t="s">
        <v>331</v>
      </c>
      <c r="U89">
        <v>1</v>
      </c>
      <c r="V89" t="s">
        <v>311</v>
      </c>
      <c r="W89">
        <v>2002</v>
      </c>
      <c r="X89" t="s">
        <v>340</v>
      </c>
      <c r="Y89" t="s">
        <v>311</v>
      </c>
      <c r="Z89" t="s">
        <v>1057</v>
      </c>
      <c r="AA89" t="s">
        <v>610</v>
      </c>
      <c r="AB89" t="s">
        <v>311</v>
      </c>
      <c r="AC89" t="s">
        <v>311</v>
      </c>
      <c r="AD89" t="s">
        <v>340</v>
      </c>
      <c r="AE89" t="s">
        <v>311</v>
      </c>
      <c r="AF89" t="s">
        <v>802</v>
      </c>
      <c r="AH89" t="s">
        <v>820</v>
      </c>
      <c r="AI89" t="s">
        <v>311</v>
      </c>
      <c r="AJ89" t="s">
        <v>311</v>
      </c>
      <c r="AK89" t="s">
        <v>1303</v>
      </c>
      <c r="AL89" t="s">
        <v>357</v>
      </c>
      <c r="AM89" t="s">
        <v>1059</v>
      </c>
      <c r="AN89" t="s">
        <v>584</v>
      </c>
      <c r="AO89" t="s">
        <v>345</v>
      </c>
      <c r="AP89" t="s">
        <v>887</v>
      </c>
      <c r="AQ89" t="s">
        <v>614</v>
      </c>
      <c r="AR89">
        <v>0.30839416058394098</v>
      </c>
      <c r="AS89">
        <v>7.2992700729930249E-3</v>
      </c>
      <c r="AT89" t="s">
        <v>311</v>
      </c>
      <c r="AU89">
        <v>13</v>
      </c>
      <c r="AV89">
        <v>0.23394160583941601</v>
      </c>
      <c r="AW89">
        <v>2.189781021896986E-3</v>
      </c>
      <c r="AX89" t="s">
        <v>311</v>
      </c>
      <c r="AY89">
        <v>11</v>
      </c>
      <c r="AZ89" t="s">
        <v>1677</v>
      </c>
      <c r="BA89" t="s">
        <v>1680</v>
      </c>
      <c r="BB89">
        <v>0</v>
      </c>
      <c r="BC89" t="s">
        <v>1672</v>
      </c>
      <c r="BD89" t="s">
        <v>1764</v>
      </c>
      <c r="BE89" t="s">
        <v>1881</v>
      </c>
      <c r="BF89" t="s">
        <v>311</v>
      </c>
      <c r="BG89" t="s">
        <v>311</v>
      </c>
      <c r="BH89" t="s">
        <v>311</v>
      </c>
      <c r="BI89" t="s">
        <v>311</v>
      </c>
      <c r="BJ89">
        <v>2.5806451612903198</v>
      </c>
      <c r="BK89">
        <v>0.15053763440860024</v>
      </c>
      <c r="BL89">
        <v>0.15053763440860024</v>
      </c>
      <c r="BM89">
        <v>4.3010752688173753E-2</v>
      </c>
      <c r="BN89">
        <v>10</v>
      </c>
      <c r="BO89">
        <v>10</v>
      </c>
      <c r="BP89" t="s">
        <v>311</v>
      </c>
      <c r="BQ89" t="s">
        <v>311</v>
      </c>
      <c r="BR89" t="s">
        <v>311</v>
      </c>
      <c r="BS89" t="s">
        <v>311</v>
      </c>
      <c r="BT89" t="s">
        <v>311</v>
      </c>
      <c r="BU89" t="s">
        <v>311</v>
      </c>
      <c r="BV89" t="s">
        <v>311</v>
      </c>
      <c r="BW89" t="s">
        <v>311</v>
      </c>
      <c r="BX89" t="s">
        <v>1126</v>
      </c>
      <c r="BY89" t="s">
        <v>1272</v>
      </c>
      <c r="BZ89">
        <v>0.15053763440860024</v>
      </c>
      <c r="CA89">
        <v>26.17</v>
      </c>
      <c r="CB89" t="s">
        <v>1209</v>
      </c>
      <c r="CC89" t="s">
        <v>1209</v>
      </c>
      <c r="CD89" t="s">
        <v>311</v>
      </c>
      <c r="CE89" t="s">
        <v>311</v>
      </c>
      <c r="CF89" t="s">
        <v>311</v>
      </c>
      <c r="CG89" t="s">
        <v>311</v>
      </c>
      <c r="CH89" t="s">
        <v>311</v>
      </c>
      <c r="CI89" t="s">
        <v>311</v>
      </c>
      <c r="CJ89" s="38" t="s">
        <v>311</v>
      </c>
      <c r="CK89" s="38" t="s">
        <v>311</v>
      </c>
      <c r="CL89" s="38" t="s">
        <v>311</v>
      </c>
      <c r="CM89" s="38" t="s">
        <v>311</v>
      </c>
      <c r="CN89" s="38" t="s">
        <v>311</v>
      </c>
      <c r="CO89" s="38" t="s">
        <v>311</v>
      </c>
      <c r="CP89" s="38" t="s">
        <v>311</v>
      </c>
      <c r="CQ89" t="s">
        <v>1702</v>
      </c>
      <c r="CR89" t="s">
        <v>1587</v>
      </c>
    </row>
    <row r="90" spans="1:96">
      <c r="A90">
        <v>89</v>
      </c>
      <c r="B90">
        <v>16</v>
      </c>
      <c r="C90">
        <v>20</v>
      </c>
      <c r="D90" t="s">
        <v>100</v>
      </c>
      <c r="E90" t="s">
        <v>101</v>
      </c>
      <c r="F90" t="s">
        <v>86</v>
      </c>
      <c r="G90">
        <v>2013</v>
      </c>
      <c r="H90" t="s">
        <v>1265</v>
      </c>
      <c r="I90" t="s">
        <v>1266</v>
      </c>
      <c r="J90">
        <v>23.524999999999999</v>
      </c>
      <c r="K90">
        <v>-75.758332999999993</v>
      </c>
      <c r="L90" t="s">
        <v>358</v>
      </c>
      <c r="M90" t="s">
        <v>387</v>
      </c>
      <c r="N90" t="s">
        <v>531</v>
      </c>
      <c r="O90" t="s">
        <v>532</v>
      </c>
      <c r="P90" t="s">
        <v>693</v>
      </c>
      <c r="Q90" t="s">
        <v>291</v>
      </c>
      <c r="R90" t="s">
        <v>650</v>
      </c>
      <c r="S90" t="s">
        <v>534</v>
      </c>
      <c r="T90" t="s">
        <v>331</v>
      </c>
      <c r="U90">
        <v>1</v>
      </c>
      <c r="V90" t="s">
        <v>311</v>
      </c>
      <c r="W90">
        <v>2005</v>
      </c>
      <c r="X90" t="s">
        <v>340</v>
      </c>
      <c r="Y90" t="s">
        <v>311</v>
      </c>
      <c r="Z90" t="s">
        <v>1057</v>
      </c>
      <c r="AA90" t="s">
        <v>610</v>
      </c>
      <c r="AB90" t="s">
        <v>311</v>
      </c>
      <c r="AC90" t="s">
        <v>311</v>
      </c>
      <c r="AD90" t="s">
        <v>340</v>
      </c>
      <c r="AE90" t="s">
        <v>311</v>
      </c>
      <c r="AF90" t="s">
        <v>802</v>
      </c>
      <c r="AH90" t="s">
        <v>820</v>
      </c>
      <c r="AI90" t="s">
        <v>311</v>
      </c>
      <c r="AJ90" t="s">
        <v>311</v>
      </c>
      <c r="AK90" t="s">
        <v>1303</v>
      </c>
      <c r="AL90" t="s">
        <v>357</v>
      </c>
      <c r="AM90" t="s">
        <v>1059</v>
      </c>
      <c r="AN90" t="s">
        <v>584</v>
      </c>
      <c r="AO90" t="s">
        <v>345</v>
      </c>
      <c r="AP90" t="s">
        <v>887</v>
      </c>
      <c r="AQ90" t="s">
        <v>614</v>
      </c>
      <c r="AR90">
        <v>0.30474452554744502</v>
      </c>
      <c r="AS90">
        <v>1.0218978102189968E-2</v>
      </c>
      <c r="AT90" t="s">
        <v>311</v>
      </c>
      <c r="AU90">
        <v>13</v>
      </c>
      <c r="AV90">
        <v>0.23540145985401401</v>
      </c>
      <c r="AW90">
        <v>7.2992700729929971E-3</v>
      </c>
      <c r="AX90" t="s">
        <v>311</v>
      </c>
      <c r="AY90">
        <v>11</v>
      </c>
      <c r="AZ90" t="s">
        <v>1677</v>
      </c>
      <c r="BA90" t="s">
        <v>1680</v>
      </c>
      <c r="BB90">
        <v>0</v>
      </c>
      <c r="BC90" t="s">
        <v>1672</v>
      </c>
      <c r="BD90" t="s">
        <v>1763</v>
      </c>
      <c r="BE90" t="s">
        <v>1881</v>
      </c>
      <c r="BF90" t="s">
        <v>311</v>
      </c>
      <c r="BG90" t="s">
        <v>311</v>
      </c>
      <c r="BH90" t="s">
        <v>311</v>
      </c>
      <c r="BI90" t="s">
        <v>311</v>
      </c>
      <c r="BJ90">
        <v>2.5806451612903198</v>
      </c>
      <c r="BK90">
        <v>0.15053763440860024</v>
      </c>
      <c r="BL90">
        <v>0.15053763440860024</v>
      </c>
      <c r="BM90">
        <v>4.3010752688173753E-2</v>
      </c>
      <c r="BN90">
        <v>10</v>
      </c>
      <c r="BO90">
        <v>10</v>
      </c>
      <c r="BP90" t="s">
        <v>311</v>
      </c>
      <c r="BQ90" t="s">
        <v>311</v>
      </c>
      <c r="BR90" t="s">
        <v>311</v>
      </c>
      <c r="BS90" t="s">
        <v>311</v>
      </c>
      <c r="BT90" t="s">
        <v>311</v>
      </c>
      <c r="BU90" t="s">
        <v>311</v>
      </c>
      <c r="BV90" t="s">
        <v>311</v>
      </c>
      <c r="BW90" t="s">
        <v>311</v>
      </c>
      <c r="BX90" t="s">
        <v>1126</v>
      </c>
      <c r="BY90" t="s">
        <v>1272</v>
      </c>
      <c r="BZ90">
        <v>0.15053763440860024</v>
      </c>
      <c r="CA90">
        <v>26.17</v>
      </c>
      <c r="CB90" t="s">
        <v>1209</v>
      </c>
      <c r="CC90" t="s">
        <v>1209</v>
      </c>
      <c r="CD90" t="s">
        <v>311</v>
      </c>
      <c r="CE90" t="s">
        <v>311</v>
      </c>
      <c r="CF90" t="s">
        <v>311</v>
      </c>
      <c r="CG90" t="s">
        <v>311</v>
      </c>
      <c r="CH90" t="s">
        <v>311</v>
      </c>
      <c r="CI90" t="s">
        <v>311</v>
      </c>
      <c r="CJ90" s="38" t="s">
        <v>311</v>
      </c>
      <c r="CK90" s="38" t="s">
        <v>311</v>
      </c>
      <c r="CL90" s="38" t="s">
        <v>311</v>
      </c>
      <c r="CM90" s="38" t="s">
        <v>311</v>
      </c>
      <c r="CN90" s="38" t="s">
        <v>311</v>
      </c>
      <c r="CO90" s="38" t="s">
        <v>311</v>
      </c>
      <c r="CP90" s="38" t="s">
        <v>311</v>
      </c>
      <c r="CQ90" t="s">
        <v>1702</v>
      </c>
      <c r="CR90" t="s">
        <v>1588</v>
      </c>
    </row>
    <row r="91" spans="1:96" s="30" customFormat="1">
      <c r="A91">
        <v>90</v>
      </c>
      <c r="B91" s="30">
        <v>16</v>
      </c>
      <c r="C91" s="30">
        <v>21</v>
      </c>
      <c r="D91" s="30" t="s">
        <v>100</v>
      </c>
      <c r="E91" s="30" t="s">
        <v>101</v>
      </c>
      <c r="F91" s="30" t="s">
        <v>86</v>
      </c>
      <c r="G91" s="30">
        <v>2013</v>
      </c>
      <c r="H91" s="30" t="s">
        <v>1265</v>
      </c>
      <c r="I91" s="30" t="s">
        <v>1267</v>
      </c>
      <c r="J91" s="30">
        <v>23.524999999999999</v>
      </c>
      <c r="K91" s="30">
        <v>-75.760000000000005</v>
      </c>
      <c r="L91" s="30" t="s">
        <v>358</v>
      </c>
      <c r="M91" s="30" t="s">
        <v>387</v>
      </c>
      <c r="N91" s="30" t="s">
        <v>531</v>
      </c>
      <c r="O91" s="30" t="s">
        <v>532</v>
      </c>
      <c r="P91" s="30" t="s">
        <v>693</v>
      </c>
      <c r="Q91" s="30" t="s">
        <v>291</v>
      </c>
      <c r="R91" s="30" t="s">
        <v>650</v>
      </c>
      <c r="S91" s="30" t="s">
        <v>534</v>
      </c>
      <c r="T91" s="30" t="s">
        <v>331</v>
      </c>
      <c r="U91" s="30">
        <v>1</v>
      </c>
      <c r="V91" s="30" t="s">
        <v>311</v>
      </c>
      <c r="W91" s="30">
        <v>2000</v>
      </c>
      <c r="X91" s="30" t="s">
        <v>340</v>
      </c>
      <c r="Y91" s="30" t="s">
        <v>311</v>
      </c>
      <c r="Z91" s="30" t="s">
        <v>1057</v>
      </c>
      <c r="AA91" s="30" t="s">
        <v>610</v>
      </c>
      <c r="AB91" s="30" t="s">
        <v>311</v>
      </c>
      <c r="AC91" s="30" t="s">
        <v>311</v>
      </c>
      <c r="AD91" s="30" t="s">
        <v>340</v>
      </c>
      <c r="AE91" s="30" t="s">
        <v>311</v>
      </c>
      <c r="AF91" s="30" t="s">
        <v>802</v>
      </c>
      <c r="AH91" s="30" t="s">
        <v>820</v>
      </c>
      <c r="AI91" s="30" t="s">
        <v>311</v>
      </c>
      <c r="AJ91" s="30" t="s">
        <v>311</v>
      </c>
      <c r="AK91" s="30" t="s">
        <v>1303</v>
      </c>
      <c r="AL91" s="30" t="s">
        <v>357</v>
      </c>
      <c r="AM91" s="30" t="s">
        <v>1059</v>
      </c>
      <c r="AN91" s="30" t="s">
        <v>584</v>
      </c>
      <c r="AO91" s="30" t="s">
        <v>345</v>
      </c>
      <c r="AP91" s="30" t="s">
        <v>614</v>
      </c>
      <c r="AQ91" s="30" t="s">
        <v>614</v>
      </c>
      <c r="AR91" s="36">
        <v>4.3795620000000035E-3</v>
      </c>
      <c r="AS91" s="30">
        <v>8.9098945209256548E-3</v>
      </c>
      <c r="AT91" s="30" t="s">
        <v>311</v>
      </c>
      <c r="AU91" s="30">
        <v>13</v>
      </c>
      <c r="AV91" s="31">
        <v>-1.53285E-2</v>
      </c>
      <c r="AW91" s="31">
        <v>8.7894900000000005E-3</v>
      </c>
      <c r="AX91" s="30" t="s">
        <v>311</v>
      </c>
      <c r="AY91" s="30">
        <v>11</v>
      </c>
      <c r="AZ91" s="30" t="s">
        <v>1677</v>
      </c>
      <c r="BA91" s="30" t="s">
        <v>1679</v>
      </c>
      <c r="BB91">
        <v>0</v>
      </c>
      <c r="BC91" s="30" t="s">
        <v>1673</v>
      </c>
      <c r="BD91" s="30" t="s">
        <v>311</v>
      </c>
      <c r="BE91" s="30" t="s">
        <v>1881</v>
      </c>
      <c r="BF91" s="30" t="s">
        <v>311</v>
      </c>
      <c r="BG91" s="30" t="s">
        <v>311</v>
      </c>
      <c r="BH91" s="30" t="s">
        <v>311</v>
      </c>
      <c r="BI91" s="30" t="s">
        <v>311</v>
      </c>
      <c r="BJ91" s="30">
        <v>2.21505376344086</v>
      </c>
      <c r="BK91" s="30">
        <v>2.1505376344079785E-2</v>
      </c>
      <c r="BL91" s="30">
        <v>0.17204301075268699</v>
      </c>
      <c r="BM91" s="30">
        <v>4.3010752688173004E-2</v>
      </c>
      <c r="BN91" s="30">
        <v>10</v>
      </c>
      <c r="BO91" s="30">
        <v>10</v>
      </c>
      <c r="BP91" s="30" t="s">
        <v>311</v>
      </c>
      <c r="BQ91" s="30" t="s">
        <v>311</v>
      </c>
      <c r="BR91" s="30" t="s">
        <v>311</v>
      </c>
      <c r="BS91" s="30" t="s">
        <v>311</v>
      </c>
      <c r="BT91" s="30" t="s">
        <v>311</v>
      </c>
      <c r="BU91" s="30" t="s">
        <v>311</v>
      </c>
      <c r="BV91" s="30" t="s">
        <v>311</v>
      </c>
      <c r="BW91" s="30" t="s">
        <v>311</v>
      </c>
      <c r="BX91" s="30" t="s">
        <v>1126</v>
      </c>
      <c r="BY91" s="30" t="s">
        <v>1272</v>
      </c>
      <c r="BZ91" s="30">
        <v>0.17204301075268699</v>
      </c>
      <c r="CA91" s="30">
        <v>26.17</v>
      </c>
      <c r="CB91" s="30" t="s">
        <v>1209</v>
      </c>
      <c r="CC91" s="30" t="s">
        <v>1209</v>
      </c>
      <c r="CD91" s="30" t="s">
        <v>311</v>
      </c>
      <c r="CE91" s="30" t="s">
        <v>311</v>
      </c>
      <c r="CF91" s="30" t="s">
        <v>311</v>
      </c>
      <c r="CG91" s="30" t="s">
        <v>311</v>
      </c>
      <c r="CH91" s="30" t="s">
        <v>311</v>
      </c>
      <c r="CI91" s="30" t="s">
        <v>311</v>
      </c>
      <c r="CJ91" s="38" t="s">
        <v>311</v>
      </c>
      <c r="CK91" s="38" t="s">
        <v>311</v>
      </c>
      <c r="CL91" s="38" t="s">
        <v>311</v>
      </c>
      <c r="CM91" s="38" t="s">
        <v>311</v>
      </c>
      <c r="CN91" s="38" t="s">
        <v>311</v>
      </c>
      <c r="CO91" s="38" t="s">
        <v>311</v>
      </c>
      <c r="CP91" s="38" t="s">
        <v>311</v>
      </c>
      <c r="CQ91" s="30" t="s">
        <v>1874</v>
      </c>
      <c r="CR91" s="30" t="s">
        <v>1876</v>
      </c>
    </row>
    <row r="92" spans="1:96">
      <c r="A92">
        <v>91</v>
      </c>
      <c r="B92">
        <v>16</v>
      </c>
      <c r="C92">
        <v>22</v>
      </c>
      <c r="D92" t="s">
        <v>100</v>
      </c>
      <c r="E92" t="s">
        <v>101</v>
      </c>
      <c r="F92" t="s">
        <v>86</v>
      </c>
      <c r="G92">
        <v>2013</v>
      </c>
      <c r="H92" t="s">
        <v>1265</v>
      </c>
      <c r="I92" t="s">
        <v>1267</v>
      </c>
      <c r="J92">
        <v>23.524999999999999</v>
      </c>
      <c r="K92">
        <v>-75.760000000000005</v>
      </c>
      <c r="L92" t="s">
        <v>358</v>
      </c>
      <c r="M92" t="s">
        <v>387</v>
      </c>
      <c r="N92" t="s">
        <v>531</v>
      </c>
      <c r="O92" t="s">
        <v>532</v>
      </c>
      <c r="P92" t="s">
        <v>693</v>
      </c>
      <c r="Q92" t="s">
        <v>291</v>
      </c>
      <c r="R92" t="s">
        <v>650</v>
      </c>
      <c r="S92" t="s">
        <v>534</v>
      </c>
      <c r="T92" t="s">
        <v>331</v>
      </c>
      <c r="U92">
        <v>1</v>
      </c>
      <c r="V92" t="s">
        <v>311</v>
      </c>
      <c r="W92">
        <v>2000</v>
      </c>
      <c r="X92" t="s">
        <v>340</v>
      </c>
      <c r="Y92" t="s">
        <v>311</v>
      </c>
      <c r="Z92" t="s">
        <v>1057</v>
      </c>
      <c r="AA92" t="s">
        <v>610</v>
      </c>
      <c r="AB92" t="s">
        <v>311</v>
      </c>
      <c r="AC92" t="s">
        <v>311</v>
      </c>
      <c r="AD92" t="s">
        <v>340</v>
      </c>
      <c r="AE92" t="s">
        <v>311</v>
      </c>
      <c r="AF92" t="s">
        <v>802</v>
      </c>
      <c r="AH92" t="s">
        <v>820</v>
      </c>
      <c r="AI92" t="s">
        <v>311</v>
      </c>
      <c r="AJ92" t="s">
        <v>311</v>
      </c>
      <c r="AK92" t="s">
        <v>1303</v>
      </c>
      <c r="AL92" t="s">
        <v>357</v>
      </c>
      <c r="AM92" t="s">
        <v>1059</v>
      </c>
      <c r="AN92" t="s">
        <v>584</v>
      </c>
      <c r="AO92" t="s">
        <v>345</v>
      </c>
      <c r="AP92" t="s">
        <v>887</v>
      </c>
      <c r="AQ92" t="s">
        <v>614</v>
      </c>
      <c r="AR92" s="26">
        <v>0.25656934306569301</v>
      </c>
      <c r="AS92">
        <v>7.2992700729929694E-3</v>
      </c>
      <c r="AT92" t="s">
        <v>311</v>
      </c>
      <c r="AU92">
        <v>13</v>
      </c>
      <c r="AV92" s="26">
        <v>0.23905109489050999</v>
      </c>
      <c r="AW92">
        <v>6.5693430656940111E-3</v>
      </c>
      <c r="AX92" t="s">
        <v>311</v>
      </c>
      <c r="AY92">
        <v>11</v>
      </c>
      <c r="AZ92" t="s">
        <v>1677</v>
      </c>
      <c r="BA92" t="s">
        <v>1680</v>
      </c>
      <c r="BB92">
        <v>0</v>
      </c>
      <c r="BC92" t="s">
        <v>1672</v>
      </c>
      <c r="BD92" t="s">
        <v>1764</v>
      </c>
      <c r="BE92" t="s">
        <v>1881</v>
      </c>
      <c r="BF92" t="s">
        <v>311</v>
      </c>
      <c r="BG92" t="s">
        <v>311</v>
      </c>
      <c r="BH92" t="s">
        <v>311</v>
      </c>
      <c r="BI92" t="s">
        <v>311</v>
      </c>
      <c r="BJ92">
        <v>2.21505376344086</v>
      </c>
      <c r="BK92">
        <v>2.1505376344079785E-2</v>
      </c>
      <c r="BL92">
        <v>0.17204301075268699</v>
      </c>
      <c r="BM92">
        <v>4.3010752688173004E-2</v>
      </c>
      <c r="BN92">
        <v>10</v>
      </c>
      <c r="BO92">
        <v>10</v>
      </c>
      <c r="BP92" t="s">
        <v>311</v>
      </c>
      <c r="BQ92" t="s">
        <v>311</v>
      </c>
      <c r="BR92" t="s">
        <v>311</v>
      </c>
      <c r="BS92" t="s">
        <v>311</v>
      </c>
      <c r="BT92" t="s">
        <v>311</v>
      </c>
      <c r="BU92" t="s">
        <v>311</v>
      </c>
      <c r="BV92" t="s">
        <v>311</v>
      </c>
      <c r="BW92" t="s">
        <v>311</v>
      </c>
      <c r="BX92" t="s">
        <v>1126</v>
      </c>
      <c r="BY92" t="s">
        <v>1272</v>
      </c>
      <c r="BZ92">
        <v>0.17204301075268699</v>
      </c>
      <c r="CA92">
        <v>26.17</v>
      </c>
      <c r="CB92" t="s">
        <v>1209</v>
      </c>
      <c r="CC92" t="s">
        <v>1209</v>
      </c>
      <c r="CD92" t="s">
        <v>311</v>
      </c>
      <c r="CE92" t="s">
        <v>311</v>
      </c>
      <c r="CF92" t="s">
        <v>311</v>
      </c>
      <c r="CG92" t="s">
        <v>311</v>
      </c>
      <c r="CH92" t="s">
        <v>311</v>
      </c>
      <c r="CI92" t="s">
        <v>311</v>
      </c>
      <c r="CJ92" s="38" t="s">
        <v>311</v>
      </c>
      <c r="CK92" s="38" t="s">
        <v>311</v>
      </c>
      <c r="CL92" s="38" t="s">
        <v>311</v>
      </c>
      <c r="CM92" s="38" t="s">
        <v>311</v>
      </c>
      <c r="CN92" s="38" t="s">
        <v>311</v>
      </c>
      <c r="CO92" s="38" t="s">
        <v>311</v>
      </c>
      <c r="CP92" s="38" t="s">
        <v>311</v>
      </c>
      <c r="CQ92" t="s">
        <v>1703</v>
      </c>
      <c r="CR92" t="s">
        <v>1589</v>
      </c>
    </row>
    <row r="93" spans="1:96">
      <c r="A93">
        <v>92</v>
      </c>
      <c r="B93">
        <v>16</v>
      </c>
      <c r="C93">
        <v>23</v>
      </c>
      <c r="D93" t="s">
        <v>100</v>
      </c>
      <c r="E93" t="s">
        <v>101</v>
      </c>
      <c r="F93" t="s">
        <v>86</v>
      </c>
      <c r="G93">
        <v>2013</v>
      </c>
      <c r="H93" t="s">
        <v>1265</v>
      </c>
      <c r="I93" t="s">
        <v>1267</v>
      </c>
      <c r="J93">
        <v>23.524999999999999</v>
      </c>
      <c r="K93">
        <v>-75.760000000000005</v>
      </c>
      <c r="L93" t="s">
        <v>358</v>
      </c>
      <c r="M93" t="s">
        <v>387</v>
      </c>
      <c r="N93" t="s">
        <v>531</v>
      </c>
      <c r="O93" t="s">
        <v>532</v>
      </c>
      <c r="P93" t="s">
        <v>693</v>
      </c>
      <c r="Q93" t="s">
        <v>291</v>
      </c>
      <c r="R93" t="s">
        <v>650</v>
      </c>
      <c r="S93" t="s">
        <v>534</v>
      </c>
      <c r="T93" t="s">
        <v>331</v>
      </c>
      <c r="U93">
        <v>1</v>
      </c>
      <c r="V93" t="s">
        <v>311</v>
      </c>
      <c r="W93">
        <v>2002</v>
      </c>
      <c r="X93" t="s">
        <v>340</v>
      </c>
      <c r="Y93" t="s">
        <v>311</v>
      </c>
      <c r="Z93" t="s">
        <v>1057</v>
      </c>
      <c r="AA93" t="s">
        <v>610</v>
      </c>
      <c r="AB93" t="s">
        <v>311</v>
      </c>
      <c r="AC93" t="s">
        <v>311</v>
      </c>
      <c r="AD93" t="s">
        <v>340</v>
      </c>
      <c r="AE93" t="s">
        <v>311</v>
      </c>
      <c r="AF93" t="s">
        <v>802</v>
      </c>
      <c r="AH93" t="s">
        <v>820</v>
      </c>
      <c r="AI93" t="s">
        <v>311</v>
      </c>
      <c r="AJ93" t="s">
        <v>311</v>
      </c>
      <c r="AK93" t="s">
        <v>1303</v>
      </c>
      <c r="AL93" t="s">
        <v>357</v>
      </c>
      <c r="AM93" t="s">
        <v>1059</v>
      </c>
      <c r="AN93" t="s">
        <v>584</v>
      </c>
      <c r="AO93" t="s">
        <v>345</v>
      </c>
      <c r="AP93" t="s">
        <v>887</v>
      </c>
      <c r="AQ93" t="s">
        <v>614</v>
      </c>
      <c r="AR93" s="26">
        <v>0.258759124087591</v>
      </c>
      <c r="AS93">
        <v>2.919708029196999E-3</v>
      </c>
      <c r="AT93" t="s">
        <v>311</v>
      </c>
      <c r="AU93">
        <v>13</v>
      </c>
      <c r="AV93" s="26">
        <v>0.22810218978102101</v>
      </c>
      <c r="AW93">
        <v>5.1094890510949842E-3</v>
      </c>
      <c r="AX93" t="s">
        <v>311</v>
      </c>
      <c r="AY93">
        <v>11</v>
      </c>
      <c r="AZ93" t="s">
        <v>1677</v>
      </c>
      <c r="BA93" t="s">
        <v>1680</v>
      </c>
      <c r="BB93">
        <v>0</v>
      </c>
      <c r="BC93" t="s">
        <v>1672</v>
      </c>
      <c r="BD93" t="s">
        <v>1764</v>
      </c>
      <c r="BE93" t="s">
        <v>1881</v>
      </c>
      <c r="BF93" t="s">
        <v>311</v>
      </c>
      <c r="BG93" t="s">
        <v>311</v>
      </c>
      <c r="BH93" t="s">
        <v>311</v>
      </c>
      <c r="BI93" t="s">
        <v>311</v>
      </c>
      <c r="BJ93">
        <v>2.21505376344086</v>
      </c>
      <c r="BK93">
        <v>2.1505376344079785E-2</v>
      </c>
      <c r="BL93">
        <v>0.17204301075268699</v>
      </c>
      <c r="BM93">
        <v>4.3010752688173004E-2</v>
      </c>
      <c r="BN93">
        <v>10</v>
      </c>
      <c r="BO93">
        <v>10</v>
      </c>
      <c r="BP93" t="s">
        <v>311</v>
      </c>
      <c r="BQ93" t="s">
        <v>311</v>
      </c>
      <c r="BR93" t="s">
        <v>311</v>
      </c>
      <c r="BS93" t="s">
        <v>311</v>
      </c>
      <c r="BT93" t="s">
        <v>311</v>
      </c>
      <c r="BU93" t="s">
        <v>311</v>
      </c>
      <c r="BV93" t="s">
        <v>311</v>
      </c>
      <c r="BW93" t="s">
        <v>311</v>
      </c>
      <c r="BX93" t="s">
        <v>1126</v>
      </c>
      <c r="BY93" t="s">
        <v>1272</v>
      </c>
      <c r="BZ93">
        <v>0.17204301075268699</v>
      </c>
      <c r="CA93">
        <v>26.17</v>
      </c>
      <c r="CB93" t="s">
        <v>1209</v>
      </c>
      <c r="CC93" t="s">
        <v>1209</v>
      </c>
      <c r="CD93" t="s">
        <v>311</v>
      </c>
      <c r="CE93" t="s">
        <v>311</v>
      </c>
      <c r="CF93" t="s">
        <v>311</v>
      </c>
      <c r="CG93" t="s">
        <v>311</v>
      </c>
      <c r="CH93" t="s">
        <v>311</v>
      </c>
      <c r="CI93" t="s">
        <v>311</v>
      </c>
      <c r="CJ93" s="38" t="s">
        <v>311</v>
      </c>
      <c r="CK93" s="38" t="s">
        <v>311</v>
      </c>
      <c r="CL93" s="38" t="s">
        <v>311</v>
      </c>
      <c r="CM93" s="38" t="s">
        <v>311</v>
      </c>
      <c r="CN93" s="38" t="s">
        <v>311</v>
      </c>
      <c r="CO93" s="38" t="s">
        <v>311</v>
      </c>
      <c r="CP93" s="38" t="s">
        <v>311</v>
      </c>
      <c r="CQ93" t="s">
        <v>1703</v>
      </c>
      <c r="CR93" t="s">
        <v>1590</v>
      </c>
    </row>
    <row r="94" spans="1:96">
      <c r="A94">
        <v>93</v>
      </c>
      <c r="B94">
        <v>16</v>
      </c>
      <c r="C94">
        <v>24</v>
      </c>
      <c r="D94" t="s">
        <v>100</v>
      </c>
      <c r="E94" t="s">
        <v>101</v>
      </c>
      <c r="F94" t="s">
        <v>86</v>
      </c>
      <c r="G94">
        <v>2013</v>
      </c>
      <c r="H94" t="s">
        <v>1265</v>
      </c>
      <c r="I94" t="s">
        <v>1267</v>
      </c>
      <c r="J94">
        <v>23.524999999999999</v>
      </c>
      <c r="K94">
        <v>-75.760000000000005</v>
      </c>
      <c r="L94" t="s">
        <v>358</v>
      </c>
      <c r="M94" t="s">
        <v>387</v>
      </c>
      <c r="N94" t="s">
        <v>531</v>
      </c>
      <c r="O94" t="s">
        <v>532</v>
      </c>
      <c r="P94" t="s">
        <v>693</v>
      </c>
      <c r="Q94" t="s">
        <v>291</v>
      </c>
      <c r="R94" t="s">
        <v>650</v>
      </c>
      <c r="S94" t="s">
        <v>534</v>
      </c>
      <c r="T94" t="s">
        <v>331</v>
      </c>
      <c r="U94">
        <v>1</v>
      </c>
      <c r="V94" t="s">
        <v>311</v>
      </c>
      <c r="W94">
        <v>2003</v>
      </c>
      <c r="X94" t="s">
        <v>340</v>
      </c>
      <c r="Y94" t="s">
        <v>311</v>
      </c>
      <c r="Z94" t="s">
        <v>1057</v>
      </c>
      <c r="AA94" t="s">
        <v>610</v>
      </c>
      <c r="AB94" t="s">
        <v>311</v>
      </c>
      <c r="AC94" t="s">
        <v>311</v>
      </c>
      <c r="AD94" t="s">
        <v>340</v>
      </c>
      <c r="AE94" t="s">
        <v>311</v>
      </c>
      <c r="AF94" t="s">
        <v>802</v>
      </c>
      <c r="AH94" t="s">
        <v>820</v>
      </c>
      <c r="AI94" t="s">
        <v>311</v>
      </c>
      <c r="AJ94" t="s">
        <v>311</v>
      </c>
      <c r="AK94" t="s">
        <v>1303</v>
      </c>
      <c r="AL94" t="s">
        <v>357</v>
      </c>
      <c r="AM94" t="s">
        <v>1059</v>
      </c>
      <c r="AN94" t="s">
        <v>584</v>
      </c>
      <c r="AO94" t="s">
        <v>345</v>
      </c>
      <c r="AP94" t="s">
        <v>887</v>
      </c>
      <c r="AQ94" t="s">
        <v>614</v>
      </c>
      <c r="AR94" s="26">
        <v>0.26094890510948898</v>
      </c>
      <c r="AS94">
        <v>3.6496350364960128E-3</v>
      </c>
      <c r="AT94" t="s">
        <v>311</v>
      </c>
      <c r="AU94">
        <v>13</v>
      </c>
      <c r="AV94" s="26">
        <v>0.22518248175182401</v>
      </c>
      <c r="AW94">
        <v>3.6496350364969843E-3</v>
      </c>
      <c r="AX94" t="s">
        <v>311</v>
      </c>
      <c r="AY94">
        <v>11</v>
      </c>
      <c r="AZ94" t="s">
        <v>1677</v>
      </c>
      <c r="BA94" t="s">
        <v>1680</v>
      </c>
      <c r="BB94">
        <v>0</v>
      </c>
      <c r="BC94" t="s">
        <v>1672</v>
      </c>
      <c r="BD94" t="s">
        <v>1764</v>
      </c>
      <c r="BE94" t="s">
        <v>1881</v>
      </c>
      <c r="BF94" t="s">
        <v>311</v>
      </c>
      <c r="BG94" t="s">
        <v>311</v>
      </c>
      <c r="BH94" t="s">
        <v>311</v>
      </c>
      <c r="BI94" t="s">
        <v>311</v>
      </c>
      <c r="BJ94">
        <v>2.21505376344086</v>
      </c>
      <c r="BK94">
        <v>2.1505376344079785E-2</v>
      </c>
      <c r="BL94">
        <v>0.17204301075268699</v>
      </c>
      <c r="BM94">
        <v>4.3010752688173004E-2</v>
      </c>
      <c r="BN94">
        <v>10</v>
      </c>
      <c r="BO94">
        <v>10</v>
      </c>
      <c r="BP94" t="s">
        <v>311</v>
      </c>
      <c r="BQ94" t="s">
        <v>311</v>
      </c>
      <c r="BR94" t="s">
        <v>311</v>
      </c>
      <c r="BS94" t="s">
        <v>311</v>
      </c>
      <c r="BT94" t="s">
        <v>311</v>
      </c>
      <c r="BU94" t="s">
        <v>311</v>
      </c>
      <c r="BV94" t="s">
        <v>311</v>
      </c>
      <c r="BW94" t="s">
        <v>311</v>
      </c>
      <c r="BX94" t="s">
        <v>1126</v>
      </c>
      <c r="BY94" t="s">
        <v>1272</v>
      </c>
      <c r="BZ94">
        <v>0.17204301075268699</v>
      </c>
      <c r="CA94">
        <v>26.17</v>
      </c>
      <c r="CB94" t="s">
        <v>1209</v>
      </c>
      <c r="CC94" t="s">
        <v>1209</v>
      </c>
      <c r="CD94" t="s">
        <v>311</v>
      </c>
      <c r="CE94" t="s">
        <v>311</v>
      </c>
      <c r="CF94" t="s">
        <v>311</v>
      </c>
      <c r="CG94" t="s">
        <v>311</v>
      </c>
      <c r="CH94" t="s">
        <v>311</v>
      </c>
      <c r="CI94" t="s">
        <v>311</v>
      </c>
      <c r="CJ94" s="38" t="s">
        <v>311</v>
      </c>
      <c r="CK94" s="38" t="s">
        <v>311</v>
      </c>
      <c r="CL94" s="38" t="s">
        <v>311</v>
      </c>
      <c r="CM94" s="38" t="s">
        <v>311</v>
      </c>
      <c r="CN94" s="38" t="s">
        <v>311</v>
      </c>
      <c r="CO94" s="38" t="s">
        <v>311</v>
      </c>
      <c r="CP94" s="38" t="s">
        <v>311</v>
      </c>
      <c r="CQ94" t="s">
        <v>1703</v>
      </c>
      <c r="CR94" t="s">
        <v>1591</v>
      </c>
    </row>
    <row r="95" spans="1:96">
      <c r="A95">
        <v>94</v>
      </c>
      <c r="B95">
        <v>16</v>
      </c>
      <c r="C95">
        <v>25</v>
      </c>
      <c r="D95" t="s">
        <v>100</v>
      </c>
      <c r="E95" t="s">
        <v>101</v>
      </c>
      <c r="F95" t="s">
        <v>86</v>
      </c>
      <c r="G95">
        <v>2013</v>
      </c>
      <c r="H95" t="s">
        <v>1265</v>
      </c>
      <c r="I95" t="s">
        <v>1267</v>
      </c>
      <c r="J95">
        <v>23.524999999999999</v>
      </c>
      <c r="K95">
        <v>-75.760000000000005</v>
      </c>
      <c r="L95" t="s">
        <v>358</v>
      </c>
      <c r="M95" t="s">
        <v>387</v>
      </c>
      <c r="N95" t="s">
        <v>531</v>
      </c>
      <c r="O95" t="s">
        <v>532</v>
      </c>
      <c r="P95" t="s">
        <v>693</v>
      </c>
      <c r="Q95" t="s">
        <v>291</v>
      </c>
      <c r="R95" t="s">
        <v>650</v>
      </c>
      <c r="S95" t="s">
        <v>534</v>
      </c>
      <c r="T95" t="s">
        <v>331</v>
      </c>
      <c r="U95">
        <v>1</v>
      </c>
      <c r="V95" t="s">
        <v>311</v>
      </c>
      <c r="W95">
        <v>2005</v>
      </c>
      <c r="X95" t="s">
        <v>340</v>
      </c>
      <c r="Y95" t="s">
        <v>311</v>
      </c>
      <c r="Z95" t="s">
        <v>1057</v>
      </c>
      <c r="AA95" t="s">
        <v>610</v>
      </c>
      <c r="AB95" t="s">
        <v>311</v>
      </c>
      <c r="AC95" t="s">
        <v>311</v>
      </c>
      <c r="AD95" t="s">
        <v>340</v>
      </c>
      <c r="AE95" t="s">
        <v>311</v>
      </c>
      <c r="AF95" t="s">
        <v>802</v>
      </c>
      <c r="AH95" t="s">
        <v>820</v>
      </c>
      <c r="AI95" t="s">
        <v>311</v>
      </c>
      <c r="AJ95" t="s">
        <v>311</v>
      </c>
      <c r="AK95" t="s">
        <v>1303</v>
      </c>
      <c r="AL95" t="s">
        <v>357</v>
      </c>
      <c r="AM95" t="s">
        <v>1059</v>
      </c>
      <c r="AN95" t="s">
        <v>584</v>
      </c>
      <c r="AO95" t="s">
        <v>345</v>
      </c>
      <c r="AP95" t="s">
        <v>887</v>
      </c>
      <c r="AQ95" t="s">
        <v>614</v>
      </c>
      <c r="AR95" s="26">
        <v>0.26094890510948898</v>
      </c>
      <c r="AS95">
        <v>5.1094890510940405E-3</v>
      </c>
      <c r="AT95" t="s">
        <v>311</v>
      </c>
      <c r="AU95">
        <v>13</v>
      </c>
      <c r="AV95" s="26">
        <v>0.22372262773722601</v>
      </c>
      <c r="AW95">
        <v>5.839416058393998E-3</v>
      </c>
      <c r="AX95" t="s">
        <v>311</v>
      </c>
      <c r="AY95">
        <v>11</v>
      </c>
      <c r="AZ95" t="s">
        <v>1677</v>
      </c>
      <c r="BA95" t="s">
        <v>1680</v>
      </c>
      <c r="BB95">
        <v>0</v>
      </c>
      <c r="BC95" t="s">
        <v>1672</v>
      </c>
      <c r="BD95" t="s">
        <v>1763</v>
      </c>
      <c r="BE95" t="s">
        <v>1881</v>
      </c>
      <c r="BF95" t="s">
        <v>311</v>
      </c>
      <c r="BG95" t="s">
        <v>311</v>
      </c>
      <c r="BH95" t="s">
        <v>311</v>
      </c>
      <c r="BI95" t="s">
        <v>311</v>
      </c>
      <c r="BJ95">
        <v>2.21505376344086</v>
      </c>
      <c r="BK95">
        <v>2.1505376344079785E-2</v>
      </c>
      <c r="BL95">
        <v>0.17204301075268699</v>
      </c>
      <c r="BM95">
        <v>4.3010752688173004E-2</v>
      </c>
      <c r="BN95">
        <v>10</v>
      </c>
      <c r="BO95">
        <v>10</v>
      </c>
      <c r="BP95" t="s">
        <v>311</v>
      </c>
      <c r="BQ95" t="s">
        <v>311</v>
      </c>
      <c r="BR95" t="s">
        <v>311</v>
      </c>
      <c r="BS95" t="s">
        <v>311</v>
      </c>
      <c r="BT95" t="s">
        <v>311</v>
      </c>
      <c r="BU95" t="s">
        <v>311</v>
      </c>
      <c r="BV95" t="s">
        <v>311</v>
      </c>
      <c r="BW95" t="s">
        <v>311</v>
      </c>
      <c r="BX95" t="s">
        <v>1126</v>
      </c>
      <c r="BY95" t="s">
        <v>1272</v>
      </c>
      <c r="BZ95">
        <v>0.17204301075268699</v>
      </c>
      <c r="CA95">
        <v>26.17</v>
      </c>
      <c r="CB95" t="s">
        <v>1209</v>
      </c>
      <c r="CC95" t="s">
        <v>1209</v>
      </c>
      <c r="CD95" t="s">
        <v>311</v>
      </c>
      <c r="CE95" t="s">
        <v>311</v>
      </c>
      <c r="CF95" t="s">
        <v>311</v>
      </c>
      <c r="CG95" t="s">
        <v>311</v>
      </c>
      <c r="CH95" t="s">
        <v>311</v>
      </c>
      <c r="CI95" t="s">
        <v>311</v>
      </c>
      <c r="CJ95" s="38" t="s">
        <v>311</v>
      </c>
      <c r="CK95" s="38" t="s">
        <v>311</v>
      </c>
      <c r="CL95" s="38" t="s">
        <v>311</v>
      </c>
      <c r="CM95" s="38" t="s">
        <v>311</v>
      </c>
      <c r="CN95" s="38" t="s">
        <v>311</v>
      </c>
      <c r="CO95" s="38" t="s">
        <v>311</v>
      </c>
      <c r="CP95" s="38" t="s">
        <v>311</v>
      </c>
      <c r="CQ95" t="s">
        <v>1703</v>
      </c>
      <c r="CR95" t="s">
        <v>1592</v>
      </c>
    </row>
    <row r="96" spans="1:96" s="30" customFormat="1">
      <c r="A96">
        <v>95</v>
      </c>
      <c r="B96" s="30">
        <v>16</v>
      </c>
      <c r="C96" s="30">
        <v>26</v>
      </c>
      <c r="D96" s="30" t="s">
        <v>100</v>
      </c>
      <c r="E96" s="30" t="s">
        <v>101</v>
      </c>
      <c r="F96" s="30" t="s">
        <v>86</v>
      </c>
      <c r="G96" s="30">
        <v>2013</v>
      </c>
      <c r="H96" s="30" t="s">
        <v>1268</v>
      </c>
      <c r="I96" s="30" t="s">
        <v>1269</v>
      </c>
      <c r="J96" s="30">
        <v>23.678332999999999</v>
      </c>
      <c r="K96" s="30">
        <v>-75.998333000000002</v>
      </c>
      <c r="L96" s="30" t="s">
        <v>358</v>
      </c>
      <c r="M96" s="30" t="s">
        <v>387</v>
      </c>
      <c r="N96" s="30" t="s">
        <v>531</v>
      </c>
      <c r="O96" s="30" t="s">
        <v>532</v>
      </c>
      <c r="P96" s="30" t="s">
        <v>693</v>
      </c>
      <c r="Q96" s="30" t="s">
        <v>291</v>
      </c>
      <c r="R96" s="30" t="s">
        <v>650</v>
      </c>
      <c r="S96" s="30" t="s">
        <v>534</v>
      </c>
      <c r="T96" s="30" t="s">
        <v>331</v>
      </c>
      <c r="U96" s="30">
        <v>1</v>
      </c>
      <c r="V96" s="30" t="s">
        <v>311</v>
      </c>
      <c r="W96" s="30">
        <v>2000</v>
      </c>
      <c r="X96" s="30" t="s">
        <v>340</v>
      </c>
      <c r="Y96" s="30" t="s">
        <v>311</v>
      </c>
      <c r="Z96" s="30" t="s">
        <v>1057</v>
      </c>
      <c r="AA96" s="30" t="s">
        <v>610</v>
      </c>
      <c r="AB96" s="30" t="s">
        <v>311</v>
      </c>
      <c r="AC96" s="30" t="s">
        <v>311</v>
      </c>
      <c r="AD96" s="30" t="s">
        <v>340</v>
      </c>
      <c r="AE96" s="30" t="s">
        <v>311</v>
      </c>
      <c r="AF96" s="30" t="s">
        <v>802</v>
      </c>
      <c r="AH96" s="30" t="s">
        <v>820</v>
      </c>
      <c r="AI96" s="30" t="s">
        <v>311</v>
      </c>
      <c r="AJ96" s="30" t="s">
        <v>311</v>
      </c>
      <c r="AK96" s="30" t="s">
        <v>1303</v>
      </c>
      <c r="AL96" s="30" t="s">
        <v>357</v>
      </c>
      <c r="AM96" s="30" t="s">
        <v>1059</v>
      </c>
      <c r="AN96" s="30" t="s">
        <v>584</v>
      </c>
      <c r="AO96" s="30" t="s">
        <v>345</v>
      </c>
      <c r="AP96" s="30" t="s">
        <v>614</v>
      </c>
      <c r="AQ96" s="30" t="s">
        <v>614</v>
      </c>
      <c r="AR96" s="30">
        <v>7.2992700729930249E-3</v>
      </c>
      <c r="AS96" s="30">
        <v>7.2259087128554019E-3</v>
      </c>
      <c r="AT96" s="30" t="s">
        <v>311</v>
      </c>
      <c r="AU96" s="30">
        <v>13</v>
      </c>
      <c r="AV96" s="30">
        <v>7.2992700729898607E-4</v>
      </c>
      <c r="AW96" s="30">
        <v>7.2992700729921974E-3</v>
      </c>
      <c r="AX96" s="30" t="s">
        <v>311</v>
      </c>
      <c r="AY96" s="30">
        <v>11</v>
      </c>
      <c r="AZ96" s="30" t="s">
        <v>1677</v>
      </c>
      <c r="BA96" s="30" t="s">
        <v>1679</v>
      </c>
      <c r="BB96">
        <v>0</v>
      </c>
      <c r="BC96" s="30" t="s">
        <v>1673</v>
      </c>
      <c r="BD96" s="30" t="s">
        <v>311</v>
      </c>
      <c r="BE96" s="30" t="s">
        <v>1881</v>
      </c>
      <c r="BF96" s="30" t="s">
        <v>311</v>
      </c>
      <c r="BG96" s="30" t="s">
        <v>311</v>
      </c>
      <c r="BH96" s="30" t="s">
        <v>311</v>
      </c>
      <c r="BI96" s="30" t="s">
        <v>311</v>
      </c>
      <c r="BJ96" s="30">
        <v>1.5652173913043399</v>
      </c>
      <c r="BK96" s="30">
        <v>2.1739130434780041E-2</v>
      </c>
      <c r="BL96" s="30">
        <v>6.5217391304347394E-2</v>
      </c>
      <c r="BM96" s="30">
        <v>4.3478260869564606E-2</v>
      </c>
      <c r="BN96" s="30">
        <v>10</v>
      </c>
      <c r="BO96" s="30">
        <v>10</v>
      </c>
      <c r="BP96" s="30" t="s">
        <v>311</v>
      </c>
      <c r="BQ96" s="30" t="s">
        <v>311</v>
      </c>
      <c r="BR96" s="30" t="s">
        <v>311</v>
      </c>
      <c r="BS96" s="30" t="s">
        <v>311</v>
      </c>
      <c r="BT96" s="30" t="s">
        <v>311</v>
      </c>
      <c r="BU96" s="30" t="s">
        <v>311</v>
      </c>
      <c r="BV96" s="30" t="s">
        <v>311</v>
      </c>
      <c r="BW96" s="30" t="s">
        <v>311</v>
      </c>
      <c r="BX96" s="30" t="s">
        <v>1126</v>
      </c>
      <c r="BY96" s="30" t="s">
        <v>1272</v>
      </c>
      <c r="BZ96" s="30">
        <v>6.5217391304347394E-2</v>
      </c>
      <c r="CA96" s="30">
        <v>26.17</v>
      </c>
      <c r="CB96" s="30" t="s">
        <v>1209</v>
      </c>
      <c r="CC96" s="30" t="s">
        <v>1209</v>
      </c>
      <c r="CD96" s="30" t="s">
        <v>311</v>
      </c>
      <c r="CE96" s="30" t="s">
        <v>311</v>
      </c>
      <c r="CF96" s="30" t="s">
        <v>311</v>
      </c>
      <c r="CG96" s="30" t="s">
        <v>311</v>
      </c>
      <c r="CH96" s="30" t="s">
        <v>311</v>
      </c>
      <c r="CI96" s="30" t="s">
        <v>311</v>
      </c>
      <c r="CJ96" s="38" t="s">
        <v>311</v>
      </c>
      <c r="CK96" s="38" t="s">
        <v>311</v>
      </c>
      <c r="CL96" s="38" t="s">
        <v>311</v>
      </c>
      <c r="CM96" s="38" t="s">
        <v>311</v>
      </c>
      <c r="CN96" s="38" t="s">
        <v>311</v>
      </c>
      <c r="CO96" s="38" t="s">
        <v>311</v>
      </c>
      <c r="CP96" s="38" t="s">
        <v>311</v>
      </c>
      <c r="CQ96" s="30" t="s">
        <v>1874</v>
      </c>
      <c r="CR96" s="30" t="s">
        <v>1877</v>
      </c>
    </row>
    <row r="97" spans="1:96">
      <c r="A97">
        <v>96</v>
      </c>
      <c r="B97">
        <v>16</v>
      </c>
      <c r="C97">
        <v>27</v>
      </c>
      <c r="D97" t="s">
        <v>100</v>
      </c>
      <c r="E97" t="s">
        <v>101</v>
      </c>
      <c r="F97" t="s">
        <v>86</v>
      </c>
      <c r="G97">
        <v>2013</v>
      </c>
      <c r="H97" t="s">
        <v>1268</v>
      </c>
      <c r="I97" t="s">
        <v>1269</v>
      </c>
      <c r="J97">
        <v>23.678332999999999</v>
      </c>
      <c r="K97">
        <v>-75.998333000000002</v>
      </c>
      <c r="L97" t="s">
        <v>358</v>
      </c>
      <c r="M97" t="s">
        <v>387</v>
      </c>
      <c r="N97" t="s">
        <v>531</v>
      </c>
      <c r="O97" t="s">
        <v>532</v>
      </c>
      <c r="P97" t="s">
        <v>693</v>
      </c>
      <c r="Q97" t="s">
        <v>291</v>
      </c>
      <c r="R97" t="s">
        <v>650</v>
      </c>
      <c r="S97" t="s">
        <v>534</v>
      </c>
      <c r="T97" t="s">
        <v>331</v>
      </c>
      <c r="U97">
        <v>1</v>
      </c>
      <c r="V97" t="s">
        <v>311</v>
      </c>
      <c r="W97">
        <v>2000</v>
      </c>
      <c r="X97" t="s">
        <v>340</v>
      </c>
      <c r="Y97" t="s">
        <v>311</v>
      </c>
      <c r="Z97" t="s">
        <v>1057</v>
      </c>
      <c r="AA97" t="s">
        <v>610</v>
      </c>
      <c r="AB97" t="s">
        <v>311</v>
      </c>
      <c r="AC97" t="s">
        <v>311</v>
      </c>
      <c r="AD97" t="s">
        <v>340</v>
      </c>
      <c r="AE97" t="s">
        <v>311</v>
      </c>
      <c r="AF97" t="s">
        <v>802</v>
      </c>
      <c r="AH97" t="s">
        <v>820</v>
      </c>
      <c r="AI97" t="s">
        <v>311</v>
      </c>
      <c r="AJ97" t="s">
        <v>311</v>
      </c>
      <c r="AK97" t="s">
        <v>1303</v>
      </c>
      <c r="AL97" t="s">
        <v>357</v>
      </c>
      <c r="AM97" t="s">
        <v>1059</v>
      </c>
      <c r="AN97" t="s">
        <v>584</v>
      </c>
      <c r="AO97" t="s">
        <v>345</v>
      </c>
      <c r="AP97" t="s">
        <v>887</v>
      </c>
      <c r="AQ97" t="s">
        <v>614</v>
      </c>
      <c r="AR97">
        <v>0.25802919708029098</v>
      </c>
      <c r="AS97">
        <v>5.1094890510950397E-3</v>
      </c>
      <c r="AT97" t="s">
        <v>311</v>
      </c>
      <c r="AU97">
        <v>13</v>
      </c>
      <c r="AV97">
        <v>0.23394160583941601</v>
      </c>
      <c r="AW97">
        <v>5.839416058393998E-3</v>
      </c>
      <c r="AX97" t="s">
        <v>311</v>
      </c>
      <c r="AY97">
        <v>11</v>
      </c>
      <c r="AZ97" t="s">
        <v>1677</v>
      </c>
      <c r="BA97" t="s">
        <v>1680</v>
      </c>
      <c r="BB97">
        <v>0</v>
      </c>
      <c r="BC97" t="s">
        <v>1672</v>
      </c>
      <c r="BD97" t="s">
        <v>1764</v>
      </c>
      <c r="BE97" t="s">
        <v>1881</v>
      </c>
      <c r="BF97" t="s">
        <v>311</v>
      </c>
      <c r="BG97" t="s">
        <v>311</v>
      </c>
      <c r="BH97" t="s">
        <v>311</v>
      </c>
      <c r="BI97" t="s">
        <v>311</v>
      </c>
      <c r="BJ97">
        <v>1.5652173913043399</v>
      </c>
      <c r="BK97">
        <v>2.1739130434780041E-2</v>
      </c>
      <c r="BL97">
        <v>6.5217391304347394E-2</v>
      </c>
      <c r="BM97">
        <v>4.3478260869564606E-2</v>
      </c>
      <c r="BN97">
        <v>10</v>
      </c>
      <c r="BO97">
        <v>10</v>
      </c>
      <c r="BP97" t="s">
        <v>311</v>
      </c>
      <c r="BQ97" t="s">
        <v>311</v>
      </c>
      <c r="BR97" t="s">
        <v>311</v>
      </c>
      <c r="BS97" t="s">
        <v>311</v>
      </c>
      <c r="BT97" t="s">
        <v>311</v>
      </c>
      <c r="BU97" t="s">
        <v>311</v>
      </c>
      <c r="BV97" t="s">
        <v>311</v>
      </c>
      <c r="BW97" t="s">
        <v>311</v>
      </c>
      <c r="BX97" t="s">
        <v>1126</v>
      </c>
      <c r="BY97" t="s">
        <v>1272</v>
      </c>
      <c r="BZ97">
        <v>6.5217391304347394E-2</v>
      </c>
      <c r="CA97">
        <v>26.17</v>
      </c>
      <c r="CB97" t="s">
        <v>1209</v>
      </c>
      <c r="CC97" t="s">
        <v>1209</v>
      </c>
      <c r="CD97" t="s">
        <v>311</v>
      </c>
      <c r="CE97" t="s">
        <v>311</v>
      </c>
      <c r="CF97" t="s">
        <v>311</v>
      </c>
      <c r="CG97" t="s">
        <v>311</v>
      </c>
      <c r="CH97" t="s">
        <v>311</v>
      </c>
      <c r="CI97" t="s">
        <v>311</v>
      </c>
      <c r="CJ97" s="38" t="s">
        <v>311</v>
      </c>
      <c r="CK97" s="38" t="s">
        <v>311</v>
      </c>
      <c r="CL97" s="38" t="s">
        <v>311</v>
      </c>
      <c r="CM97" s="38" t="s">
        <v>311</v>
      </c>
      <c r="CN97" s="38" t="s">
        <v>311</v>
      </c>
      <c r="CO97" s="38" t="s">
        <v>311</v>
      </c>
      <c r="CP97" s="38" t="s">
        <v>311</v>
      </c>
      <c r="CQ97" t="s">
        <v>1703</v>
      </c>
      <c r="CR97" t="s">
        <v>1593</v>
      </c>
    </row>
    <row r="98" spans="1:96">
      <c r="A98">
        <v>97</v>
      </c>
      <c r="B98">
        <v>16</v>
      </c>
      <c r="C98">
        <v>28</v>
      </c>
      <c r="D98" t="s">
        <v>100</v>
      </c>
      <c r="E98" t="s">
        <v>101</v>
      </c>
      <c r="F98" t="s">
        <v>86</v>
      </c>
      <c r="G98">
        <v>2013</v>
      </c>
      <c r="H98" t="s">
        <v>1268</v>
      </c>
      <c r="I98" t="s">
        <v>1269</v>
      </c>
      <c r="J98">
        <v>23.678332999999999</v>
      </c>
      <c r="K98">
        <v>-75.998333000000002</v>
      </c>
      <c r="L98" t="s">
        <v>358</v>
      </c>
      <c r="M98" t="s">
        <v>387</v>
      </c>
      <c r="N98" t="s">
        <v>531</v>
      </c>
      <c r="O98" t="s">
        <v>532</v>
      </c>
      <c r="P98" t="s">
        <v>693</v>
      </c>
      <c r="Q98" t="s">
        <v>291</v>
      </c>
      <c r="R98" t="s">
        <v>650</v>
      </c>
      <c r="S98" t="s">
        <v>534</v>
      </c>
      <c r="T98" t="s">
        <v>331</v>
      </c>
      <c r="U98">
        <v>1</v>
      </c>
      <c r="V98" t="s">
        <v>311</v>
      </c>
      <c r="W98">
        <v>2002</v>
      </c>
      <c r="X98" t="s">
        <v>340</v>
      </c>
      <c r="Y98" t="s">
        <v>311</v>
      </c>
      <c r="Z98" t="s">
        <v>1057</v>
      </c>
      <c r="AA98" t="s">
        <v>610</v>
      </c>
      <c r="AB98" t="s">
        <v>311</v>
      </c>
      <c r="AC98" t="s">
        <v>311</v>
      </c>
      <c r="AD98" t="s">
        <v>340</v>
      </c>
      <c r="AE98" t="s">
        <v>311</v>
      </c>
      <c r="AF98" t="s">
        <v>802</v>
      </c>
      <c r="AH98" t="s">
        <v>820</v>
      </c>
      <c r="AI98" t="s">
        <v>311</v>
      </c>
      <c r="AJ98" t="s">
        <v>311</v>
      </c>
      <c r="AK98" t="s">
        <v>1303</v>
      </c>
      <c r="AL98" t="s">
        <v>357</v>
      </c>
      <c r="AM98" t="s">
        <v>1059</v>
      </c>
      <c r="AN98" t="s">
        <v>584</v>
      </c>
      <c r="AO98" t="s">
        <v>345</v>
      </c>
      <c r="AP98" t="s">
        <v>887</v>
      </c>
      <c r="AQ98" t="s">
        <v>614</v>
      </c>
      <c r="AR98">
        <v>0.26678832116788298</v>
      </c>
      <c r="AS98">
        <v>5.839416058393998E-3</v>
      </c>
      <c r="AT98" t="s">
        <v>311</v>
      </c>
      <c r="AU98">
        <v>13</v>
      </c>
      <c r="AV98">
        <v>0.23321167883211599</v>
      </c>
      <c r="AW98">
        <v>5.1094890510950119E-3</v>
      </c>
      <c r="AX98" t="s">
        <v>311</v>
      </c>
      <c r="AY98">
        <v>11</v>
      </c>
      <c r="AZ98" t="s">
        <v>1677</v>
      </c>
      <c r="BA98" t="s">
        <v>1680</v>
      </c>
      <c r="BB98">
        <v>0</v>
      </c>
      <c r="BC98" t="s">
        <v>1672</v>
      </c>
      <c r="BD98" t="s">
        <v>1764</v>
      </c>
      <c r="BE98" t="s">
        <v>1881</v>
      </c>
      <c r="BF98" t="s">
        <v>311</v>
      </c>
      <c r="BG98" t="s">
        <v>311</v>
      </c>
      <c r="BH98" t="s">
        <v>311</v>
      </c>
      <c r="BI98" t="s">
        <v>311</v>
      </c>
      <c r="BJ98">
        <v>1.5652173913043399</v>
      </c>
      <c r="BK98">
        <v>2.1739130434780041E-2</v>
      </c>
      <c r="BL98">
        <v>6.5217391304347394E-2</v>
      </c>
      <c r="BM98">
        <v>4.3478260869564606E-2</v>
      </c>
      <c r="BN98">
        <v>10</v>
      </c>
      <c r="BO98">
        <v>10</v>
      </c>
      <c r="BP98" t="s">
        <v>311</v>
      </c>
      <c r="BQ98" t="s">
        <v>311</v>
      </c>
      <c r="BR98" t="s">
        <v>311</v>
      </c>
      <c r="BS98" t="s">
        <v>311</v>
      </c>
      <c r="BT98" t="s">
        <v>311</v>
      </c>
      <c r="BU98" t="s">
        <v>311</v>
      </c>
      <c r="BV98" t="s">
        <v>311</v>
      </c>
      <c r="BW98" t="s">
        <v>311</v>
      </c>
      <c r="BX98" t="s">
        <v>1126</v>
      </c>
      <c r="BY98" t="s">
        <v>1272</v>
      </c>
      <c r="BZ98">
        <v>6.5217391304347394E-2</v>
      </c>
      <c r="CA98">
        <v>26.17</v>
      </c>
      <c r="CB98" t="s">
        <v>1209</v>
      </c>
      <c r="CC98" t="s">
        <v>1209</v>
      </c>
      <c r="CD98" t="s">
        <v>311</v>
      </c>
      <c r="CE98" t="s">
        <v>311</v>
      </c>
      <c r="CF98" t="s">
        <v>311</v>
      </c>
      <c r="CG98" t="s">
        <v>311</v>
      </c>
      <c r="CH98" t="s">
        <v>311</v>
      </c>
      <c r="CI98" t="s">
        <v>311</v>
      </c>
      <c r="CJ98" s="38" t="s">
        <v>311</v>
      </c>
      <c r="CK98" s="38" t="s">
        <v>311</v>
      </c>
      <c r="CL98" s="38" t="s">
        <v>311</v>
      </c>
      <c r="CM98" s="38" t="s">
        <v>311</v>
      </c>
      <c r="CN98" s="38" t="s">
        <v>311</v>
      </c>
      <c r="CO98" s="38" t="s">
        <v>311</v>
      </c>
      <c r="CP98" s="38" t="s">
        <v>311</v>
      </c>
      <c r="CQ98" t="s">
        <v>1703</v>
      </c>
      <c r="CR98" t="s">
        <v>1595</v>
      </c>
    </row>
    <row r="99" spans="1:96">
      <c r="A99">
        <v>98</v>
      </c>
      <c r="B99">
        <v>16</v>
      </c>
      <c r="C99">
        <v>29</v>
      </c>
      <c r="D99" t="s">
        <v>100</v>
      </c>
      <c r="E99" t="s">
        <v>101</v>
      </c>
      <c r="F99" t="s">
        <v>86</v>
      </c>
      <c r="G99">
        <v>2013</v>
      </c>
      <c r="H99" t="s">
        <v>1268</v>
      </c>
      <c r="I99" t="s">
        <v>1269</v>
      </c>
      <c r="J99">
        <v>23.678332999999999</v>
      </c>
      <c r="K99">
        <v>-75.998333000000002</v>
      </c>
      <c r="L99" t="s">
        <v>358</v>
      </c>
      <c r="M99" t="s">
        <v>387</v>
      </c>
      <c r="N99" t="s">
        <v>531</v>
      </c>
      <c r="O99" t="s">
        <v>532</v>
      </c>
      <c r="P99" t="s">
        <v>693</v>
      </c>
      <c r="Q99" t="s">
        <v>291</v>
      </c>
      <c r="R99" t="s">
        <v>650</v>
      </c>
      <c r="S99" t="s">
        <v>534</v>
      </c>
      <c r="T99" t="s">
        <v>331</v>
      </c>
      <c r="U99">
        <v>1</v>
      </c>
      <c r="V99" t="s">
        <v>311</v>
      </c>
      <c r="W99">
        <v>2003</v>
      </c>
      <c r="X99" t="s">
        <v>340</v>
      </c>
      <c r="Y99" t="s">
        <v>311</v>
      </c>
      <c r="Z99" t="s">
        <v>1057</v>
      </c>
      <c r="AA99" t="s">
        <v>610</v>
      </c>
      <c r="AB99" t="s">
        <v>311</v>
      </c>
      <c r="AC99" t="s">
        <v>311</v>
      </c>
      <c r="AD99" t="s">
        <v>340</v>
      </c>
      <c r="AE99" t="s">
        <v>311</v>
      </c>
      <c r="AF99" t="s">
        <v>802</v>
      </c>
      <c r="AH99" t="s">
        <v>820</v>
      </c>
      <c r="AI99" t="s">
        <v>311</v>
      </c>
      <c r="AJ99" t="s">
        <v>311</v>
      </c>
      <c r="AK99" t="s">
        <v>1303</v>
      </c>
      <c r="AL99" t="s">
        <v>357</v>
      </c>
      <c r="AM99" t="s">
        <v>1059</v>
      </c>
      <c r="AN99" t="s">
        <v>584</v>
      </c>
      <c r="AO99" t="s">
        <v>345</v>
      </c>
      <c r="AP99" t="s">
        <v>887</v>
      </c>
      <c r="AQ99" t="s">
        <v>614</v>
      </c>
      <c r="AR99">
        <v>0.264598540145985</v>
      </c>
      <c r="AS99">
        <v>6.5693430656930119E-3</v>
      </c>
      <c r="AT99" t="s">
        <v>311</v>
      </c>
      <c r="AU99">
        <v>13</v>
      </c>
      <c r="AV99">
        <v>0.241240875912408</v>
      </c>
      <c r="AW99">
        <v>4.3795620437959981E-3</v>
      </c>
      <c r="AX99" t="s">
        <v>311</v>
      </c>
      <c r="AY99">
        <v>11</v>
      </c>
      <c r="AZ99" t="s">
        <v>1677</v>
      </c>
      <c r="BA99" t="s">
        <v>1680</v>
      </c>
      <c r="BB99">
        <v>0</v>
      </c>
      <c r="BC99" t="s">
        <v>1672</v>
      </c>
      <c r="BD99" t="s">
        <v>1764</v>
      </c>
      <c r="BE99" t="s">
        <v>1881</v>
      </c>
      <c r="BF99" t="s">
        <v>311</v>
      </c>
      <c r="BG99" t="s">
        <v>311</v>
      </c>
      <c r="BH99" t="s">
        <v>311</v>
      </c>
      <c r="BI99" t="s">
        <v>311</v>
      </c>
      <c r="BJ99">
        <v>1.5652173913043399</v>
      </c>
      <c r="BK99">
        <v>2.1739130434780041E-2</v>
      </c>
      <c r="BL99">
        <v>6.5217391304347394E-2</v>
      </c>
      <c r="BM99">
        <v>4.3478260869564606E-2</v>
      </c>
      <c r="BN99">
        <v>10</v>
      </c>
      <c r="BO99">
        <v>10</v>
      </c>
      <c r="BP99" t="s">
        <v>311</v>
      </c>
      <c r="BQ99" t="s">
        <v>311</v>
      </c>
      <c r="BR99" t="s">
        <v>311</v>
      </c>
      <c r="BS99" t="s">
        <v>311</v>
      </c>
      <c r="BT99" t="s">
        <v>311</v>
      </c>
      <c r="BU99" t="s">
        <v>311</v>
      </c>
      <c r="BV99" t="s">
        <v>311</v>
      </c>
      <c r="BW99" t="s">
        <v>311</v>
      </c>
      <c r="BX99" t="s">
        <v>1126</v>
      </c>
      <c r="BY99" t="s">
        <v>1272</v>
      </c>
      <c r="BZ99">
        <v>6.5217391304347394E-2</v>
      </c>
      <c r="CA99">
        <v>26.17</v>
      </c>
      <c r="CB99" t="s">
        <v>1209</v>
      </c>
      <c r="CC99" t="s">
        <v>1209</v>
      </c>
      <c r="CD99" t="s">
        <v>311</v>
      </c>
      <c r="CE99" t="s">
        <v>311</v>
      </c>
      <c r="CF99" t="s">
        <v>311</v>
      </c>
      <c r="CG99" t="s">
        <v>311</v>
      </c>
      <c r="CH99" t="s">
        <v>311</v>
      </c>
      <c r="CI99" t="s">
        <v>311</v>
      </c>
      <c r="CJ99" s="38" t="s">
        <v>311</v>
      </c>
      <c r="CK99" s="38" t="s">
        <v>311</v>
      </c>
      <c r="CL99" s="38" t="s">
        <v>311</v>
      </c>
      <c r="CM99" s="38" t="s">
        <v>311</v>
      </c>
      <c r="CN99" s="38" t="s">
        <v>311</v>
      </c>
      <c r="CO99" s="38" t="s">
        <v>311</v>
      </c>
      <c r="CP99" s="38" t="s">
        <v>311</v>
      </c>
      <c r="CQ99" t="s">
        <v>1703</v>
      </c>
      <c r="CR99" t="s">
        <v>1596</v>
      </c>
    </row>
    <row r="100" spans="1:96">
      <c r="A100">
        <v>99</v>
      </c>
      <c r="B100">
        <v>16</v>
      </c>
      <c r="C100">
        <v>30</v>
      </c>
      <c r="D100" t="s">
        <v>100</v>
      </c>
      <c r="E100" t="s">
        <v>101</v>
      </c>
      <c r="F100" t="s">
        <v>86</v>
      </c>
      <c r="G100">
        <v>2013</v>
      </c>
      <c r="H100" t="s">
        <v>1268</v>
      </c>
      <c r="I100" t="s">
        <v>1269</v>
      </c>
      <c r="J100">
        <v>23.678332999999999</v>
      </c>
      <c r="K100">
        <v>-75.998333000000002</v>
      </c>
      <c r="L100" t="s">
        <v>358</v>
      </c>
      <c r="M100" t="s">
        <v>387</v>
      </c>
      <c r="N100" t="s">
        <v>531</v>
      </c>
      <c r="O100" t="s">
        <v>532</v>
      </c>
      <c r="P100" t="s">
        <v>693</v>
      </c>
      <c r="Q100" t="s">
        <v>291</v>
      </c>
      <c r="R100" t="s">
        <v>650</v>
      </c>
      <c r="S100" t="s">
        <v>534</v>
      </c>
      <c r="T100" t="s">
        <v>331</v>
      </c>
      <c r="U100">
        <v>1</v>
      </c>
      <c r="V100" t="s">
        <v>311</v>
      </c>
      <c r="W100">
        <v>2005</v>
      </c>
      <c r="X100" t="s">
        <v>340</v>
      </c>
      <c r="Y100" t="s">
        <v>311</v>
      </c>
      <c r="Z100" t="s">
        <v>1057</v>
      </c>
      <c r="AA100" t="s">
        <v>610</v>
      </c>
      <c r="AB100" t="s">
        <v>311</v>
      </c>
      <c r="AC100" t="s">
        <v>311</v>
      </c>
      <c r="AD100" t="s">
        <v>340</v>
      </c>
      <c r="AE100" t="s">
        <v>311</v>
      </c>
      <c r="AF100" t="s">
        <v>802</v>
      </c>
      <c r="AH100" t="s">
        <v>820</v>
      </c>
      <c r="AI100" t="s">
        <v>311</v>
      </c>
      <c r="AJ100" t="s">
        <v>311</v>
      </c>
      <c r="AK100" t="s">
        <v>1303</v>
      </c>
      <c r="AL100" t="s">
        <v>357</v>
      </c>
      <c r="AM100" t="s">
        <v>1059</v>
      </c>
      <c r="AN100" t="s">
        <v>584</v>
      </c>
      <c r="AO100" t="s">
        <v>345</v>
      </c>
      <c r="AP100" t="s">
        <v>887</v>
      </c>
      <c r="AQ100" t="s">
        <v>614</v>
      </c>
      <c r="AR100">
        <v>0.26532846715328401</v>
      </c>
      <c r="AS100">
        <v>5.1094890510949842E-3</v>
      </c>
      <c r="AT100" t="s">
        <v>311</v>
      </c>
      <c r="AU100">
        <v>13</v>
      </c>
      <c r="AV100">
        <v>0.23467153284671499</v>
      </c>
      <c r="AW100">
        <v>4.3795620437949989E-3</v>
      </c>
      <c r="AX100" t="s">
        <v>311</v>
      </c>
      <c r="AY100">
        <v>11</v>
      </c>
      <c r="AZ100" t="s">
        <v>1677</v>
      </c>
      <c r="BA100" t="s">
        <v>1680</v>
      </c>
      <c r="BB100">
        <v>0</v>
      </c>
      <c r="BC100" t="s">
        <v>1672</v>
      </c>
      <c r="BD100" t="s">
        <v>1763</v>
      </c>
      <c r="BE100" t="s">
        <v>1881</v>
      </c>
      <c r="BF100" t="s">
        <v>311</v>
      </c>
      <c r="BG100" t="s">
        <v>311</v>
      </c>
      <c r="BH100" t="s">
        <v>311</v>
      </c>
      <c r="BI100" t="s">
        <v>311</v>
      </c>
      <c r="BJ100">
        <v>1.5652173913043399</v>
      </c>
      <c r="BK100">
        <v>2.1739130434780041E-2</v>
      </c>
      <c r="BL100">
        <v>6.5217391304347394E-2</v>
      </c>
      <c r="BM100">
        <v>4.3478260869564606E-2</v>
      </c>
      <c r="BN100">
        <v>10</v>
      </c>
      <c r="BO100">
        <v>10</v>
      </c>
      <c r="BP100" t="s">
        <v>311</v>
      </c>
      <c r="BQ100" t="s">
        <v>311</v>
      </c>
      <c r="BR100" t="s">
        <v>311</v>
      </c>
      <c r="BS100" t="s">
        <v>311</v>
      </c>
      <c r="BT100" t="s">
        <v>311</v>
      </c>
      <c r="BU100" t="s">
        <v>311</v>
      </c>
      <c r="BV100" t="s">
        <v>311</v>
      </c>
      <c r="BW100" t="s">
        <v>311</v>
      </c>
      <c r="BX100" t="s">
        <v>1126</v>
      </c>
      <c r="BY100" t="s">
        <v>1272</v>
      </c>
      <c r="BZ100">
        <v>6.5217391304347394E-2</v>
      </c>
      <c r="CA100">
        <v>26.17</v>
      </c>
      <c r="CB100" t="s">
        <v>1209</v>
      </c>
      <c r="CC100" t="s">
        <v>1209</v>
      </c>
      <c r="CD100" t="s">
        <v>311</v>
      </c>
      <c r="CE100" t="s">
        <v>311</v>
      </c>
      <c r="CF100" t="s">
        <v>311</v>
      </c>
      <c r="CG100" t="s">
        <v>311</v>
      </c>
      <c r="CH100" t="s">
        <v>311</v>
      </c>
      <c r="CI100" t="s">
        <v>311</v>
      </c>
      <c r="CJ100" s="38" t="s">
        <v>311</v>
      </c>
      <c r="CK100" s="38" t="s">
        <v>311</v>
      </c>
      <c r="CL100" s="38" t="s">
        <v>311</v>
      </c>
      <c r="CM100" s="38" t="s">
        <v>311</v>
      </c>
      <c r="CN100" s="38" t="s">
        <v>311</v>
      </c>
      <c r="CO100" s="38" t="s">
        <v>311</v>
      </c>
      <c r="CP100" s="38" t="s">
        <v>311</v>
      </c>
      <c r="CQ100" t="s">
        <v>1703</v>
      </c>
      <c r="CR100" t="s">
        <v>1597</v>
      </c>
    </row>
    <row r="101" spans="1:96" s="30" customFormat="1">
      <c r="A101">
        <v>100</v>
      </c>
      <c r="B101" s="30">
        <v>16</v>
      </c>
      <c r="C101" s="30">
        <v>31</v>
      </c>
      <c r="D101" s="30" t="s">
        <v>100</v>
      </c>
      <c r="E101" s="30" t="s">
        <v>101</v>
      </c>
      <c r="F101" s="30" t="s">
        <v>86</v>
      </c>
      <c r="G101" s="30">
        <v>2013</v>
      </c>
      <c r="H101" s="30" t="s">
        <v>1270</v>
      </c>
      <c r="I101" s="30" t="s">
        <v>1271</v>
      </c>
      <c r="J101" s="30">
        <v>23.698333000000002</v>
      </c>
      <c r="K101" s="30">
        <v>-76.004999999999995</v>
      </c>
      <c r="L101" s="30" t="s">
        <v>358</v>
      </c>
      <c r="M101" s="30" t="s">
        <v>387</v>
      </c>
      <c r="N101" s="30" t="s">
        <v>531</v>
      </c>
      <c r="O101" s="30" t="s">
        <v>532</v>
      </c>
      <c r="P101" s="30" t="s">
        <v>693</v>
      </c>
      <c r="Q101" s="30" t="s">
        <v>291</v>
      </c>
      <c r="R101" s="30" t="s">
        <v>650</v>
      </c>
      <c r="S101" s="30" t="s">
        <v>534</v>
      </c>
      <c r="T101" s="30" t="s">
        <v>331</v>
      </c>
      <c r="U101" s="30">
        <v>1</v>
      </c>
      <c r="V101" s="30" t="s">
        <v>311</v>
      </c>
      <c r="W101" s="30">
        <v>2000</v>
      </c>
      <c r="X101" s="30" t="s">
        <v>340</v>
      </c>
      <c r="Y101" s="30" t="s">
        <v>311</v>
      </c>
      <c r="Z101" s="30" t="s">
        <v>1057</v>
      </c>
      <c r="AA101" s="30" t="s">
        <v>610</v>
      </c>
      <c r="AB101" s="30" t="s">
        <v>311</v>
      </c>
      <c r="AC101" s="30" t="s">
        <v>311</v>
      </c>
      <c r="AD101" s="30" t="s">
        <v>340</v>
      </c>
      <c r="AE101" s="30" t="s">
        <v>311</v>
      </c>
      <c r="AF101" s="30" t="s">
        <v>802</v>
      </c>
      <c r="AH101" s="30" t="s">
        <v>820</v>
      </c>
      <c r="AI101" s="30" t="s">
        <v>311</v>
      </c>
      <c r="AJ101" s="30" t="s">
        <v>311</v>
      </c>
      <c r="AK101" s="30" t="s">
        <v>1303</v>
      </c>
      <c r="AL101" s="30" t="s">
        <v>357</v>
      </c>
      <c r="AM101" s="30" t="s">
        <v>1059</v>
      </c>
      <c r="AN101" s="30" t="s">
        <v>584</v>
      </c>
      <c r="AO101" s="30" t="s">
        <v>345</v>
      </c>
      <c r="AP101" s="30" t="s">
        <v>614</v>
      </c>
      <c r="AQ101" s="30" t="s">
        <v>614</v>
      </c>
      <c r="AR101" s="30">
        <v>5.9681697612729845E-3</v>
      </c>
      <c r="AS101" s="30">
        <v>4.8567197410081565E-3</v>
      </c>
      <c r="AT101" s="30" t="s">
        <v>311</v>
      </c>
      <c r="AU101" s="30">
        <v>13</v>
      </c>
      <c r="AV101" s="30">
        <v>-7.9575596816980065E-3</v>
      </c>
      <c r="AW101" s="30">
        <v>7.1728473649813251E-3</v>
      </c>
      <c r="AX101" s="30" t="s">
        <v>311</v>
      </c>
      <c r="AY101" s="30">
        <v>11</v>
      </c>
      <c r="AZ101" s="30" t="s">
        <v>1677</v>
      </c>
      <c r="BA101" s="30" t="s">
        <v>1679</v>
      </c>
      <c r="BB101">
        <v>0</v>
      </c>
      <c r="BC101" s="30" t="s">
        <v>1673</v>
      </c>
      <c r="BD101" s="30" t="s">
        <v>311</v>
      </c>
      <c r="BE101" s="30" t="s">
        <v>1881</v>
      </c>
      <c r="BF101" s="30" t="s">
        <v>311</v>
      </c>
      <c r="BG101" s="30" t="s">
        <v>311</v>
      </c>
      <c r="BH101" s="30" t="s">
        <v>311</v>
      </c>
      <c r="BI101" s="30" t="s">
        <v>311</v>
      </c>
      <c r="BJ101" s="30">
        <v>0.934782608695651</v>
      </c>
      <c r="BK101" s="30">
        <v>2.1739130434783038E-2</v>
      </c>
      <c r="BL101" s="30">
        <v>0.47826086956521702</v>
      </c>
      <c r="BM101" s="30">
        <v>2.1739130434781984E-2</v>
      </c>
      <c r="BN101" s="30">
        <v>10</v>
      </c>
      <c r="BO101" s="30">
        <v>10</v>
      </c>
      <c r="BP101" s="30" t="s">
        <v>311</v>
      </c>
      <c r="BQ101" s="30" t="s">
        <v>311</v>
      </c>
      <c r="BR101" s="30" t="s">
        <v>311</v>
      </c>
      <c r="BS101" s="30" t="s">
        <v>311</v>
      </c>
      <c r="BT101" s="30" t="s">
        <v>311</v>
      </c>
      <c r="BU101" s="30" t="s">
        <v>311</v>
      </c>
      <c r="BV101" s="30" t="s">
        <v>311</v>
      </c>
      <c r="BW101" s="30" t="s">
        <v>311</v>
      </c>
      <c r="BX101" s="30" t="s">
        <v>1126</v>
      </c>
      <c r="BY101" s="30" t="s">
        <v>1272</v>
      </c>
      <c r="BZ101" s="30">
        <v>0.47826086956521702</v>
      </c>
      <c r="CA101" s="30">
        <v>26.17</v>
      </c>
      <c r="CB101" s="30" t="s">
        <v>1209</v>
      </c>
      <c r="CC101" s="30" t="s">
        <v>1209</v>
      </c>
      <c r="CD101" s="30" t="s">
        <v>311</v>
      </c>
      <c r="CE101" s="30" t="s">
        <v>311</v>
      </c>
      <c r="CF101" s="30" t="s">
        <v>311</v>
      </c>
      <c r="CG101" s="30" t="s">
        <v>311</v>
      </c>
      <c r="CH101" s="30" t="s">
        <v>311</v>
      </c>
      <c r="CI101" s="30" t="s">
        <v>311</v>
      </c>
      <c r="CJ101" s="38" t="s">
        <v>311</v>
      </c>
      <c r="CK101" s="38" t="s">
        <v>311</v>
      </c>
      <c r="CL101" s="38" t="s">
        <v>311</v>
      </c>
      <c r="CM101" s="38" t="s">
        <v>311</v>
      </c>
      <c r="CN101" s="38" t="s">
        <v>311</v>
      </c>
      <c r="CO101" s="38" t="s">
        <v>311</v>
      </c>
      <c r="CP101" s="38" t="s">
        <v>311</v>
      </c>
      <c r="CQ101" s="30" t="s">
        <v>1874</v>
      </c>
      <c r="CR101" s="30" t="s">
        <v>1878</v>
      </c>
    </row>
    <row r="102" spans="1:96">
      <c r="A102">
        <v>101</v>
      </c>
      <c r="B102">
        <v>16</v>
      </c>
      <c r="C102">
        <v>32</v>
      </c>
      <c r="D102" t="s">
        <v>100</v>
      </c>
      <c r="E102" t="s">
        <v>101</v>
      </c>
      <c r="F102" t="s">
        <v>86</v>
      </c>
      <c r="G102">
        <v>2013</v>
      </c>
      <c r="H102" t="s">
        <v>1270</v>
      </c>
      <c r="I102" t="s">
        <v>1271</v>
      </c>
      <c r="J102">
        <v>23.698333000000002</v>
      </c>
      <c r="K102">
        <v>-76.004999999999995</v>
      </c>
      <c r="L102" t="s">
        <v>358</v>
      </c>
      <c r="M102" t="s">
        <v>387</v>
      </c>
      <c r="N102" t="s">
        <v>531</v>
      </c>
      <c r="O102" t="s">
        <v>532</v>
      </c>
      <c r="P102" t="s">
        <v>693</v>
      </c>
      <c r="Q102" t="s">
        <v>291</v>
      </c>
      <c r="R102" t="s">
        <v>650</v>
      </c>
      <c r="S102" s="6" t="s">
        <v>534</v>
      </c>
      <c r="T102" t="s">
        <v>331</v>
      </c>
      <c r="U102">
        <v>1</v>
      </c>
      <c r="V102" t="s">
        <v>311</v>
      </c>
      <c r="W102">
        <v>2000</v>
      </c>
      <c r="X102" t="s">
        <v>340</v>
      </c>
      <c r="Y102" t="s">
        <v>311</v>
      </c>
      <c r="Z102" t="s">
        <v>1057</v>
      </c>
      <c r="AA102" t="s">
        <v>610</v>
      </c>
      <c r="AB102" t="s">
        <v>311</v>
      </c>
      <c r="AC102" t="s">
        <v>311</v>
      </c>
      <c r="AD102" t="s">
        <v>340</v>
      </c>
      <c r="AE102" t="s">
        <v>311</v>
      </c>
      <c r="AF102" t="s">
        <v>802</v>
      </c>
      <c r="AH102" t="s">
        <v>820</v>
      </c>
      <c r="AI102" t="s">
        <v>311</v>
      </c>
      <c r="AJ102" t="s">
        <v>311</v>
      </c>
      <c r="AK102" t="s">
        <v>1303</v>
      </c>
      <c r="AL102" t="s">
        <v>357</v>
      </c>
      <c r="AM102" t="s">
        <v>1059</v>
      </c>
      <c r="AN102" t="s">
        <v>584</v>
      </c>
      <c r="AO102" t="s">
        <v>345</v>
      </c>
      <c r="AP102" t="s">
        <v>887</v>
      </c>
      <c r="AQ102" t="s">
        <v>614</v>
      </c>
      <c r="AR102">
        <v>0.23912466843501301</v>
      </c>
      <c r="AS102">
        <v>3.9787798408489894E-3</v>
      </c>
      <c r="AT102" t="s">
        <v>311</v>
      </c>
      <c r="AU102">
        <v>13</v>
      </c>
      <c r="AV102">
        <v>0.21883289124668401</v>
      </c>
      <c r="AW102">
        <v>5.9681697612729845E-3</v>
      </c>
      <c r="AX102" t="s">
        <v>311</v>
      </c>
      <c r="AY102">
        <v>11</v>
      </c>
      <c r="AZ102" t="s">
        <v>1677</v>
      </c>
      <c r="BA102" t="s">
        <v>1680</v>
      </c>
      <c r="BB102">
        <v>0</v>
      </c>
      <c r="BC102" t="s">
        <v>1672</v>
      </c>
      <c r="BD102" t="s">
        <v>1764</v>
      </c>
      <c r="BE102" t="s">
        <v>1881</v>
      </c>
      <c r="BF102" t="s">
        <v>311</v>
      </c>
      <c r="BG102" t="s">
        <v>311</v>
      </c>
      <c r="BH102" t="s">
        <v>311</v>
      </c>
      <c r="BI102" t="s">
        <v>311</v>
      </c>
      <c r="BJ102">
        <v>0.934782608695651</v>
      </c>
      <c r="BK102">
        <v>2.1739130434783038E-2</v>
      </c>
      <c r="BL102">
        <v>0.47826086956521702</v>
      </c>
      <c r="BM102">
        <v>2.1739130434781984E-2</v>
      </c>
      <c r="BN102">
        <v>10</v>
      </c>
      <c r="BO102">
        <v>10</v>
      </c>
      <c r="BP102" t="s">
        <v>311</v>
      </c>
      <c r="BQ102" t="s">
        <v>311</v>
      </c>
      <c r="BR102" t="s">
        <v>311</v>
      </c>
      <c r="BS102" t="s">
        <v>311</v>
      </c>
      <c r="BT102" t="s">
        <v>311</v>
      </c>
      <c r="BU102" t="s">
        <v>311</v>
      </c>
      <c r="BV102" t="s">
        <v>311</v>
      </c>
      <c r="BW102" t="s">
        <v>311</v>
      </c>
      <c r="BX102" t="s">
        <v>1126</v>
      </c>
      <c r="BY102" t="s">
        <v>1272</v>
      </c>
      <c r="BZ102">
        <v>0.47826086956521702</v>
      </c>
      <c r="CA102">
        <v>26.17</v>
      </c>
      <c r="CB102" t="s">
        <v>1209</v>
      </c>
      <c r="CC102" t="s">
        <v>1209</v>
      </c>
      <c r="CD102" t="s">
        <v>311</v>
      </c>
      <c r="CE102" t="s">
        <v>311</v>
      </c>
      <c r="CF102" t="s">
        <v>311</v>
      </c>
      <c r="CG102" t="s">
        <v>311</v>
      </c>
      <c r="CH102" t="s">
        <v>311</v>
      </c>
      <c r="CI102" t="s">
        <v>311</v>
      </c>
      <c r="CJ102" s="38" t="s">
        <v>311</v>
      </c>
      <c r="CK102" s="38" t="s">
        <v>311</v>
      </c>
      <c r="CL102" s="38" t="s">
        <v>311</v>
      </c>
      <c r="CM102" s="38" t="s">
        <v>311</v>
      </c>
      <c r="CN102" s="38" t="s">
        <v>311</v>
      </c>
      <c r="CO102" s="38" t="s">
        <v>311</v>
      </c>
      <c r="CP102" s="38" t="s">
        <v>311</v>
      </c>
      <c r="CQ102" t="s">
        <v>1703</v>
      </c>
      <c r="CR102" t="s">
        <v>1594</v>
      </c>
    </row>
    <row r="103" spans="1:96">
      <c r="A103">
        <v>102</v>
      </c>
      <c r="B103">
        <v>16</v>
      </c>
      <c r="C103">
        <v>33</v>
      </c>
      <c r="D103" t="s">
        <v>100</v>
      </c>
      <c r="E103" t="s">
        <v>101</v>
      </c>
      <c r="F103" t="s">
        <v>86</v>
      </c>
      <c r="G103">
        <v>2013</v>
      </c>
      <c r="H103" t="s">
        <v>1270</v>
      </c>
      <c r="I103" t="s">
        <v>1271</v>
      </c>
      <c r="J103">
        <v>23.698333000000002</v>
      </c>
      <c r="K103">
        <v>-76.004999999999995</v>
      </c>
      <c r="L103" t="s">
        <v>358</v>
      </c>
      <c r="M103" t="s">
        <v>387</v>
      </c>
      <c r="N103" t="s">
        <v>531</v>
      </c>
      <c r="O103" t="s">
        <v>532</v>
      </c>
      <c r="P103" t="s">
        <v>693</v>
      </c>
      <c r="Q103" t="s">
        <v>291</v>
      </c>
      <c r="R103" t="s">
        <v>650</v>
      </c>
      <c r="S103" t="s">
        <v>534</v>
      </c>
      <c r="T103" t="s">
        <v>331</v>
      </c>
      <c r="U103">
        <v>1</v>
      </c>
      <c r="V103" t="s">
        <v>311</v>
      </c>
      <c r="W103">
        <v>2002</v>
      </c>
      <c r="X103" t="s">
        <v>340</v>
      </c>
      <c r="Y103" t="s">
        <v>311</v>
      </c>
      <c r="Z103" t="s">
        <v>1057</v>
      </c>
      <c r="AA103" t="s">
        <v>610</v>
      </c>
      <c r="AB103" t="s">
        <v>311</v>
      </c>
      <c r="AC103" t="s">
        <v>311</v>
      </c>
      <c r="AD103" t="s">
        <v>340</v>
      </c>
      <c r="AE103" t="s">
        <v>311</v>
      </c>
      <c r="AF103" t="s">
        <v>802</v>
      </c>
      <c r="AH103" t="s">
        <v>820</v>
      </c>
      <c r="AI103" t="s">
        <v>311</v>
      </c>
      <c r="AJ103" t="s">
        <v>311</v>
      </c>
      <c r="AK103" t="s">
        <v>1303</v>
      </c>
      <c r="AL103" t="s">
        <v>357</v>
      </c>
      <c r="AM103" t="s">
        <v>1059</v>
      </c>
      <c r="AN103" t="s">
        <v>584</v>
      </c>
      <c r="AO103" t="s">
        <v>345</v>
      </c>
      <c r="AP103" t="s">
        <v>887</v>
      </c>
      <c r="AQ103" t="s">
        <v>614</v>
      </c>
      <c r="AR103">
        <v>0.23793103448275801</v>
      </c>
      <c r="AS103">
        <v>3.1830238726789917E-3</v>
      </c>
      <c r="AT103" t="s">
        <v>311</v>
      </c>
      <c r="AU103">
        <v>13</v>
      </c>
      <c r="AV103">
        <v>0.20888594164456201</v>
      </c>
      <c r="AW103">
        <v>3.9787798408489894E-3</v>
      </c>
      <c r="AX103" t="s">
        <v>311</v>
      </c>
      <c r="AY103">
        <v>11</v>
      </c>
      <c r="AZ103" t="s">
        <v>1677</v>
      </c>
      <c r="BA103" t="s">
        <v>1680</v>
      </c>
      <c r="BB103">
        <v>0</v>
      </c>
      <c r="BC103" t="s">
        <v>1672</v>
      </c>
      <c r="BD103" t="s">
        <v>1764</v>
      </c>
      <c r="BE103" t="s">
        <v>1881</v>
      </c>
      <c r="BF103" t="s">
        <v>311</v>
      </c>
      <c r="BG103" t="s">
        <v>311</v>
      </c>
      <c r="BH103" t="s">
        <v>311</v>
      </c>
      <c r="BI103" t="s">
        <v>311</v>
      </c>
      <c r="BJ103">
        <v>0.934782608695651</v>
      </c>
      <c r="BK103">
        <v>2.1739130434783038E-2</v>
      </c>
      <c r="BL103">
        <v>0.47826086956521702</v>
      </c>
      <c r="BM103">
        <v>2.1739130434781984E-2</v>
      </c>
      <c r="BN103">
        <v>10</v>
      </c>
      <c r="BO103">
        <v>10</v>
      </c>
      <c r="BP103" t="s">
        <v>311</v>
      </c>
      <c r="BQ103" t="s">
        <v>311</v>
      </c>
      <c r="BR103" t="s">
        <v>311</v>
      </c>
      <c r="BS103" t="s">
        <v>311</v>
      </c>
      <c r="BT103" t="s">
        <v>311</v>
      </c>
      <c r="BU103" t="s">
        <v>311</v>
      </c>
      <c r="BV103" t="s">
        <v>311</v>
      </c>
      <c r="BW103" t="s">
        <v>311</v>
      </c>
      <c r="BX103" t="s">
        <v>1126</v>
      </c>
      <c r="BY103" t="s">
        <v>1272</v>
      </c>
      <c r="BZ103">
        <v>0.47826086956521702</v>
      </c>
      <c r="CA103">
        <v>26.17</v>
      </c>
      <c r="CB103" t="s">
        <v>1209</v>
      </c>
      <c r="CC103" t="s">
        <v>1209</v>
      </c>
      <c r="CD103" t="s">
        <v>311</v>
      </c>
      <c r="CE103" t="s">
        <v>311</v>
      </c>
      <c r="CF103" t="s">
        <v>311</v>
      </c>
      <c r="CG103" t="s">
        <v>311</v>
      </c>
      <c r="CH103" t="s">
        <v>311</v>
      </c>
      <c r="CI103" t="s">
        <v>311</v>
      </c>
      <c r="CJ103" s="38" t="s">
        <v>311</v>
      </c>
      <c r="CK103" s="38" t="s">
        <v>311</v>
      </c>
      <c r="CL103" s="38" t="s">
        <v>311</v>
      </c>
      <c r="CM103" s="38" t="s">
        <v>311</v>
      </c>
      <c r="CN103" s="38" t="s">
        <v>311</v>
      </c>
      <c r="CO103" s="38" t="s">
        <v>311</v>
      </c>
      <c r="CP103" s="38" t="s">
        <v>311</v>
      </c>
      <c r="CQ103" t="s">
        <v>1703</v>
      </c>
      <c r="CR103" t="s">
        <v>1598</v>
      </c>
    </row>
    <row r="104" spans="1:96">
      <c r="A104">
        <v>103</v>
      </c>
      <c r="B104">
        <v>16</v>
      </c>
      <c r="C104">
        <v>34</v>
      </c>
      <c r="D104" t="s">
        <v>100</v>
      </c>
      <c r="E104" t="s">
        <v>101</v>
      </c>
      <c r="F104" t="s">
        <v>86</v>
      </c>
      <c r="G104">
        <v>2013</v>
      </c>
      <c r="H104" t="s">
        <v>1270</v>
      </c>
      <c r="I104" t="s">
        <v>1271</v>
      </c>
      <c r="J104">
        <v>23.698333000000002</v>
      </c>
      <c r="K104">
        <v>-76.004999999999995</v>
      </c>
      <c r="L104" t="s">
        <v>358</v>
      </c>
      <c r="M104" t="s">
        <v>387</v>
      </c>
      <c r="N104" t="s">
        <v>531</v>
      </c>
      <c r="O104" t="s">
        <v>532</v>
      </c>
      <c r="P104" t="s">
        <v>693</v>
      </c>
      <c r="Q104" t="s">
        <v>291</v>
      </c>
      <c r="R104" t="s">
        <v>650</v>
      </c>
      <c r="S104" t="s">
        <v>534</v>
      </c>
      <c r="T104" t="s">
        <v>331</v>
      </c>
      <c r="U104">
        <v>1</v>
      </c>
      <c r="V104" t="s">
        <v>311</v>
      </c>
      <c r="W104">
        <v>2003</v>
      </c>
      <c r="X104" t="s">
        <v>340</v>
      </c>
      <c r="Y104" t="s">
        <v>311</v>
      </c>
      <c r="Z104" t="s">
        <v>1057</v>
      </c>
      <c r="AA104" t="s">
        <v>610</v>
      </c>
      <c r="AB104" t="s">
        <v>311</v>
      </c>
      <c r="AC104" t="s">
        <v>311</v>
      </c>
      <c r="AD104" t="s">
        <v>340</v>
      </c>
      <c r="AE104" t="s">
        <v>311</v>
      </c>
      <c r="AF104" t="s">
        <v>802</v>
      </c>
      <c r="AH104" t="s">
        <v>820</v>
      </c>
      <c r="AI104" t="s">
        <v>311</v>
      </c>
      <c r="AJ104" t="s">
        <v>311</v>
      </c>
      <c r="AK104" t="s">
        <v>1303</v>
      </c>
      <c r="AL104" t="s">
        <v>357</v>
      </c>
      <c r="AM104" t="s">
        <v>1059</v>
      </c>
      <c r="AN104" t="s">
        <v>584</v>
      </c>
      <c r="AO104" t="s">
        <v>345</v>
      </c>
      <c r="AP104" t="s">
        <v>887</v>
      </c>
      <c r="AQ104" t="s">
        <v>614</v>
      </c>
      <c r="AR104">
        <v>0.243103448275862</v>
      </c>
      <c r="AS104">
        <v>1.9893899204239951E-3</v>
      </c>
      <c r="AT104" t="s">
        <v>311</v>
      </c>
      <c r="AU104">
        <v>13</v>
      </c>
      <c r="AV104">
        <v>0.20689655172413701</v>
      </c>
      <c r="AW104">
        <v>3.1830238726789917E-3</v>
      </c>
      <c r="AX104" t="s">
        <v>311</v>
      </c>
      <c r="AY104">
        <v>11</v>
      </c>
      <c r="AZ104" t="s">
        <v>1677</v>
      </c>
      <c r="BA104" t="s">
        <v>1680</v>
      </c>
      <c r="BB104">
        <v>0</v>
      </c>
      <c r="BC104" t="s">
        <v>1672</v>
      </c>
      <c r="BD104" t="s">
        <v>1764</v>
      </c>
      <c r="BE104" t="s">
        <v>1881</v>
      </c>
      <c r="BF104" t="s">
        <v>311</v>
      </c>
      <c r="BG104" t="s">
        <v>311</v>
      </c>
      <c r="BH104" t="s">
        <v>311</v>
      </c>
      <c r="BI104" t="s">
        <v>311</v>
      </c>
      <c r="BJ104">
        <v>0.934782608695651</v>
      </c>
      <c r="BK104">
        <v>2.1739130434783038E-2</v>
      </c>
      <c r="BL104">
        <v>0.47826086956521702</v>
      </c>
      <c r="BM104">
        <v>2.1739130434781984E-2</v>
      </c>
      <c r="BN104">
        <v>10</v>
      </c>
      <c r="BO104">
        <v>10</v>
      </c>
      <c r="BP104" t="s">
        <v>311</v>
      </c>
      <c r="BQ104" t="s">
        <v>311</v>
      </c>
      <c r="BR104" t="s">
        <v>311</v>
      </c>
      <c r="BS104" t="s">
        <v>311</v>
      </c>
      <c r="BT104" t="s">
        <v>311</v>
      </c>
      <c r="BU104" t="s">
        <v>311</v>
      </c>
      <c r="BV104" t="s">
        <v>311</v>
      </c>
      <c r="BW104" t="s">
        <v>311</v>
      </c>
      <c r="BX104" t="s">
        <v>1126</v>
      </c>
      <c r="BY104" t="s">
        <v>1272</v>
      </c>
      <c r="BZ104">
        <v>0.47826086956521702</v>
      </c>
      <c r="CA104">
        <v>26.17</v>
      </c>
      <c r="CB104" t="s">
        <v>1209</v>
      </c>
      <c r="CC104" t="s">
        <v>1209</v>
      </c>
      <c r="CD104" t="s">
        <v>311</v>
      </c>
      <c r="CE104" t="s">
        <v>311</v>
      </c>
      <c r="CF104" t="s">
        <v>311</v>
      </c>
      <c r="CG104" t="s">
        <v>311</v>
      </c>
      <c r="CH104" t="s">
        <v>311</v>
      </c>
      <c r="CI104" t="s">
        <v>311</v>
      </c>
      <c r="CJ104" s="38" t="s">
        <v>311</v>
      </c>
      <c r="CK104" s="38" t="s">
        <v>311</v>
      </c>
      <c r="CL104" s="38" t="s">
        <v>311</v>
      </c>
      <c r="CM104" s="38" t="s">
        <v>311</v>
      </c>
      <c r="CN104" s="38" t="s">
        <v>311</v>
      </c>
      <c r="CO104" s="38" t="s">
        <v>311</v>
      </c>
      <c r="CP104" s="38" t="s">
        <v>311</v>
      </c>
      <c r="CQ104" t="s">
        <v>1703</v>
      </c>
      <c r="CR104" t="s">
        <v>1599</v>
      </c>
    </row>
    <row r="105" spans="1:96">
      <c r="A105">
        <v>104</v>
      </c>
      <c r="B105">
        <v>16</v>
      </c>
      <c r="C105">
        <v>35</v>
      </c>
      <c r="D105" t="s">
        <v>100</v>
      </c>
      <c r="E105" t="s">
        <v>101</v>
      </c>
      <c r="F105" t="s">
        <v>86</v>
      </c>
      <c r="G105">
        <v>2013</v>
      </c>
      <c r="H105" t="s">
        <v>1270</v>
      </c>
      <c r="I105" t="s">
        <v>1271</v>
      </c>
      <c r="J105">
        <v>23.698333000000002</v>
      </c>
      <c r="K105">
        <v>-76.004999999999995</v>
      </c>
      <c r="L105" t="s">
        <v>358</v>
      </c>
      <c r="M105" t="s">
        <v>387</v>
      </c>
      <c r="N105" t="s">
        <v>531</v>
      </c>
      <c r="O105" t="s">
        <v>532</v>
      </c>
      <c r="P105" t="s">
        <v>693</v>
      </c>
      <c r="Q105" t="s">
        <v>291</v>
      </c>
      <c r="R105" t="s">
        <v>650</v>
      </c>
      <c r="S105" t="s">
        <v>534</v>
      </c>
      <c r="T105" t="s">
        <v>331</v>
      </c>
      <c r="U105">
        <v>1</v>
      </c>
      <c r="V105" t="s">
        <v>311</v>
      </c>
      <c r="W105">
        <v>2005</v>
      </c>
      <c r="X105" t="s">
        <v>340</v>
      </c>
      <c r="Y105" t="s">
        <v>311</v>
      </c>
      <c r="Z105" t="s">
        <v>1057</v>
      </c>
      <c r="AA105" t="s">
        <v>610</v>
      </c>
      <c r="AB105" t="s">
        <v>311</v>
      </c>
      <c r="AC105" t="s">
        <v>311</v>
      </c>
      <c r="AD105" t="s">
        <v>340</v>
      </c>
      <c r="AE105" t="s">
        <v>311</v>
      </c>
      <c r="AF105" t="s">
        <v>802</v>
      </c>
      <c r="AH105" t="s">
        <v>820</v>
      </c>
      <c r="AI105" t="s">
        <v>311</v>
      </c>
      <c r="AJ105" t="s">
        <v>311</v>
      </c>
      <c r="AK105" t="s">
        <v>1303</v>
      </c>
      <c r="AL105" t="s">
        <v>357</v>
      </c>
      <c r="AM105" t="s">
        <v>1059</v>
      </c>
      <c r="AN105" t="s">
        <v>584</v>
      </c>
      <c r="AO105" t="s">
        <v>345</v>
      </c>
      <c r="AP105" t="s">
        <v>887</v>
      </c>
      <c r="AQ105" t="s">
        <v>614</v>
      </c>
      <c r="AR105">
        <v>0.24509283819628599</v>
      </c>
      <c r="AS105">
        <v>2.7851458885939928E-3</v>
      </c>
      <c r="AT105" t="s">
        <v>311</v>
      </c>
      <c r="AU105">
        <v>13</v>
      </c>
      <c r="AV105">
        <v>0.210875331564986</v>
      </c>
      <c r="AW105">
        <v>3.9787798408489894E-3</v>
      </c>
      <c r="AX105" t="s">
        <v>311</v>
      </c>
      <c r="AY105">
        <v>11</v>
      </c>
      <c r="AZ105" t="s">
        <v>1677</v>
      </c>
      <c r="BA105" t="s">
        <v>1680</v>
      </c>
      <c r="BB105">
        <v>0</v>
      </c>
      <c r="BC105" t="s">
        <v>1672</v>
      </c>
      <c r="BD105" t="s">
        <v>1763</v>
      </c>
      <c r="BE105" t="s">
        <v>1881</v>
      </c>
      <c r="BF105" t="s">
        <v>311</v>
      </c>
      <c r="BG105" t="s">
        <v>311</v>
      </c>
      <c r="BH105" t="s">
        <v>311</v>
      </c>
      <c r="BI105" t="s">
        <v>311</v>
      </c>
      <c r="BJ105">
        <v>0.934782608695651</v>
      </c>
      <c r="BK105">
        <v>2.1739130434783038E-2</v>
      </c>
      <c r="BL105">
        <v>0.47826086956521702</v>
      </c>
      <c r="BM105">
        <v>2.1739130434781984E-2</v>
      </c>
      <c r="BN105">
        <v>10</v>
      </c>
      <c r="BO105">
        <v>10</v>
      </c>
      <c r="BP105" t="s">
        <v>311</v>
      </c>
      <c r="BQ105" t="s">
        <v>311</v>
      </c>
      <c r="BR105" t="s">
        <v>311</v>
      </c>
      <c r="BS105" t="s">
        <v>311</v>
      </c>
      <c r="BT105" t="s">
        <v>311</v>
      </c>
      <c r="BU105" t="s">
        <v>311</v>
      </c>
      <c r="BV105" t="s">
        <v>311</v>
      </c>
      <c r="BW105" t="s">
        <v>311</v>
      </c>
      <c r="BX105" t="s">
        <v>1126</v>
      </c>
      <c r="BY105" t="s">
        <v>1272</v>
      </c>
      <c r="BZ105">
        <v>0.47826086956521702</v>
      </c>
      <c r="CA105">
        <v>26.17</v>
      </c>
      <c r="CB105" t="s">
        <v>1209</v>
      </c>
      <c r="CC105" t="s">
        <v>1209</v>
      </c>
      <c r="CD105" t="s">
        <v>311</v>
      </c>
      <c r="CE105" t="s">
        <v>311</v>
      </c>
      <c r="CF105" t="s">
        <v>311</v>
      </c>
      <c r="CG105" t="s">
        <v>311</v>
      </c>
      <c r="CH105" t="s">
        <v>311</v>
      </c>
      <c r="CI105" t="s">
        <v>311</v>
      </c>
      <c r="CJ105" s="38" t="s">
        <v>311</v>
      </c>
      <c r="CK105" s="38" t="s">
        <v>311</v>
      </c>
      <c r="CL105" s="38" t="s">
        <v>311</v>
      </c>
      <c r="CM105" s="38" t="s">
        <v>311</v>
      </c>
      <c r="CN105" s="38" t="s">
        <v>311</v>
      </c>
      <c r="CO105" s="38" t="s">
        <v>311</v>
      </c>
      <c r="CP105" s="38" t="s">
        <v>311</v>
      </c>
      <c r="CQ105" t="s">
        <v>1703</v>
      </c>
      <c r="CR105" t="s">
        <v>1600</v>
      </c>
    </row>
    <row r="106" spans="1:96">
      <c r="A106">
        <v>105</v>
      </c>
      <c r="B106">
        <v>17</v>
      </c>
      <c r="C106">
        <v>1</v>
      </c>
      <c r="D106" t="s">
        <v>105</v>
      </c>
      <c r="E106" t="s">
        <v>106</v>
      </c>
      <c r="F106" t="s">
        <v>75</v>
      </c>
      <c r="G106">
        <v>2011</v>
      </c>
      <c r="H106" t="s">
        <v>1304</v>
      </c>
      <c r="I106" t="s">
        <v>1305</v>
      </c>
      <c r="J106">
        <v>-17.5</v>
      </c>
      <c r="K106">
        <v>-149.83333300000001</v>
      </c>
      <c r="L106" t="s">
        <v>389</v>
      </c>
      <c r="M106" t="s">
        <v>390</v>
      </c>
      <c r="N106" t="s">
        <v>594</v>
      </c>
      <c r="O106" t="s">
        <v>288</v>
      </c>
      <c r="P106" t="s">
        <v>289</v>
      </c>
      <c r="Q106" t="s">
        <v>291</v>
      </c>
      <c r="R106" t="s">
        <v>327</v>
      </c>
      <c r="S106" t="s">
        <v>717</v>
      </c>
      <c r="T106" t="s">
        <v>331</v>
      </c>
      <c r="U106">
        <v>4</v>
      </c>
      <c r="V106" t="s">
        <v>311</v>
      </c>
      <c r="W106">
        <v>2008</v>
      </c>
      <c r="X106" t="s">
        <v>340</v>
      </c>
      <c r="Y106" t="s">
        <v>311</v>
      </c>
      <c r="Z106" t="s">
        <v>302</v>
      </c>
      <c r="AA106" t="s">
        <v>303</v>
      </c>
      <c r="AB106" t="s">
        <v>311</v>
      </c>
      <c r="AC106" t="s">
        <v>311</v>
      </c>
      <c r="AD106" t="s">
        <v>292</v>
      </c>
      <c r="AE106" t="s">
        <v>657</v>
      </c>
      <c r="AF106" t="s">
        <v>304</v>
      </c>
      <c r="AH106" t="s">
        <v>305</v>
      </c>
      <c r="AI106" t="s">
        <v>655</v>
      </c>
      <c r="AJ106" t="s">
        <v>656</v>
      </c>
      <c r="AK106" t="s">
        <v>700</v>
      </c>
      <c r="AL106" t="s">
        <v>649</v>
      </c>
      <c r="AM106" t="s">
        <v>1059</v>
      </c>
      <c r="AN106" t="s">
        <v>583</v>
      </c>
      <c r="AO106" t="s">
        <v>1287</v>
      </c>
      <c r="AP106" t="s">
        <v>614</v>
      </c>
      <c r="AQ106" t="s">
        <v>887</v>
      </c>
      <c r="AR106">
        <v>1.7100000000000001E-2</v>
      </c>
      <c r="AS106" t="s">
        <v>311</v>
      </c>
      <c r="AT106">
        <v>3.2505886046289099E-3</v>
      </c>
      <c r="AU106">
        <v>10</v>
      </c>
      <c r="AV106">
        <v>1.38E-2</v>
      </c>
      <c r="AW106" t="s">
        <v>311</v>
      </c>
      <c r="AX106">
        <v>1.0216751971516718E-3</v>
      </c>
      <c r="AY106">
        <v>2</v>
      </c>
      <c r="AZ106" t="s">
        <v>1055</v>
      </c>
      <c r="BA106" t="s">
        <v>1679</v>
      </c>
      <c r="BB106">
        <v>30</v>
      </c>
      <c r="BC106" t="s">
        <v>1672</v>
      </c>
      <c r="BD106" t="s">
        <v>311</v>
      </c>
      <c r="BE106" t="s">
        <v>1880</v>
      </c>
      <c r="BF106">
        <v>0.98</v>
      </c>
      <c r="BG106" t="s">
        <v>311</v>
      </c>
      <c r="BH106">
        <v>0</v>
      </c>
      <c r="BI106">
        <v>0</v>
      </c>
      <c r="BJ106" t="s">
        <v>311</v>
      </c>
      <c r="BK106" t="s">
        <v>311</v>
      </c>
      <c r="BL106" t="s">
        <v>311</v>
      </c>
      <c r="BM106" t="s">
        <v>311</v>
      </c>
      <c r="BN106">
        <v>10</v>
      </c>
      <c r="BO106">
        <v>10</v>
      </c>
      <c r="BP106" t="s">
        <v>311</v>
      </c>
      <c r="BQ106" t="s">
        <v>311</v>
      </c>
      <c r="BR106" t="s">
        <v>311</v>
      </c>
      <c r="BS106" t="s">
        <v>311</v>
      </c>
      <c r="BT106" t="s">
        <v>311</v>
      </c>
      <c r="BU106" t="s">
        <v>311</v>
      </c>
      <c r="BV106" t="s">
        <v>311</v>
      </c>
      <c r="BW106" t="s">
        <v>311</v>
      </c>
      <c r="BX106" t="s">
        <v>1127</v>
      </c>
      <c r="BY106" t="s">
        <v>1206</v>
      </c>
      <c r="BZ106">
        <v>0.37</v>
      </c>
      <c r="CA106">
        <v>27</v>
      </c>
      <c r="CB106" t="s">
        <v>1210</v>
      </c>
      <c r="CC106" t="s">
        <v>1210</v>
      </c>
      <c r="CD106" s="28" t="s">
        <v>1662</v>
      </c>
      <c r="CE106" s="28" t="s">
        <v>1307</v>
      </c>
      <c r="CF106" s="28">
        <v>0</v>
      </c>
      <c r="CG106" s="28" t="s">
        <v>1662</v>
      </c>
      <c r="CH106" s="28" t="s">
        <v>1306</v>
      </c>
      <c r="CI106">
        <v>0</v>
      </c>
      <c r="CJ106" s="38" t="s">
        <v>311</v>
      </c>
      <c r="CK106" s="38" t="s">
        <v>311</v>
      </c>
      <c r="CL106" s="38" t="s">
        <v>311</v>
      </c>
      <c r="CM106" s="38" t="s">
        <v>311</v>
      </c>
      <c r="CN106" s="38" t="s">
        <v>311</v>
      </c>
      <c r="CO106" s="38" t="s">
        <v>311</v>
      </c>
      <c r="CP106" s="38" t="s">
        <v>311</v>
      </c>
      <c r="CR106" t="s">
        <v>1607</v>
      </c>
    </row>
    <row r="107" spans="1:96" s="30" customFormat="1">
      <c r="A107">
        <v>106</v>
      </c>
      <c r="B107" s="30">
        <v>18</v>
      </c>
      <c r="C107" s="30">
        <v>1</v>
      </c>
      <c r="D107" s="30" t="s">
        <v>115</v>
      </c>
      <c r="E107" s="30" t="s">
        <v>116</v>
      </c>
      <c r="F107" s="30" t="s">
        <v>117</v>
      </c>
      <c r="G107" s="30">
        <v>2009</v>
      </c>
      <c r="H107" s="30" t="s">
        <v>443</v>
      </c>
      <c r="I107" s="30" t="s">
        <v>444</v>
      </c>
      <c r="J107" s="30">
        <v>-32.65</v>
      </c>
      <c r="K107" s="30">
        <v>152.86666700000001</v>
      </c>
      <c r="L107" s="30" t="s">
        <v>370</v>
      </c>
      <c r="M107" s="30" t="s">
        <v>394</v>
      </c>
      <c r="N107" s="30" t="s">
        <v>594</v>
      </c>
      <c r="O107" s="30" t="s">
        <v>288</v>
      </c>
      <c r="P107" s="30" t="s">
        <v>289</v>
      </c>
      <c r="Q107" s="30" t="s">
        <v>420</v>
      </c>
      <c r="R107" s="30" t="s">
        <v>658</v>
      </c>
      <c r="S107" s="30" t="s">
        <v>1884</v>
      </c>
      <c r="T107" s="30" t="s">
        <v>331</v>
      </c>
      <c r="U107" s="30">
        <v>3</v>
      </c>
      <c r="V107" s="30" t="s">
        <v>551</v>
      </c>
      <c r="W107" s="30">
        <v>2005</v>
      </c>
      <c r="X107" s="30" t="s">
        <v>292</v>
      </c>
      <c r="Y107" s="30" t="s">
        <v>659</v>
      </c>
      <c r="Z107" s="30" t="s">
        <v>1095</v>
      </c>
      <c r="AA107" s="30" t="s">
        <v>305</v>
      </c>
      <c r="AB107" s="30" t="s">
        <v>661</v>
      </c>
      <c r="AC107" s="30" t="s">
        <v>662</v>
      </c>
      <c r="AD107" s="30" t="s">
        <v>340</v>
      </c>
      <c r="AE107" s="30" t="s">
        <v>311</v>
      </c>
      <c r="AF107" s="30" t="s">
        <v>342</v>
      </c>
      <c r="AH107" s="30" t="s">
        <v>311</v>
      </c>
      <c r="AI107" s="30" t="s">
        <v>311</v>
      </c>
      <c r="AJ107" s="30" t="s">
        <v>311</v>
      </c>
      <c r="AK107" s="30" t="s">
        <v>663</v>
      </c>
      <c r="AL107" s="30" t="s">
        <v>357</v>
      </c>
      <c r="AM107" s="30" t="s">
        <v>1059</v>
      </c>
      <c r="AN107" s="30" t="s">
        <v>1280</v>
      </c>
      <c r="AO107" s="30" t="s">
        <v>541</v>
      </c>
      <c r="AP107" s="30" t="s">
        <v>614</v>
      </c>
      <c r="AQ107" s="30" t="s">
        <v>614</v>
      </c>
      <c r="AR107" s="30">
        <v>5.7425742574257388</v>
      </c>
      <c r="AS107" s="30">
        <v>0.55019580156236858</v>
      </c>
      <c r="AT107" s="30" t="s">
        <v>311</v>
      </c>
      <c r="AU107" s="30">
        <v>6</v>
      </c>
      <c r="AV107" s="30">
        <v>-0.27722772277226893</v>
      </c>
      <c r="AW107" s="30">
        <v>0.4768948348036528</v>
      </c>
      <c r="AX107" s="30" t="s">
        <v>311</v>
      </c>
      <c r="AY107" s="30">
        <v>6</v>
      </c>
      <c r="AZ107" s="30" t="s">
        <v>1678</v>
      </c>
      <c r="BA107" s="30" t="s">
        <v>1679</v>
      </c>
      <c r="BB107">
        <v>6</v>
      </c>
      <c r="BC107" s="30" t="s">
        <v>1673</v>
      </c>
      <c r="BD107" s="30" t="s">
        <v>311</v>
      </c>
      <c r="BE107" s="30" t="s">
        <v>1881</v>
      </c>
      <c r="BF107" s="30">
        <v>0.55931656995486723</v>
      </c>
      <c r="BG107" s="30" t="s">
        <v>311</v>
      </c>
      <c r="BH107" s="30">
        <v>0.54867827208252684</v>
      </c>
      <c r="BI107" s="30" t="s">
        <v>311</v>
      </c>
      <c r="BJ107" s="30">
        <v>0.48614388156372851</v>
      </c>
      <c r="BK107" s="30" t="s">
        <v>311</v>
      </c>
      <c r="BL107" s="30">
        <v>0.48614388156372851</v>
      </c>
      <c r="BM107" s="30" t="s">
        <v>311</v>
      </c>
      <c r="BN107" s="30">
        <v>30</v>
      </c>
      <c r="BO107" s="30">
        <v>30</v>
      </c>
      <c r="BP107" s="30" t="s">
        <v>311</v>
      </c>
      <c r="BQ107" s="30" t="s">
        <v>311</v>
      </c>
      <c r="BR107" s="30" t="s">
        <v>311</v>
      </c>
      <c r="BS107" s="30" t="s">
        <v>311</v>
      </c>
      <c r="BT107" s="30" t="s">
        <v>311</v>
      </c>
      <c r="BU107" s="30" t="s">
        <v>311</v>
      </c>
      <c r="BV107" s="30" t="s">
        <v>311</v>
      </c>
      <c r="BW107" s="30" t="s">
        <v>311</v>
      </c>
      <c r="BX107" s="30" t="s">
        <v>1126</v>
      </c>
      <c r="BY107" s="30" t="s">
        <v>1203</v>
      </c>
      <c r="BZ107" s="30">
        <v>1.0348221536462554</v>
      </c>
      <c r="CA107" s="30">
        <v>27.8</v>
      </c>
      <c r="CB107" s="30" t="s">
        <v>1209</v>
      </c>
      <c r="CC107" s="30" t="s">
        <v>1209</v>
      </c>
      <c r="CD107" s="30" t="s">
        <v>311</v>
      </c>
      <c r="CE107" s="30" t="s">
        <v>311</v>
      </c>
      <c r="CF107" s="30" t="s">
        <v>311</v>
      </c>
      <c r="CG107" s="30" t="s">
        <v>311</v>
      </c>
      <c r="CH107" s="30" t="s">
        <v>311</v>
      </c>
      <c r="CI107" s="30" t="s">
        <v>311</v>
      </c>
      <c r="CJ107" s="38">
        <v>0.03</v>
      </c>
      <c r="CK107" s="38">
        <v>0.03</v>
      </c>
      <c r="CL107" s="38" t="s">
        <v>311</v>
      </c>
      <c r="CM107" s="38" t="s">
        <v>311</v>
      </c>
      <c r="CN107" s="38" t="s">
        <v>311</v>
      </c>
      <c r="CO107" s="38" t="s">
        <v>311</v>
      </c>
      <c r="CP107" s="38">
        <v>0.03</v>
      </c>
      <c r="CQ107" s="30" t="s">
        <v>1801</v>
      </c>
      <c r="CR107" s="30" t="s">
        <v>1893</v>
      </c>
    </row>
    <row r="108" spans="1:96">
      <c r="A108">
        <v>107</v>
      </c>
      <c r="B108">
        <v>18</v>
      </c>
      <c r="C108">
        <v>2</v>
      </c>
      <c r="D108" t="s">
        <v>115</v>
      </c>
      <c r="E108" t="s">
        <v>116</v>
      </c>
      <c r="F108" t="s">
        <v>117</v>
      </c>
      <c r="G108">
        <v>2009</v>
      </c>
      <c r="H108" t="s">
        <v>443</v>
      </c>
      <c r="I108" t="s">
        <v>444</v>
      </c>
      <c r="J108">
        <v>-32.65</v>
      </c>
      <c r="K108">
        <v>152.86666700000001</v>
      </c>
      <c r="L108" t="s">
        <v>370</v>
      </c>
      <c r="M108" t="s">
        <v>394</v>
      </c>
      <c r="N108" t="s">
        <v>594</v>
      </c>
      <c r="O108" t="s">
        <v>288</v>
      </c>
      <c r="P108" t="s">
        <v>289</v>
      </c>
      <c r="Q108" t="s">
        <v>420</v>
      </c>
      <c r="R108" t="s">
        <v>658</v>
      </c>
      <c r="S108" t="s">
        <v>1884</v>
      </c>
      <c r="T108" t="s">
        <v>331</v>
      </c>
      <c r="U108">
        <v>3</v>
      </c>
      <c r="V108" t="s">
        <v>551</v>
      </c>
      <c r="W108">
        <v>2005</v>
      </c>
      <c r="X108" t="s">
        <v>292</v>
      </c>
      <c r="Y108" t="s">
        <v>659</v>
      </c>
      <c r="Z108" t="s">
        <v>1095</v>
      </c>
      <c r="AA108" t="s">
        <v>305</v>
      </c>
      <c r="AB108" t="s">
        <v>661</v>
      </c>
      <c r="AC108" t="s">
        <v>662</v>
      </c>
      <c r="AD108" t="s">
        <v>340</v>
      </c>
      <c r="AE108" t="s">
        <v>311</v>
      </c>
      <c r="AF108" t="s">
        <v>342</v>
      </c>
      <c r="AH108" t="s">
        <v>311</v>
      </c>
      <c r="AI108" t="s">
        <v>311</v>
      </c>
      <c r="AJ108" t="s">
        <v>311</v>
      </c>
      <c r="AK108" t="s">
        <v>663</v>
      </c>
      <c r="AL108" t="s">
        <v>357</v>
      </c>
      <c r="AM108" t="s">
        <v>1059</v>
      </c>
      <c r="AN108" t="s">
        <v>1280</v>
      </c>
      <c r="AO108" t="s">
        <v>541</v>
      </c>
      <c r="AP108" t="s">
        <v>887</v>
      </c>
      <c r="AQ108" t="s">
        <v>614</v>
      </c>
      <c r="AR108">
        <v>2.3333333333333299</v>
      </c>
      <c r="AS108">
        <v>0.20833333333332993</v>
      </c>
      <c r="AT108" t="s">
        <v>311</v>
      </c>
      <c r="AU108">
        <v>6</v>
      </c>
      <c r="AV108">
        <v>1.25</v>
      </c>
      <c r="AW108">
        <v>0.24999999999999001</v>
      </c>
      <c r="AX108" t="s">
        <v>311</v>
      </c>
      <c r="AY108">
        <v>6</v>
      </c>
      <c r="AZ108" t="s">
        <v>1678</v>
      </c>
      <c r="BA108" t="s">
        <v>1679</v>
      </c>
      <c r="BB108">
        <v>2</v>
      </c>
      <c r="BC108" t="s">
        <v>1672</v>
      </c>
      <c r="BD108" t="s">
        <v>1764</v>
      </c>
      <c r="BE108" t="s">
        <v>1881</v>
      </c>
      <c r="BF108">
        <v>0.55931656995486723</v>
      </c>
      <c r="BG108" t="s">
        <v>311</v>
      </c>
      <c r="BH108">
        <v>0.54867827208252684</v>
      </c>
      <c r="BI108" t="s">
        <v>311</v>
      </c>
      <c r="BJ108">
        <v>0.48614388156372851</v>
      </c>
      <c r="BK108" t="s">
        <v>311</v>
      </c>
      <c r="BL108">
        <v>0.48614388156372851</v>
      </c>
      <c r="BM108" t="s">
        <v>311</v>
      </c>
      <c r="BN108">
        <v>30</v>
      </c>
      <c r="BO108">
        <v>30</v>
      </c>
      <c r="BP108" t="s">
        <v>311</v>
      </c>
      <c r="BQ108" t="s">
        <v>311</v>
      </c>
      <c r="BR108" t="s">
        <v>311</v>
      </c>
      <c r="BS108" t="s">
        <v>311</v>
      </c>
      <c r="BT108" t="s">
        <v>311</v>
      </c>
      <c r="BU108" t="s">
        <v>311</v>
      </c>
      <c r="BV108" t="s">
        <v>311</v>
      </c>
      <c r="BW108" t="s">
        <v>311</v>
      </c>
      <c r="BX108" t="s">
        <v>1126</v>
      </c>
      <c r="BY108" t="s">
        <v>1203</v>
      </c>
      <c r="BZ108">
        <v>1.0348221536462554</v>
      </c>
      <c r="CA108">
        <v>27.8</v>
      </c>
      <c r="CB108" t="s">
        <v>1209</v>
      </c>
      <c r="CC108" t="s">
        <v>1209</v>
      </c>
      <c r="CD108" t="s">
        <v>311</v>
      </c>
      <c r="CE108" t="s">
        <v>311</v>
      </c>
      <c r="CF108" t="s">
        <v>311</v>
      </c>
      <c r="CG108" t="s">
        <v>311</v>
      </c>
      <c r="CH108" t="s">
        <v>311</v>
      </c>
      <c r="CI108" t="s">
        <v>311</v>
      </c>
      <c r="CJ108" s="38">
        <v>0.03</v>
      </c>
      <c r="CK108" s="38">
        <v>0.03</v>
      </c>
      <c r="CL108" s="38" t="s">
        <v>311</v>
      </c>
      <c r="CM108" s="38" t="s">
        <v>311</v>
      </c>
      <c r="CN108" s="38" t="s">
        <v>311</v>
      </c>
      <c r="CO108" s="38" t="s">
        <v>311</v>
      </c>
      <c r="CP108" s="38">
        <v>0.03</v>
      </c>
      <c r="CQ108" t="s">
        <v>1704</v>
      </c>
      <c r="CR108" t="s">
        <v>1649</v>
      </c>
    </row>
    <row r="109" spans="1:96">
      <c r="A109">
        <v>108</v>
      </c>
      <c r="B109">
        <v>18</v>
      </c>
      <c r="C109">
        <v>3</v>
      </c>
      <c r="D109" t="s">
        <v>115</v>
      </c>
      <c r="E109" t="s">
        <v>116</v>
      </c>
      <c r="F109" t="s">
        <v>117</v>
      </c>
      <c r="G109">
        <v>2009</v>
      </c>
      <c r="H109" t="s">
        <v>443</v>
      </c>
      <c r="I109" t="s">
        <v>444</v>
      </c>
      <c r="J109">
        <v>-32.65</v>
      </c>
      <c r="K109">
        <v>152.86666700000001</v>
      </c>
      <c r="L109" t="s">
        <v>370</v>
      </c>
      <c r="M109" t="s">
        <v>394</v>
      </c>
      <c r="N109" t="s">
        <v>594</v>
      </c>
      <c r="O109" t="s">
        <v>288</v>
      </c>
      <c r="P109" t="s">
        <v>289</v>
      </c>
      <c r="Q109" t="s">
        <v>420</v>
      </c>
      <c r="R109" t="s">
        <v>658</v>
      </c>
      <c r="S109" t="s">
        <v>1884</v>
      </c>
      <c r="T109" t="s">
        <v>331</v>
      </c>
      <c r="U109">
        <v>3</v>
      </c>
      <c r="V109" t="s">
        <v>551</v>
      </c>
      <c r="W109">
        <v>2005</v>
      </c>
      <c r="X109" t="s">
        <v>292</v>
      </c>
      <c r="Y109" t="s">
        <v>659</v>
      </c>
      <c r="Z109" t="s">
        <v>1095</v>
      </c>
      <c r="AA109" t="s">
        <v>305</v>
      </c>
      <c r="AB109" t="s">
        <v>661</v>
      </c>
      <c r="AC109" t="s">
        <v>662</v>
      </c>
      <c r="AD109" t="s">
        <v>340</v>
      </c>
      <c r="AE109" t="s">
        <v>311</v>
      </c>
      <c r="AF109" t="s">
        <v>342</v>
      </c>
      <c r="AH109" t="s">
        <v>311</v>
      </c>
      <c r="AI109" t="s">
        <v>311</v>
      </c>
      <c r="AJ109" t="s">
        <v>311</v>
      </c>
      <c r="AK109" t="s">
        <v>663</v>
      </c>
      <c r="AL109" t="s">
        <v>357</v>
      </c>
      <c r="AM109" t="s">
        <v>1059</v>
      </c>
      <c r="AN109" t="s">
        <v>1280</v>
      </c>
      <c r="AO109" t="s">
        <v>541</v>
      </c>
      <c r="AP109" t="s">
        <v>887</v>
      </c>
      <c r="AQ109" t="s">
        <v>614</v>
      </c>
      <c r="AR109">
        <v>2.1666666666666599</v>
      </c>
      <c r="AS109">
        <v>0.20833333333332993</v>
      </c>
      <c r="AT109" t="s">
        <v>311</v>
      </c>
      <c r="AU109">
        <v>6</v>
      </c>
      <c r="AV109">
        <v>1.0833333333333299</v>
      </c>
      <c r="AW109">
        <v>0.20833333333333015</v>
      </c>
      <c r="AX109" t="s">
        <v>311</v>
      </c>
      <c r="AY109">
        <v>6</v>
      </c>
      <c r="AZ109" t="s">
        <v>1678</v>
      </c>
      <c r="BA109" t="s">
        <v>1679</v>
      </c>
      <c r="BB109">
        <v>3</v>
      </c>
      <c r="BC109" t="s">
        <v>1672</v>
      </c>
      <c r="BD109" t="s">
        <v>1764</v>
      </c>
      <c r="BE109" t="s">
        <v>1881</v>
      </c>
      <c r="BF109">
        <v>0.55931656995486723</v>
      </c>
      <c r="BG109" t="s">
        <v>311</v>
      </c>
      <c r="BH109">
        <v>0.54867827208252684</v>
      </c>
      <c r="BI109" t="s">
        <v>311</v>
      </c>
      <c r="BJ109">
        <v>0.48614388156372851</v>
      </c>
      <c r="BK109" t="s">
        <v>311</v>
      </c>
      <c r="BL109">
        <v>0.48614388156372851</v>
      </c>
      <c r="BM109" t="s">
        <v>311</v>
      </c>
      <c r="BN109">
        <v>30</v>
      </c>
      <c r="BO109">
        <v>30</v>
      </c>
      <c r="BP109" t="s">
        <v>311</v>
      </c>
      <c r="BQ109" t="s">
        <v>311</v>
      </c>
      <c r="BR109" t="s">
        <v>311</v>
      </c>
      <c r="BS109" t="s">
        <v>311</v>
      </c>
      <c r="BT109" t="s">
        <v>311</v>
      </c>
      <c r="BU109" t="s">
        <v>311</v>
      </c>
      <c r="BV109" t="s">
        <v>311</v>
      </c>
      <c r="BW109" t="s">
        <v>311</v>
      </c>
      <c r="BX109" t="s">
        <v>1126</v>
      </c>
      <c r="BY109" t="s">
        <v>1203</v>
      </c>
      <c r="BZ109">
        <v>1.0348221536462554</v>
      </c>
      <c r="CA109">
        <v>27.8</v>
      </c>
      <c r="CB109" t="s">
        <v>1209</v>
      </c>
      <c r="CC109" t="s">
        <v>1209</v>
      </c>
      <c r="CD109" t="s">
        <v>311</v>
      </c>
      <c r="CE109" t="s">
        <v>311</v>
      </c>
      <c r="CF109" t="s">
        <v>311</v>
      </c>
      <c r="CG109" t="s">
        <v>311</v>
      </c>
      <c r="CH109" t="s">
        <v>311</v>
      </c>
      <c r="CI109" t="s">
        <v>311</v>
      </c>
      <c r="CJ109" s="38">
        <v>0.03</v>
      </c>
      <c r="CK109" s="38">
        <v>0.03</v>
      </c>
      <c r="CL109" s="38" t="s">
        <v>311</v>
      </c>
      <c r="CM109" s="38" t="s">
        <v>311</v>
      </c>
      <c r="CN109" s="38" t="s">
        <v>311</v>
      </c>
      <c r="CO109" s="38" t="s">
        <v>311</v>
      </c>
      <c r="CP109" s="38">
        <v>0.03</v>
      </c>
      <c r="CQ109" t="s">
        <v>1705</v>
      </c>
      <c r="CR109" t="s">
        <v>1650</v>
      </c>
    </row>
    <row r="110" spans="1:96">
      <c r="A110">
        <v>109</v>
      </c>
      <c r="B110">
        <v>18</v>
      </c>
      <c r="C110">
        <v>4</v>
      </c>
      <c r="D110" t="s">
        <v>115</v>
      </c>
      <c r="E110" t="s">
        <v>116</v>
      </c>
      <c r="F110" t="s">
        <v>117</v>
      </c>
      <c r="G110">
        <v>2009</v>
      </c>
      <c r="H110" t="s">
        <v>443</v>
      </c>
      <c r="I110" t="s">
        <v>444</v>
      </c>
      <c r="J110">
        <v>-32.65</v>
      </c>
      <c r="K110">
        <v>152.86666700000001</v>
      </c>
      <c r="L110" t="s">
        <v>370</v>
      </c>
      <c r="M110" t="s">
        <v>394</v>
      </c>
      <c r="N110" t="s">
        <v>594</v>
      </c>
      <c r="O110" t="s">
        <v>288</v>
      </c>
      <c r="P110" t="s">
        <v>289</v>
      </c>
      <c r="Q110" t="s">
        <v>420</v>
      </c>
      <c r="R110" t="s">
        <v>658</v>
      </c>
      <c r="S110" t="s">
        <v>1884</v>
      </c>
      <c r="T110" t="s">
        <v>331</v>
      </c>
      <c r="U110">
        <v>3</v>
      </c>
      <c r="V110" t="s">
        <v>551</v>
      </c>
      <c r="W110">
        <v>2005</v>
      </c>
      <c r="X110" t="s">
        <v>292</v>
      </c>
      <c r="Y110" t="s">
        <v>659</v>
      </c>
      <c r="Z110" t="s">
        <v>1095</v>
      </c>
      <c r="AA110" t="s">
        <v>305</v>
      </c>
      <c r="AB110" t="s">
        <v>661</v>
      </c>
      <c r="AC110" t="s">
        <v>662</v>
      </c>
      <c r="AD110" t="s">
        <v>340</v>
      </c>
      <c r="AE110" t="s">
        <v>311</v>
      </c>
      <c r="AF110" t="s">
        <v>342</v>
      </c>
      <c r="AH110" t="s">
        <v>311</v>
      </c>
      <c r="AI110" t="s">
        <v>311</v>
      </c>
      <c r="AJ110" t="s">
        <v>311</v>
      </c>
      <c r="AK110" t="s">
        <v>663</v>
      </c>
      <c r="AL110" t="s">
        <v>357</v>
      </c>
      <c r="AM110" t="s">
        <v>1059</v>
      </c>
      <c r="AN110" t="s">
        <v>1280</v>
      </c>
      <c r="AO110" t="s">
        <v>541</v>
      </c>
      <c r="AP110" t="s">
        <v>887</v>
      </c>
      <c r="AQ110" t="s">
        <v>614</v>
      </c>
      <c r="AR110">
        <v>5.5</v>
      </c>
      <c r="AS110">
        <v>0.875</v>
      </c>
      <c r="AT110" t="s">
        <v>311</v>
      </c>
      <c r="AU110">
        <v>6</v>
      </c>
      <c r="AV110">
        <v>3.1666666666666599</v>
      </c>
      <c r="AW110">
        <v>0.16666666666667007</v>
      </c>
      <c r="AX110" t="s">
        <v>311</v>
      </c>
      <c r="AY110">
        <v>6</v>
      </c>
      <c r="AZ110" t="s">
        <v>1678</v>
      </c>
      <c r="BA110" t="s">
        <v>1679</v>
      </c>
      <c r="BB110">
        <v>4</v>
      </c>
      <c r="BC110" t="s">
        <v>1672</v>
      </c>
      <c r="BD110" t="s">
        <v>1764</v>
      </c>
      <c r="BE110" t="s">
        <v>1881</v>
      </c>
      <c r="BF110">
        <v>0.55931656995486723</v>
      </c>
      <c r="BG110" t="s">
        <v>311</v>
      </c>
      <c r="BH110">
        <v>0.54867827208252684</v>
      </c>
      <c r="BI110" t="s">
        <v>311</v>
      </c>
      <c r="BJ110">
        <v>0.48614388156372851</v>
      </c>
      <c r="BK110" t="s">
        <v>311</v>
      </c>
      <c r="BL110">
        <v>0.48614388156372851</v>
      </c>
      <c r="BM110" t="s">
        <v>311</v>
      </c>
      <c r="BN110">
        <v>30</v>
      </c>
      <c r="BO110">
        <v>30</v>
      </c>
      <c r="BP110" t="s">
        <v>311</v>
      </c>
      <c r="BQ110" t="s">
        <v>311</v>
      </c>
      <c r="BR110" t="s">
        <v>311</v>
      </c>
      <c r="BS110" t="s">
        <v>311</v>
      </c>
      <c r="BT110" t="s">
        <v>311</v>
      </c>
      <c r="BU110" t="s">
        <v>311</v>
      </c>
      <c r="BV110" t="s">
        <v>311</v>
      </c>
      <c r="BW110" t="s">
        <v>311</v>
      </c>
      <c r="BX110" t="s">
        <v>1126</v>
      </c>
      <c r="BY110" t="s">
        <v>1203</v>
      </c>
      <c r="BZ110">
        <v>1.0348221536462554</v>
      </c>
      <c r="CA110">
        <v>27.8</v>
      </c>
      <c r="CB110" t="s">
        <v>1209</v>
      </c>
      <c r="CC110" t="s">
        <v>1209</v>
      </c>
      <c r="CD110" t="s">
        <v>311</v>
      </c>
      <c r="CE110" t="s">
        <v>311</v>
      </c>
      <c r="CF110" t="s">
        <v>311</v>
      </c>
      <c r="CG110" t="s">
        <v>311</v>
      </c>
      <c r="CH110" t="s">
        <v>311</v>
      </c>
      <c r="CI110" t="s">
        <v>311</v>
      </c>
      <c r="CJ110" s="38">
        <v>0.03</v>
      </c>
      <c r="CK110" s="38">
        <v>0.03</v>
      </c>
      <c r="CL110" s="38" t="s">
        <v>311</v>
      </c>
      <c r="CM110" s="38" t="s">
        <v>311</v>
      </c>
      <c r="CN110" s="38" t="s">
        <v>311</v>
      </c>
      <c r="CO110" s="38" t="s">
        <v>311</v>
      </c>
      <c r="CP110" s="38">
        <v>0.03</v>
      </c>
      <c r="CQ110" t="s">
        <v>1706</v>
      </c>
      <c r="CR110" t="s">
        <v>1651</v>
      </c>
    </row>
    <row r="111" spans="1:96">
      <c r="A111">
        <v>110</v>
      </c>
      <c r="B111">
        <v>18</v>
      </c>
      <c r="C111">
        <v>5</v>
      </c>
      <c r="D111" t="s">
        <v>115</v>
      </c>
      <c r="E111" t="s">
        <v>116</v>
      </c>
      <c r="F111" t="s">
        <v>117</v>
      </c>
      <c r="G111">
        <v>2009</v>
      </c>
      <c r="H111" t="s">
        <v>443</v>
      </c>
      <c r="I111" t="s">
        <v>444</v>
      </c>
      <c r="J111">
        <v>-32.65</v>
      </c>
      <c r="K111">
        <v>152.86666700000001</v>
      </c>
      <c r="L111" t="s">
        <v>370</v>
      </c>
      <c r="M111" t="s">
        <v>394</v>
      </c>
      <c r="N111" t="s">
        <v>594</v>
      </c>
      <c r="O111" t="s">
        <v>288</v>
      </c>
      <c r="P111" t="s">
        <v>289</v>
      </c>
      <c r="Q111" t="s">
        <v>420</v>
      </c>
      <c r="R111" t="s">
        <v>658</v>
      </c>
      <c r="S111" t="s">
        <v>1884</v>
      </c>
      <c r="T111" t="s">
        <v>331</v>
      </c>
      <c r="U111">
        <v>3</v>
      </c>
      <c r="V111" t="s">
        <v>551</v>
      </c>
      <c r="W111">
        <v>2005</v>
      </c>
      <c r="X111" t="s">
        <v>292</v>
      </c>
      <c r="Y111" t="s">
        <v>659</v>
      </c>
      <c r="Z111" t="s">
        <v>1095</v>
      </c>
      <c r="AA111" t="s">
        <v>305</v>
      </c>
      <c r="AB111" t="s">
        <v>661</v>
      </c>
      <c r="AC111" t="s">
        <v>662</v>
      </c>
      <c r="AD111" t="s">
        <v>340</v>
      </c>
      <c r="AE111" t="s">
        <v>311</v>
      </c>
      <c r="AF111" t="s">
        <v>342</v>
      </c>
      <c r="AH111" t="s">
        <v>311</v>
      </c>
      <c r="AI111" t="s">
        <v>311</v>
      </c>
      <c r="AJ111" t="s">
        <v>311</v>
      </c>
      <c r="AK111" t="s">
        <v>663</v>
      </c>
      <c r="AL111" t="s">
        <v>357</v>
      </c>
      <c r="AM111" t="s">
        <v>1059</v>
      </c>
      <c r="AN111" t="s">
        <v>1280</v>
      </c>
      <c r="AO111" t="s">
        <v>541</v>
      </c>
      <c r="AP111" t="s">
        <v>887</v>
      </c>
      <c r="AQ111" t="s">
        <v>614</v>
      </c>
      <c r="AR111">
        <v>8.5416666666666607</v>
      </c>
      <c r="AS111">
        <v>0.875</v>
      </c>
      <c r="AT111" t="s">
        <v>311</v>
      </c>
      <c r="AU111">
        <v>6</v>
      </c>
      <c r="AV111">
        <v>3.7916666666666599</v>
      </c>
      <c r="AW111">
        <v>0.16666666666667007</v>
      </c>
      <c r="AX111" t="s">
        <v>311</v>
      </c>
      <c r="AY111">
        <v>6</v>
      </c>
      <c r="AZ111" t="s">
        <v>1678</v>
      </c>
      <c r="BA111" t="s">
        <v>1679</v>
      </c>
      <c r="BB111">
        <v>5</v>
      </c>
      <c r="BC111" t="s">
        <v>1672</v>
      </c>
      <c r="BD111" t="s">
        <v>1764</v>
      </c>
      <c r="BE111" t="s">
        <v>1881</v>
      </c>
      <c r="BF111">
        <v>0.55931656995486723</v>
      </c>
      <c r="BG111" t="s">
        <v>311</v>
      </c>
      <c r="BH111">
        <v>0.54867827208252684</v>
      </c>
      <c r="BI111" t="s">
        <v>311</v>
      </c>
      <c r="BJ111">
        <v>0.48614388156372851</v>
      </c>
      <c r="BK111" t="s">
        <v>311</v>
      </c>
      <c r="BL111">
        <v>0.48614388156372851</v>
      </c>
      <c r="BM111" t="s">
        <v>311</v>
      </c>
      <c r="BN111">
        <v>30</v>
      </c>
      <c r="BO111">
        <v>30</v>
      </c>
      <c r="BP111" t="s">
        <v>311</v>
      </c>
      <c r="BQ111" t="s">
        <v>311</v>
      </c>
      <c r="BR111" t="s">
        <v>311</v>
      </c>
      <c r="BS111" t="s">
        <v>311</v>
      </c>
      <c r="BT111" t="s">
        <v>311</v>
      </c>
      <c r="BU111" t="s">
        <v>311</v>
      </c>
      <c r="BV111" t="s">
        <v>311</v>
      </c>
      <c r="BW111" t="s">
        <v>311</v>
      </c>
      <c r="BX111" t="s">
        <v>1126</v>
      </c>
      <c r="BY111" t="s">
        <v>1203</v>
      </c>
      <c r="BZ111">
        <v>1.0348221536462554</v>
      </c>
      <c r="CA111">
        <v>27.8</v>
      </c>
      <c r="CB111" t="s">
        <v>1209</v>
      </c>
      <c r="CC111" t="s">
        <v>1209</v>
      </c>
      <c r="CD111" t="s">
        <v>311</v>
      </c>
      <c r="CE111" t="s">
        <v>311</v>
      </c>
      <c r="CF111" t="s">
        <v>311</v>
      </c>
      <c r="CG111" t="s">
        <v>311</v>
      </c>
      <c r="CH111" t="s">
        <v>311</v>
      </c>
      <c r="CI111" t="s">
        <v>311</v>
      </c>
      <c r="CJ111" s="38">
        <v>0.03</v>
      </c>
      <c r="CK111" s="38">
        <v>0.03</v>
      </c>
      <c r="CL111" s="38" t="s">
        <v>311</v>
      </c>
      <c r="CM111" s="38" t="s">
        <v>311</v>
      </c>
      <c r="CN111" s="38" t="s">
        <v>311</v>
      </c>
      <c r="CO111" s="38" t="s">
        <v>311</v>
      </c>
      <c r="CP111" s="38">
        <v>0.03</v>
      </c>
      <c r="CQ111" t="s">
        <v>1707</v>
      </c>
      <c r="CR111" t="s">
        <v>1652</v>
      </c>
    </row>
    <row r="112" spans="1:96">
      <c r="A112">
        <v>111</v>
      </c>
      <c r="B112">
        <v>18</v>
      </c>
      <c r="C112">
        <v>6</v>
      </c>
      <c r="D112" t="s">
        <v>115</v>
      </c>
      <c r="E112" t="s">
        <v>116</v>
      </c>
      <c r="F112" t="s">
        <v>117</v>
      </c>
      <c r="G112">
        <v>2009</v>
      </c>
      <c r="H112" t="s">
        <v>443</v>
      </c>
      <c r="I112" t="s">
        <v>444</v>
      </c>
      <c r="J112">
        <v>-32.65</v>
      </c>
      <c r="K112">
        <v>152.86666700000001</v>
      </c>
      <c r="L112" t="s">
        <v>370</v>
      </c>
      <c r="M112" t="s">
        <v>394</v>
      </c>
      <c r="N112" t="s">
        <v>594</v>
      </c>
      <c r="O112" t="s">
        <v>288</v>
      </c>
      <c r="P112" t="s">
        <v>289</v>
      </c>
      <c r="Q112" t="s">
        <v>420</v>
      </c>
      <c r="R112" t="s">
        <v>658</v>
      </c>
      <c r="S112" t="s">
        <v>1884</v>
      </c>
      <c r="T112" t="s">
        <v>331</v>
      </c>
      <c r="U112">
        <v>3</v>
      </c>
      <c r="V112" t="s">
        <v>551</v>
      </c>
      <c r="W112">
        <v>2005</v>
      </c>
      <c r="X112" t="s">
        <v>292</v>
      </c>
      <c r="Y112" t="s">
        <v>659</v>
      </c>
      <c r="Z112" t="s">
        <v>1095</v>
      </c>
      <c r="AA112" t="s">
        <v>305</v>
      </c>
      <c r="AB112" t="s">
        <v>661</v>
      </c>
      <c r="AC112" t="s">
        <v>662</v>
      </c>
      <c r="AD112" t="s">
        <v>340</v>
      </c>
      <c r="AE112" t="s">
        <v>311</v>
      </c>
      <c r="AF112" t="s">
        <v>342</v>
      </c>
      <c r="AH112" t="s">
        <v>311</v>
      </c>
      <c r="AI112" t="s">
        <v>311</v>
      </c>
      <c r="AJ112" t="s">
        <v>311</v>
      </c>
      <c r="AK112" t="s">
        <v>663</v>
      </c>
      <c r="AL112" t="s">
        <v>357</v>
      </c>
      <c r="AM112" t="s">
        <v>1059</v>
      </c>
      <c r="AN112" t="s">
        <v>1280</v>
      </c>
      <c r="AO112" t="s">
        <v>541</v>
      </c>
      <c r="AP112" t="s">
        <v>887</v>
      </c>
      <c r="AQ112" t="s">
        <v>614</v>
      </c>
      <c r="AR112">
        <v>6.625</v>
      </c>
      <c r="AS112">
        <v>0.54166666666665986</v>
      </c>
      <c r="AT112" t="s">
        <v>311</v>
      </c>
      <c r="AU112">
        <v>6</v>
      </c>
      <c r="AV112">
        <v>0.95833333333333204</v>
      </c>
      <c r="AW112">
        <v>0.33333333333332804</v>
      </c>
      <c r="AX112" t="s">
        <v>311</v>
      </c>
      <c r="AY112">
        <v>6</v>
      </c>
      <c r="AZ112" t="s">
        <v>1678</v>
      </c>
      <c r="BA112" t="s">
        <v>1679</v>
      </c>
      <c r="BB112">
        <v>6</v>
      </c>
      <c r="BC112" t="s">
        <v>1672</v>
      </c>
      <c r="BD112" t="s">
        <v>1763</v>
      </c>
      <c r="BE112" t="s">
        <v>1881</v>
      </c>
      <c r="BF112">
        <v>0.55931656995486723</v>
      </c>
      <c r="BG112" t="s">
        <v>311</v>
      </c>
      <c r="BH112">
        <v>0.54867827208252684</v>
      </c>
      <c r="BI112" t="s">
        <v>311</v>
      </c>
      <c r="BJ112">
        <v>0.48614388156372851</v>
      </c>
      <c r="BK112" t="s">
        <v>311</v>
      </c>
      <c r="BL112">
        <v>0.48614388156372851</v>
      </c>
      <c r="BM112" t="s">
        <v>311</v>
      </c>
      <c r="BN112">
        <v>30</v>
      </c>
      <c r="BO112">
        <v>30</v>
      </c>
      <c r="BP112" t="s">
        <v>311</v>
      </c>
      <c r="BQ112" t="s">
        <v>311</v>
      </c>
      <c r="BR112" t="s">
        <v>311</v>
      </c>
      <c r="BS112" t="s">
        <v>311</v>
      </c>
      <c r="BT112" t="s">
        <v>311</v>
      </c>
      <c r="BU112" t="s">
        <v>311</v>
      </c>
      <c r="BV112" t="s">
        <v>311</v>
      </c>
      <c r="BW112" t="s">
        <v>311</v>
      </c>
      <c r="BX112" t="s">
        <v>1126</v>
      </c>
      <c r="BY112" t="s">
        <v>1203</v>
      </c>
      <c r="BZ112">
        <v>1.0348221536462554</v>
      </c>
      <c r="CA112">
        <v>27.8</v>
      </c>
      <c r="CB112" t="s">
        <v>1209</v>
      </c>
      <c r="CC112" t="s">
        <v>1209</v>
      </c>
      <c r="CD112" t="s">
        <v>311</v>
      </c>
      <c r="CE112" t="s">
        <v>311</v>
      </c>
      <c r="CF112" t="s">
        <v>311</v>
      </c>
      <c r="CG112" t="s">
        <v>311</v>
      </c>
      <c r="CH112" t="s">
        <v>311</v>
      </c>
      <c r="CI112" t="s">
        <v>311</v>
      </c>
      <c r="CJ112" s="38">
        <v>0.03</v>
      </c>
      <c r="CK112" s="38">
        <v>0.03</v>
      </c>
      <c r="CL112" s="38" t="s">
        <v>311</v>
      </c>
      <c r="CM112" s="38" t="s">
        <v>311</v>
      </c>
      <c r="CN112" s="38" t="s">
        <v>311</v>
      </c>
      <c r="CO112" s="38" t="s">
        <v>311</v>
      </c>
      <c r="CP112" s="38">
        <v>0.03</v>
      </c>
      <c r="CQ112" t="s">
        <v>1708</v>
      </c>
      <c r="CR112" t="s">
        <v>1653</v>
      </c>
    </row>
    <row r="113" spans="1:96">
      <c r="A113">
        <v>112</v>
      </c>
      <c r="B113">
        <v>18</v>
      </c>
      <c r="C113">
        <v>7</v>
      </c>
      <c r="D113" t="s">
        <v>115</v>
      </c>
      <c r="E113" t="s">
        <v>116</v>
      </c>
      <c r="F113" t="s">
        <v>117</v>
      </c>
      <c r="G113">
        <v>2009</v>
      </c>
      <c r="H113" t="s">
        <v>443</v>
      </c>
      <c r="I113" t="s">
        <v>444</v>
      </c>
      <c r="J113">
        <v>-32.65</v>
      </c>
      <c r="K113">
        <v>152.86666700000001</v>
      </c>
      <c r="L113" t="s">
        <v>370</v>
      </c>
      <c r="M113" t="s">
        <v>394</v>
      </c>
      <c r="N113" t="s">
        <v>594</v>
      </c>
      <c r="O113" t="s">
        <v>288</v>
      </c>
      <c r="P113" t="s">
        <v>289</v>
      </c>
      <c r="Q113" t="s">
        <v>420</v>
      </c>
      <c r="R113" t="s">
        <v>658</v>
      </c>
      <c r="S113" t="s">
        <v>1884</v>
      </c>
      <c r="T113" t="s">
        <v>331</v>
      </c>
      <c r="U113">
        <v>3</v>
      </c>
      <c r="V113" t="s">
        <v>551</v>
      </c>
      <c r="W113">
        <v>2005</v>
      </c>
      <c r="X113" t="s">
        <v>292</v>
      </c>
      <c r="Y113" t="s">
        <v>659</v>
      </c>
      <c r="Z113" t="s">
        <v>1095</v>
      </c>
      <c r="AA113" t="s">
        <v>305</v>
      </c>
      <c r="AB113" t="s">
        <v>661</v>
      </c>
      <c r="AC113" t="s">
        <v>662</v>
      </c>
      <c r="AD113" t="s">
        <v>340</v>
      </c>
      <c r="AE113" t="s">
        <v>311</v>
      </c>
      <c r="AF113" t="s">
        <v>342</v>
      </c>
      <c r="AH113" t="s">
        <v>311</v>
      </c>
      <c r="AI113" t="s">
        <v>311</v>
      </c>
      <c r="AJ113" t="s">
        <v>311</v>
      </c>
      <c r="AK113" t="s">
        <v>718</v>
      </c>
      <c r="AL113" t="s">
        <v>357</v>
      </c>
      <c r="AM113" t="s">
        <v>1059</v>
      </c>
      <c r="AN113" t="s">
        <v>584</v>
      </c>
      <c r="AO113" t="s">
        <v>1284</v>
      </c>
      <c r="AP113" t="s">
        <v>887</v>
      </c>
      <c r="AQ113" t="s">
        <v>887</v>
      </c>
      <c r="AR113">
        <v>39.8507462686567</v>
      </c>
      <c r="AS113">
        <v>5.0746268656715969</v>
      </c>
      <c r="AT113" t="s">
        <v>311</v>
      </c>
      <c r="AU113">
        <v>3</v>
      </c>
      <c r="AV113">
        <v>32.686567164179102</v>
      </c>
      <c r="AW113">
        <v>1.7910447761193993</v>
      </c>
      <c r="AX113" t="s">
        <v>311</v>
      </c>
      <c r="AY113">
        <v>3</v>
      </c>
      <c r="AZ113" t="s">
        <v>1678</v>
      </c>
      <c r="BA113" t="s">
        <v>1680</v>
      </c>
      <c r="BB113">
        <v>2</v>
      </c>
      <c r="BC113" t="s">
        <v>1672</v>
      </c>
      <c r="BD113" t="s">
        <v>1764</v>
      </c>
      <c r="BE113" t="s">
        <v>1881</v>
      </c>
      <c r="BF113">
        <v>0.55931656995486723</v>
      </c>
      <c r="BG113" t="s">
        <v>311</v>
      </c>
      <c r="BH113">
        <v>0.54867827208252684</v>
      </c>
      <c r="BI113" t="s">
        <v>311</v>
      </c>
      <c r="BJ113">
        <v>0.48614388156372851</v>
      </c>
      <c r="BK113" t="s">
        <v>311</v>
      </c>
      <c r="BL113">
        <v>0.48614388156372851</v>
      </c>
      <c r="BM113" t="s">
        <v>311</v>
      </c>
      <c r="BN113">
        <v>30</v>
      </c>
      <c r="BO113">
        <v>30</v>
      </c>
      <c r="BP113" t="s">
        <v>311</v>
      </c>
      <c r="BQ113" t="s">
        <v>311</v>
      </c>
      <c r="BR113" t="s">
        <v>311</v>
      </c>
      <c r="BS113" t="s">
        <v>311</v>
      </c>
      <c r="BT113" t="s">
        <v>311</v>
      </c>
      <c r="BU113" t="s">
        <v>311</v>
      </c>
      <c r="BV113" t="s">
        <v>311</v>
      </c>
      <c r="BW113" t="s">
        <v>311</v>
      </c>
      <c r="BX113" t="s">
        <v>1126</v>
      </c>
      <c r="BY113" t="s">
        <v>1203</v>
      </c>
      <c r="BZ113">
        <v>1.0348221536462554</v>
      </c>
      <c r="CA113">
        <v>27.8</v>
      </c>
      <c r="CB113" t="s">
        <v>1209</v>
      </c>
      <c r="CC113" t="s">
        <v>1209</v>
      </c>
      <c r="CD113" t="s">
        <v>311</v>
      </c>
      <c r="CE113" t="s">
        <v>311</v>
      </c>
      <c r="CF113" t="s">
        <v>311</v>
      </c>
      <c r="CG113" t="s">
        <v>311</v>
      </c>
      <c r="CH113" t="s">
        <v>311</v>
      </c>
      <c r="CI113" t="s">
        <v>311</v>
      </c>
      <c r="CJ113" s="38">
        <v>0.03</v>
      </c>
      <c r="CK113" s="38">
        <v>0.03</v>
      </c>
      <c r="CL113" s="38" t="s">
        <v>311</v>
      </c>
      <c r="CM113" s="38" t="s">
        <v>311</v>
      </c>
      <c r="CN113" s="38" t="s">
        <v>311</v>
      </c>
      <c r="CO113" s="38" t="s">
        <v>311</v>
      </c>
      <c r="CP113" s="38">
        <v>0.03</v>
      </c>
      <c r="CQ113" t="s">
        <v>1709</v>
      </c>
      <c r="CR113" t="s">
        <v>1128</v>
      </c>
    </row>
    <row r="114" spans="1:96">
      <c r="A114">
        <v>113</v>
      </c>
      <c r="B114">
        <v>18</v>
      </c>
      <c r="C114">
        <v>8</v>
      </c>
      <c r="D114" t="s">
        <v>115</v>
      </c>
      <c r="E114" t="s">
        <v>116</v>
      </c>
      <c r="F114" t="s">
        <v>117</v>
      </c>
      <c r="G114">
        <v>2009</v>
      </c>
      <c r="H114" t="s">
        <v>443</v>
      </c>
      <c r="I114" t="s">
        <v>444</v>
      </c>
      <c r="J114">
        <v>-32.65</v>
      </c>
      <c r="K114">
        <v>152.86666700000001</v>
      </c>
      <c r="L114" t="s">
        <v>370</v>
      </c>
      <c r="M114" t="s">
        <v>394</v>
      </c>
      <c r="N114" t="s">
        <v>594</v>
      </c>
      <c r="O114" t="s">
        <v>288</v>
      </c>
      <c r="P114" t="s">
        <v>289</v>
      </c>
      <c r="Q114" t="s">
        <v>420</v>
      </c>
      <c r="R114" t="s">
        <v>658</v>
      </c>
      <c r="S114" t="s">
        <v>1884</v>
      </c>
      <c r="T114" t="s">
        <v>331</v>
      </c>
      <c r="U114">
        <v>3</v>
      </c>
      <c r="V114" t="s">
        <v>551</v>
      </c>
      <c r="W114">
        <v>2005</v>
      </c>
      <c r="X114" t="s">
        <v>292</v>
      </c>
      <c r="Y114" t="s">
        <v>659</v>
      </c>
      <c r="Z114" t="s">
        <v>1095</v>
      </c>
      <c r="AA114" t="s">
        <v>305</v>
      </c>
      <c r="AB114" t="s">
        <v>661</v>
      </c>
      <c r="AC114" t="s">
        <v>662</v>
      </c>
      <c r="AD114" t="s">
        <v>340</v>
      </c>
      <c r="AE114" t="s">
        <v>311</v>
      </c>
      <c r="AF114" t="s">
        <v>342</v>
      </c>
      <c r="AH114" t="s">
        <v>311</v>
      </c>
      <c r="AI114" t="s">
        <v>311</v>
      </c>
      <c r="AJ114" t="s">
        <v>311</v>
      </c>
      <c r="AK114" t="s">
        <v>718</v>
      </c>
      <c r="AL114" t="s">
        <v>357</v>
      </c>
      <c r="AM114" t="s">
        <v>1059</v>
      </c>
      <c r="AN114" t="s">
        <v>584</v>
      </c>
      <c r="AO114" t="s">
        <v>1284</v>
      </c>
      <c r="AP114" t="s">
        <v>887</v>
      </c>
      <c r="AQ114" t="s">
        <v>887</v>
      </c>
      <c r="AR114">
        <v>37.164179104477597</v>
      </c>
      <c r="AS114">
        <v>8.3582089552238017</v>
      </c>
      <c r="AT114" t="s">
        <v>311</v>
      </c>
      <c r="AU114">
        <v>3</v>
      </c>
      <c r="AV114">
        <v>28.805970149253699</v>
      </c>
      <c r="AW114">
        <v>2.6865671641790989</v>
      </c>
      <c r="AX114" t="s">
        <v>311</v>
      </c>
      <c r="AY114">
        <v>3</v>
      </c>
      <c r="AZ114" t="s">
        <v>1678</v>
      </c>
      <c r="BA114" t="s">
        <v>1680</v>
      </c>
      <c r="BB114">
        <v>3</v>
      </c>
      <c r="BC114" t="s">
        <v>1672</v>
      </c>
      <c r="BD114" t="s">
        <v>1764</v>
      </c>
      <c r="BE114" t="s">
        <v>1881</v>
      </c>
      <c r="BF114">
        <v>0.55931656995486723</v>
      </c>
      <c r="BG114" t="s">
        <v>311</v>
      </c>
      <c r="BH114">
        <v>0.54867827208252684</v>
      </c>
      <c r="BI114" t="s">
        <v>311</v>
      </c>
      <c r="BJ114">
        <v>0.48614388156372851</v>
      </c>
      <c r="BK114" t="s">
        <v>311</v>
      </c>
      <c r="BL114">
        <v>0.48614388156372851</v>
      </c>
      <c r="BM114" t="s">
        <v>311</v>
      </c>
      <c r="BN114">
        <v>30</v>
      </c>
      <c r="BO114">
        <v>30</v>
      </c>
      <c r="BP114" t="s">
        <v>311</v>
      </c>
      <c r="BQ114" t="s">
        <v>311</v>
      </c>
      <c r="BR114" t="s">
        <v>311</v>
      </c>
      <c r="BS114" t="s">
        <v>311</v>
      </c>
      <c r="BT114" t="s">
        <v>311</v>
      </c>
      <c r="BU114" t="s">
        <v>311</v>
      </c>
      <c r="BV114" t="s">
        <v>311</v>
      </c>
      <c r="BW114" t="s">
        <v>311</v>
      </c>
      <c r="BX114" t="s">
        <v>1126</v>
      </c>
      <c r="BY114" t="s">
        <v>1203</v>
      </c>
      <c r="BZ114">
        <v>1.0348221536462554</v>
      </c>
      <c r="CA114">
        <v>27.8</v>
      </c>
      <c r="CB114" t="s">
        <v>1209</v>
      </c>
      <c r="CC114" t="s">
        <v>1209</v>
      </c>
      <c r="CD114" t="s">
        <v>311</v>
      </c>
      <c r="CE114" t="s">
        <v>311</v>
      </c>
      <c r="CF114" t="s">
        <v>311</v>
      </c>
      <c r="CG114" t="s">
        <v>311</v>
      </c>
      <c r="CH114" t="s">
        <v>311</v>
      </c>
      <c r="CI114" t="s">
        <v>311</v>
      </c>
      <c r="CJ114" s="38">
        <v>0.03</v>
      </c>
      <c r="CK114" s="38">
        <v>0.03</v>
      </c>
      <c r="CL114" s="38" t="s">
        <v>311</v>
      </c>
      <c r="CM114" s="38" t="s">
        <v>311</v>
      </c>
      <c r="CN114" s="38" t="s">
        <v>311</v>
      </c>
      <c r="CO114" s="38" t="s">
        <v>311</v>
      </c>
      <c r="CP114" s="38">
        <v>0.03</v>
      </c>
      <c r="CQ114" t="s">
        <v>1709</v>
      </c>
      <c r="CR114" t="s">
        <v>1638</v>
      </c>
    </row>
    <row r="115" spans="1:96">
      <c r="A115">
        <v>114</v>
      </c>
      <c r="B115">
        <v>18</v>
      </c>
      <c r="C115">
        <v>9</v>
      </c>
      <c r="D115" t="s">
        <v>115</v>
      </c>
      <c r="E115" t="s">
        <v>116</v>
      </c>
      <c r="F115" t="s">
        <v>117</v>
      </c>
      <c r="G115">
        <v>2009</v>
      </c>
      <c r="H115" t="s">
        <v>443</v>
      </c>
      <c r="I115" t="s">
        <v>444</v>
      </c>
      <c r="J115">
        <v>-32.65</v>
      </c>
      <c r="K115">
        <v>152.86666700000001</v>
      </c>
      <c r="L115" t="s">
        <v>370</v>
      </c>
      <c r="M115" t="s">
        <v>394</v>
      </c>
      <c r="N115" t="s">
        <v>594</v>
      </c>
      <c r="O115" t="s">
        <v>288</v>
      </c>
      <c r="P115" t="s">
        <v>289</v>
      </c>
      <c r="Q115" t="s">
        <v>420</v>
      </c>
      <c r="R115" t="s">
        <v>658</v>
      </c>
      <c r="S115" t="s">
        <v>1884</v>
      </c>
      <c r="T115" t="s">
        <v>331</v>
      </c>
      <c r="U115">
        <v>3</v>
      </c>
      <c r="V115" t="s">
        <v>551</v>
      </c>
      <c r="W115">
        <v>2005</v>
      </c>
      <c r="X115" t="s">
        <v>292</v>
      </c>
      <c r="Y115" t="s">
        <v>659</v>
      </c>
      <c r="Z115" t="s">
        <v>1095</v>
      </c>
      <c r="AA115" t="s">
        <v>305</v>
      </c>
      <c r="AB115" t="s">
        <v>661</v>
      </c>
      <c r="AC115" t="s">
        <v>662</v>
      </c>
      <c r="AD115" t="s">
        <v>340</v>
      </c>
      <c r="AE115" t="s">
        <v>311</v>
      </c>
      <c r="AF115" t="s">
        <v>342</v>
      </c>
      <c r="AH115" t="s">
        <v>311</v>
      </c>
      <c r="AI115" t="s">
        <v>311</v>
      </c>
      <c r="AJ115" t="s">
        <v>311</v>
      </c>
      <c r="AK115" t="s">
        <v>718</v>
      </c>
      <c r="AL115" t="s">
        <v>357</v>
      </c>
      <c r="AM115" t="s">
        <v>1059</v>
      </c>
      <c r="AN115" t="s">
        <v>584</v>
      </c>
      <c r="AO115" t="s">
        <v>1284</v>
      </c>
      <c r="AP115" t="s">
        <v>887</v>
      </c>
      <c r="AQ115" t="s">
        <v>887</v>
      </c>
      <c r="AR115">
        <v>52.388059701492502</v>
      </c>
      <c r="AS115">
        <v>1.7910447761193993</v>
      </c>
      <c r="AT115" t="s">
        <v>311</v>
      </c>
      <c r="AU115">
        <v>3</v>
      </c>
      <c r="AV115">
        <v>23.432835820895502</v>
      </c>
      <c r="AW115">
        <v>2.388059701492498</v>
      </c>
      <c r="AX115" t="s">
        <v>311</v>
      </c>
      <c r="AY115">
        <v>3</v>
      </c>
      <c r="AZ115" t="s">
        <v>1678</v>
      </c>
      <c r="BA115" t="s">
        <v>1680</v>
      </c>
      <c r="BB115">
        <v>4</v>
      </c>
      <c r="BC115" t="s">
        <v>1672</v>
      </c>
      <c r="BD115" t="s">
        <v>1764</v>
      </c>
      <c r="BE115" t="s">
        <v>1881</v>
      </c>
      <c r="BF115">
        <v>0.55931656995486723</v>
      </c>
      <c r="BG115" t="s">
        <v>311</v>
      </c>
      <c r="BH115">
        <v>0.54867827208252684</v>
      </c>
      <c r="BI115" t="s">
        <v>311</v>
      </c>
      <c r="BJ115">
        <v>0.48614388156372851</v>
      </c>
      <c r="BK115" t="s">
        <v>311</v>
      </c>
      <c r="BL115">
        <v>0.48614388156372851</v>
      </c>
      <c r="BM115" t="s">
        <v>311</v>
      </c>
      <c r="BN115">
        <v>30</v>
      </c>
      <c r="BO115">
        <v>30</v>
      </c>
      <c r="BP115" t="s">
        <v>311</v>
      </c>
      <c r="BQ115" t="s">
        <v>311</v>
      </c>
      <c r="BR115" t="s">
        <v>311</v>
      </c>
      <c r="BS115" t="s">
        <v>311</v>
      </c>
      <c r="BT115" t="s">
        <v>311</v>
      </c>
      <c r="BU115" t="s">
        <v>311</v>
      </c>
      <c r="BV115" t="s">
        <v>311</v>
      </c>
      <c r="BW115" t="s">
        <v>311</v>
      </c>
      <c r="BX115" t="s">
        <v>1126</v>
      </c>
      <c r="BY115" t="s">
        <v>1203</v>
      </c>
      <c r="BZ115">
        <v>1.0348221536462554</v>
      </c>
      <c r="CA115">
        <v>27.8</v>
      </c>
      <c r="CB115" t="s">
        <v>1209</v>
      </c>
      <c r="CC115" t="s">
        <v>1209</v>
      </c>
      <c r="CD115" t="s">
        <v>311</v>
      </c>
      <c r="CE115" t="s">
        <v>311</v>
      </c>
      <c r="CF115" t="s">
        <v>311</v>
      </c>
      <c r="CG115" t="s">
        <v>311</v>
      </c>
      <c r="CH115" t="s">
        <v>311</v>
      </c>
      <c r="CI115" t="s">
        <v>311</v>
      </c>
      <c r="CJ115" s="38">
        <v>0.03</v>
      </c>
      <c r="CK115" s="38">
        <v>0.03</v>
      </c>
      <c r="CL115" s="38" t="s">
        <v>311</v>
      </c>
      <c r="CM115" s="38" t="s">
        <v>311</v>
      </c>
      <c r="CN115" s="38" t="s">
        <v>311</v>
      </c>
      <c r="CO115" s="38" t="s">
        <v>311</v>
      </c>
      <c r="CP115" s="38">
        <v>0.03</v>
      </c>
      <c r="CQ115" t="s">
        <v>1709</v>
      </c>
      <c r="CR115" t="s">
        <v>1639</v>
      </c>
    </row>
    <row r="116" spans="1:96">
      <c r="A116">
        <v>115</v>
      </c>
      <c r="B116">
        <v>18</v>
      </c>
      <c r="C116">
        <v>10</v>
      </c>
      <c r="D116" t="s">
        <v>115</v>
      </c>
      <c r="E116" t="s">
        <v>116</v>
      </c>
      <c r="F116" t="s">
        <v>117</v>
      </c>
      <c r="G116">
        <v>2009</v>
      </c>
      <c r="H116" t="s">
        <v>443</v>
      </c>
      <c r="I116" t="s">
        <v>444</v>
      </c>
      <c r="J116">
        <v>-32.65</v>
      </c>
      <c r="K116">
        <v>152.86666700000001</v>
      </c>
      <c r="L116" t="s">
        <v>370</v>
      </c>
      <c r="M116" t="s">
        <v>394</v>
      </c>
      <c r="N116" t="s">
        <v>594</v>
      </c>
      <c r="O116" t="s">
        <v>288</v>
      </c>
      <c r="P116" t="s">
        <v>289</v>
      </c>
      <c r="Q116" t="s">
        <v>420</v>
      </c>
      <c r="R116" t="s">
        <v>658</v>
      </c>
      <c r="S116" t="s">
        <v>1884</v>
      </c>
      <c r="T116" t="s">
        <v>331</v>
      </c>
      <c r="U116">
        <v>3</v>
      </c>
      <c r="V116" t="s">
        <v>551</v>
      </c>
      <c r="W116">
        <v>2005</v>
      </c>
      <c r="X116" t="s">
        <v>292</v>
      </c>
      <c r="Y116" t="s">
        <v>659</v>
      </c>
      <c r="Z116" t="s">
        <v>1095</v>
      </c>
      <c r="AA116" t="s">
        <v>305</v>
      </c>
      <c r="AB116" t="s">
        <v>661</v>
      </c>
      <c r="AC116" t="s">
        <v>662</v>
      </c>
      <c r="AD116" t="s">
        <v>340</v>
      </c>
      <c r="AE116" t="s">
        <v>311</v>
      </c>
      <c r="AF116" t="s">
        <v>342</v>
      </c>
      <c r="AH116" t="s">
        <v>311</v>
      </c>
      <c r="AI116" t="s">
        <v>311</v>
      </c>
      <c r="AJ116" t="s">
        <v>311</v>
      </c>
      <c r="AK116" t="s">
        <v>718</v>
      </c>
      <c r="AL116" t="s">
        <v>357</v>
      </c>
      <c r="AM116" t="s">
        <v>1059</v>
      </c>
      <c r="AN116" t="s">
        <v>584</v>
      </c>
      <c r="AO116" t="s">
        <v>1284</v>
      </c>
      <c r="AP116" t="s">
        <v>887</v>
      </c>
      <c r="AQ116" t="s">
        <v>887</v>
      </c>
      <c r="AR116">
        <v>52.089552238805901</v>
      </c>
      <c r="AS116">
        <v>3.8805970149253994</v>
      </c>
      <c r="AT116" t="s">
        <v>311</v>
      </c>
      <c r="AU116">
        <v>3</v>
      </c>
      <c r="AV116">
        <v>39.8507462686567</v>
      </c>
      <c r="AW116">
        <v>2.0895522388059007</v>
      </c>
      <c r="AX116" t="s">
        <v>311</v>
      </c>
      <c r="AY116">
        <v>3</v>
      </c>
      <c r="AZ116" t="s">
        <v>1678</v>
      </c>
      <c r="BA116" t="s">
        <v>1680</v>
      </c>
      <c r="BB116">
        <v>5</v>
      </c>
      <c r="BC116" t="s">
        <v>1672</v>
      </c>
      <c r="BD116" t="s">
        <v>1764</v>
      </c>
      <c r="BE116" t="s">
        <v>1881</v>
      </c>
      <c r="BF116">
        <v>0.55931656995486723</v>
      </c>
      <c r="BG116" t="s">
        <v>311</v>
      </c>
      <c r="BH116">
        <v>0.54867827208252684</v>
      </c>
      <c r="BI116" t="s">
        <v>311</v>
      </c>
      <c r="BJ116">
        <v>0.48614388156372851</v>
      </c>
      <c r="BK116" t="s">
        <v>311</v>
      </c>
      <c r="BL116">
        <v>0.48614388156372851</v>
      </c>
      <c r="BM116" t="s">
        <v>311</v>
      </c>
      <c r="BN116">
        <v>30</v>
      </c>
      <c r="BO116">
        <v>30</v>
      </c>
      <c r="BP116" t="s">
        <v>311</v>
      </c>
      <c r="BQ116" t="s">
        <v>311</v>
      </c>
      <c r="BR116" t="s">
        <v>311</v>
      </c>
      <c r="BS116" t="s">
        <v>311</v>
      </c>
      <c r="BT116" t="s">
        <v>311</v>
      </c>
      <c r="BU116" t="s">
        <v>311</v>
      </c>
      <c r="BV116" t="s">
        <v>311</v>
      </c>
      <c r="BW116" t="s">
        <v>311</v>
      </c>
      <c r="BX116" t="s">
        <v>1126</v>
      </c>
      <c r="BY116" t="s">
        <v>1203</v>
      </c>
      <c r="BZ116">
        <v>1.0348221536462554</v>
      </c>
      <c r="CA116">
        <v>27.8</v>
      </c>
      <c r="CB116" t="s">
        <v>1209</v>
      </c>
      <c r="CC116" t="s">
        <v>1209</v>
      </c>
      <c r="CD116" t="s">
        <v>311</v>
      </c>
      <c r="CE116" t="s">
        <v>311</v>
      </c>
      <c r="CF116" t="s">
        <v>311</v>
      </c>
      <c r="CG116" t="s">
        <v>311</v>
      </c>
      <c r="CH116" t="s">
        <v>311</v>
      </c>
      <c r="CI116" t="s">
        <v>311</v>
      </c>
      <c r="CJ116" s="38">
        <v>0.03</v>
      </c>
      <c r="CK116" s="38">
        <v>0.03</v>
      </c>
      <c r="CL116" s="38" t="s">
        <v>311</v>
      </c>
      <c r="CM116" s="38" t="s">
        <v>311</v>
      </c>
      <c r="CN116" s="38" t="s">
        <v>311</v>
      </c>
      <c r="CO116" s="38" t="s">
        <v>311</v>
      </c>
      <c r="CP116" s="38">
        <v>0.03</v>
      </c>
      <c r="CQ116" t="s">
        <v>1709</v>
      </c>
      <c r="CR116" t="s">
        <v>1640</v>
      </c>
    </row>
    <row r="117" spans="1:96">
      <c r="A117">
        <v>116</v>
      </c>
      <c r="B117">
        <v>18</v>
      </c>
      <c r="C117">
        <v>11</v>
      </c>
      <c r="D117" t="s">
        <v>115</v>
      </c>
      <c r="E117" t="s">
        <v>116</v>
      </c>
      <c r="F117" t="s">
        <v>117</v>
      </c>
      <c r="G117">
        <v>2009</v>
      </c>
      <c r="H117" t="s">
        <v>443</v>
      </c>
      <c r="I117" t="s">
        <v>444</v>
      </c>
      <c r="J117">
        <v>-32.65</v>
      </c>
      <c r="K117">
        <v>152.86666700000001</v>
      </c>
      <c r="L117" t="s">
        <v>370</v>
      </c>
      <c r="M117" t="s">
        <v>394</v>
      </c>
      <c r="N117" t="s">
        <v>594</v>
      </c>
      <c r="O117" t="s">
        <v>288</v>
      </c>
      <c r="P117" t="s">
        <v>289</v>
      </c>
      <c r="Q117" t="s">
        <v>420</v>
      </c>
      <c r="R117" t="s">
        <v>658</v>
      </c>
      <c r="S117" t="s">
        <v>1884</v>
      </c>
      <c r="T117" t="s">
        <v>331</v>
      </c>
      <c r="U117">
        <v>3</v>
      </c>
      <c r="V117" t="s">
        <v>551</v>
      </c>
      <c r="W117">
        <v>2005</v>
      </c>
      <c r="X117" t="s">
        <v>292</v>
      </c>
      <c r="Y117" t="s">
        <v>659</v>
      </c>
      <c r="Z117" t="s">
        <v>1095</v>
      </c>
      <c r="AA117" t="s">
        <v>305</v>
      </c>
      <c r="AB117" t="s">
        <v>661</v>
      </c>
      <c r="AC117" t="s">
        <v>662</v>
      </c>
      <c r="AD117" t="s">
        <v>340</v>
      </c>
      <c r="AE117" t="s">
        <v>311</v>
      </c>
      <c r="AF117" t="s">
        <v>342</v>
      </c>
      <c r="AH117" t="s">
        <v>311</v>
      </c>
      <c r="AI117" t="s">
        <v>311</v>
      </c>
      <c r="AJ117" t="s">
        <v>311</v>
      </c>
      <c r="AK117" t="s">
        <v>718</v>
      </c>
      <c r="AL117" t="s">
        <v>357</v>
      </c>
      <c r="AM117" t="s">
        <v>1059</v>
      </c>
      <c r="AN117" t="s">
        <v>584</v>
      </c>
      <c r="AO117" t="s">
        <v>1284</v>
      </c>
      <c r="AP117" t="s">
        <v>887</v>
      </c>
      <c r="AQ117" t="s">
        <v>887</v>
      </c>
      <c r="AR117">
        <v>35.373134328358198</v>
      </c>
      <c r="AS117">
        <v>2.3880597014925016</v>
      </c>
      <c r="AT117" t="s">
        <v>311</v>
      </c>
      <c r="AU117">
        <v>3</v>
      </c>
      <c r="AV117">
        <v>39.8507462686567</v>
      </c>
      <c r="AW117">
        <v>2.0895522388059007</v>
      </c>
      <c r="AX117" t="s">
        <v>311</v>
      </c>
      <c r="AY117">
        <v>3</v>
      </c>
      <c r="AZ117" t="s">
        <v>1678</v>
      </c>
      <c r="BA117" t="s">
        <v>1680</v>
      </c>
      <c r="BB117">
        <v>6</v>
      </c>
      <c r="BC117" t="s">
        <v>1672</v>
      </c>
      <c r="BD117" t="s">
        <v>1763</v>
      </c>
      <c r="BE117" t="s">
        <v>1881</v>
      </c>
      <c r="BF117">
        <v>0.55931656995486723</v>
      </c>
      <c r="BG117" t="s">
        <v>311</v>
      </c>
      <c r="BH117">
        <v>0.54867827208252684</v>
      </c>
      <c r="BI117" t="s">
        <v>311</v>
      </c>
      <c r="BJ117">
        <v>0.48614388156372851</v>
      </c>
      <c r="BK117" t="s">
        <v>311</v>
      </c>
      <c r="BL117">
        <v>0.48614388156372851</v>
      </c>
      <c r="BM117" t="s">
        <v>311</v>
      </c>
      <c r="BN117">
        <v>30</v>
      </c>
      <c r="BO117">
        <v>30</v>
      </c>
      <c r="BP117" t="s">
        <v>311</v>
      </c>
      <c r="BQ117" t="s">
        <v>311</v>
      </c>
      <c r="BR117" t="s">
        <v>311</v>
      </c>
      <c r="BS117" t="s">
        <v>311</v>
      </c>
      <c r="BT117" t="s">
        <v>311</v>
      </c>
      <c r="BU117" t="s">
        <v>311</v>
      </c>
      <c r="BV117" t="s">
        <v>311</v>
      </c>
      <c r="BW117" t="s">
        <v>311</v>
      </c>
      <c r="BX117" t="s">
        <v>1126</v>
      </c>
      <c r="BY117" t="s">
        <v>1203</v>
      </c>
      <c r="BZ117">
        <v>1.0348221536462554</v>
      </c>
      <c r="CA117">
        <v>27.8</v>
      </c>
      <c r="CB117" t="s">
        <v>1209</v>
      </c>
      <c r="CC117" t="s">
        <v>1209</v>
      </c>
      <c r="CD117" t="s">
        <v>311</v>
      </c>
      <c r="CE117" t="s">
        <v>311</v>
      </c>
      <c r="CF117" t="s">
        <v>311</v>
      </c>
      <c r="CG117" t="s">
        <v>311</v>
      </c>
      <c r="CH117" t="s">
        <v>311</v>
      </c>
      <c r="CI117" t="s">
        <v>311</v>
      </c>
      <c r="CJ117" s="38">
        <v>0.03</v>
      </c>
      <c r="CK117" s="38">
        <v>0.03</v>
      </c>
      <c r="CL117" s="38" t="s">
        <v>311</v>
      </c>
      <c r="CM117" s="38" t="s">
        <v>311</v>
      </c>
      <c r="CN117" s="38" t="s">
        <v>311</v>
      </c>
      <c r="CO117" s="38" t="s">
        <v>311</v>
      </c>
      <c r="CP117" s="38">
        <v>0.03</v>
      </c>
      <c r="CQ117" t="s">
        <v>1709</v>
      </c>
      <c r="CR117" t="s">
        <v>1641</v>
      </c>
    </row>
    <row r="118" spans="1:96" s="30" customFormat="1">
      <c r="A118">
        <v>117</v>
      </c>
      <c r="B118" s="30">
        <v>18</v>
      </c>
      <c r="C118" s="30">
        <v>12</v>
      </c>
      <c r="D118" s="30" t="s">
        <v>115</v>
      </c>
      <c r="E118" s="30" t="s">
        <v>116</v>
      </c>
      <c r="F118" s="30" t="s">
        <v>117</v>
      </c>
      <c r="G118" s="30">
        <v>2009</v>
      </c>
      <c r="H118" s="30" t="s">
        <v>443</v>
      </c>
      <c r="I118" s="30" t="s">
        <v>444</v>
      </c>
      <c r="J118" s="30">
        <v>-32.65</v>
      </c>
      <c r="K118" s="30">
        <v>152.86666700000001</v>
      </c>
      <c r="L118" s="30" t="s">
        <v>370</v>
      </c>
      <c r="M118" s="30" t="s">
        <v>394</v>
      </c>
      <c r="N118" s="30" t="s">
        <v>594</v>
      </c>
      <c r="O118" s="30" t="s">
        <v>288</v>
      </c>
      <c r="P118" s="30" t="s">
        <v>289</v>
      </c>
      <c r="Q118" s="30" t="s">
        <v>420</v>
      </c>
      <c r="R118" s="30" t="s">
        <v>658</v>
      </c>
      <c r="S118" s="30" t="s">
        <v>1884</v>
      </c>
      <c r="T118" s="30" t="s">
        <v>331</v>
      </c>
      <c r="U118" s="30">
        <v>3</v>
      </c>
      <c r="V118" s="30" t="s">
        <v>551</v>
      </c>
      <c r="W118" s="30">
        <v>2005</v>
      </c>
      <c r="X118" s="30" t="s">
        <v>292</v>
      </c>
      <c r="Y118" s="30" t="s">
        <v>659</v>
      </c>
      <c r="Z118" s="30" t="s">
        <v>1095</v>
      </c>
      <c r="AA118" s="30" t="s">
        <v>305</v>
      </c>
      <c r="AB118" s="30" t="s">
        <v>661</v>
      </c>
      <c r="AC118" s="30" t="s">
        <v>662</v>
      </c>
      <c r="AD118" s="30" t="s">
        <v>309</v>
      </c>
      <c r="AE118" s="30" t="s">
        <v>741</v>
      </c>
      <c r="AF118" s="30" t="s">
        <v>342</v>
      </c>
      <c r="AH118" s="30" t="s">
        <v>343</v>
      </c>
      <c r="AI118" s="30" t="s">
        <v>729</v>
      </c>
      <c r="AJ118" s="30" t="s">
        <v>792</v>
      </c>
      <c r="AK118" s="30" t="s">
        <v>1424</v>
      </c>
      <c r="AL118" s="30" t="s">
        <v>357</v>
      </c>
      <c r="AM118" s="30" t="s">
        <v>1059</v>
      </c>
      <c r="AN118" s="30" t="s">
        <v>584</v>
      </c>
      <c r="AO118" s="30" t="s">
        <v>345</v>
      </c>
      <c r="AP118" s="30" t="s">
        <v>614</v>
      </c>
      <c r="AQ118" s="30" t="s">
        <v>614</v>
      </c>
      <c r="AR118" s="30">
        <v>3278.4291958648428</v>
      </c>
      <c r="AS118" s="30">
        <v>580.01923422481866</v>
      </c>
      <c r="AT118" s="30" t="s">
        <v>311</v>
      </c>
      <c r="AU118" s="30">
        <v>6</v>
      </c>
      <c r="AV118" s="30">
        <v>-559.67991859200993</v>
      </c>
      <c r="AW118" s="30">
        <v>394.84002426832592</v>
      </c>
      <c r="AX118" s="30" t="s">
        <v>311</v>
      </c>
      <c r="AY118" s="30">
        <v>6</v>
      </c>
      <c r="AZ118" s="30" t="s">
        <v>1677</v>
      </c>
      <c r="BA118" s="30" t="s">
        <v>1679</v>
      </c>
      <c r="BB118">
        <v>6</v>
      </c>
      <c r="BC118" s="30" t="s">
        <v>1673</v>
      </c>
      <c r="BD118" s="30" t="s">
        <v>311</v>
      </c>
      <c r="BE118" s="30" t="s">
        <v>1881</v>
      </c>
      <c r="BF118" s="30">
        <v>0.55931656995486723</v>
      </c>
      <c r="BG118" s="30" t="s">
        <v>311</v>
      </c>
      <c r="BH118" s="30">
        <v>0.54867827208252684</v>
      </c>
      <c r="BI118" s="30" t="s">
        <v>311</v>
      </c>
      <c r="BJ118" s="30">
        <v>0.48614388156372851</v>
      </c>
      <c r="BK118" s="30" t="s">
        <v>311</v>
      </c>
      <c r="BL118" s="30">
        <v>0.48614388156372851</v>
      </c>
      <c r="BM118" s="30" t="s">
        <v>311</v>
      </c>
      <c r="BN118" s="30">
        <v>30</v>
      </c>
      <c r="BO118" s="30">
        <v>30</v>
      </c>
      <c r="BP118" s="30" t="s">
        <v>311</v>
      </c>
      <c r="BQ118" s="30" t="s">
        <v>311</v>
      </c>
      <c r="BR118" s="30" t="s">
        <v>311</v>
      </c>
      <c r="BS118" s="30" t="s">
        <v>311</v>
      </c>
      <c r="BT118" s="30" t="s">
        <v>311</v>
      </c>
      <c r="BU118" s="30" t="s">
        <v>311</v>
      </c>
      <c r="BV118" s="30" t="s">
        <v>311</v>
      </c>
      <c r="BW118" s="30" t="s">
        <v>311</v>
      </c>
      <c r="BX118" s="30" t="s">
        <v>1126</v>
      </c>
      <c r="BY118" s="30" t="s">
        <v>1203</v>
      </c>
      <c r="BZ118" s="30">
        <v>1.0348221536462554</v>
      </c>
      <c r="CA118" s="30">
        <v>27.8</v>
      </c>
      <c r="CB118" s="30" t="s">
        <v>1209</v>
      </c>
      <c r="CC118" s="30" t="s">
        <v>1209</v>
      </c>
      <c r="CD118" s="30" t="s">
        <v>311</v>
      </c>
      <c r="CE118" s="30" t="s">
        <v>311</v>
      </c>
      <c r="CF118" s="30" t="s">
        <v>311</v>
      </c>
      <c r="CG118" s="30" t="s">
        <v>311</v>
      </c>
      <c r="CH118" s="30" t="s">
        <v>311</v>
      </c>
      <c r="CI118" s="30" t="s">
        <v>311</v>
      </c>
      <c r="CJ118" s="38">
        <v>0.03</v>
      </c>
      <c r="CK118" s="38">
        <v>0.03</v>
      </c>
      <c r="CL118" s="38" t="s">
        <v>311</v>
      </c>
      <c r="CM118" s="38" t="s">
        <v>311</v>
      </c>
      <c r="CN118" s="38" t="s">
        <v>311</v>
      </c>
      <c r="CO118" s="38" t="s">
        <v>311</v>
      </c>
      <c r="CP118" s="38">
        <v>0.03</v>
      </c>
      <c r="CQ118" s="30" t="s">
        <v>1803</v>
      </c>
      <c r="CR118" s="30" t="s">
        <v>1804</v>
      </c>
    </row>
    <row r="119" spans="1:96">
      <c r="A119">
        <v>118</v>
      </c>
      <c r="B119">
        <v>18</v>
      </c>
      <c r="C119">
        <v>13</v>
      </c>
      <c r="D119" t="s">
        <v>115</v>
      </c>
      <c r="E119" t="s">
        <v>116</v>
      </c>
      <c r="F119" t="s">
        <v>117</v>
      </c>
      <c r="G119">
        <v>2009</v>
      </c>
      <c r="H119" t="s">
        <v>443</v>
      </c>
      <c r="I119" t="s">
        <v>444</v>
      </c>
      <c r="J119">
        <v>-32.65</v>
      </c>
      <c r="K119">
        <v>152.86666700000001</v>
      </c>
      <c r="L119" t="s">
        <v>370</v>
      </c>
      <c r="M119" t="s">
        <v>394</v>
      </c>
      <c r="N119" t="s">
        <v>594</v>
      </c>
      <c r="O119" t="s">
        <v>288</v>
      </c>
      <c r="P119" t="s">
        <v>289</v>
      </c>
      <c r="Q119" t="s">
        <v>420</v>
      </c>
      <c r="R119" t="s">
        <v>658</v>
      </c>
      <c r="S119" t="s">
        <v>1884</v>
      </c>
      <c r="T119" t="s">
        <v>331</v>
      </c>
      <c r="U119">
        <v>3</v>
      </c>
      <c r="V119" t="s">
        <v>551</v>
      </c>
      <c r="W119">
        <v>2005</v>
      </c>
      <c r="X119" t="s">
        <v>292</v>
      </c>
      <c r="Y119" t="s">
        <v>659</v>
      </c>
      <c r="Z119" t="s">
        <v>1095</v>
      </c>
      <c r="AA119" t="s">
        <v>305</v>
      </c>
      <c r="AB119" t="s">
        <v>661</v>
      </c>
      <c r="AC119" t="s">
        <v>662</v>
      </c>
      <c r="AD119" t="s">
        <v>309</v>
      </c>
      <c r="AE119" t="s">
        <v>741</v>
      </c>
      <c r="AF119" t="s">
        <v>342</v>
      </c>
      <c r="AH119" t="s">
        <v>343</v>
      </c>
      <c r="AI119" t="s">
        <v>729</v>
      </c>
      <c r="AJ119" t="s">
        <v>792</v>
      </c>
      <c r="AK119" t="s">
        <v>1424</v>
      </c>
      <c r="AL119" t="s">
        <v>357</v>
      </c>
      <c r="AM119" t="s">
        <v>1059</v>
      </c>
      <c r="AN119" t="s">
        <v>584</v>
      </c>
      <c r="AO119" t="s">
        <v>345</v>
      </c>
      <c r="AP119" t="s">
        <v>887</v>
      </c>
      <c r="AQ119" t="s">
        <v>614</v>
      </c>
      <c r="AR119">
        <v>2727.6995305164301</v>
      </c>
      <c r="AS119">
        <v>1765.2582159624399</v>
      </c>
      <c r="AT119" t="s">
        <v>311</v>
      </c>
      <c r="AU119">
        <v>6</v>
      </c>
      <c r="AV119">
        <v>1694.83568075117</v>
      </c>
      <c r="AW119">
        <v>338.02816901408005</v>
      </c>
      <c r="AX119" t="s">
        <v>311</v>
      </c>
      <c r="AY119">
        <v>6</v>
      </c>
      <c r="AZ119" t="s">
        <v>1677</v>
      </c>
      <c r="BA119" t="s">
        <v>1679</v>
      </c>
      <c r="BB119">
        <v>3</v>
      </c>
      <c r="BC119" t="s">
        <v>1672</v>
      </c>
      <c r="BD119" t="s">
        <v>1764</v>
      </c>
      <c r="BE119" t="s">
        <v>1881</v>
      </c>
      <c r="BF119">
        <v>0.55931656995486723</v>
      </c>
      <c r="BG119" t="s">
        <v>311</v>
      </c>
      <c r="BH119">
        <v>0.54867827208252684</v>
      </c>
      <c r="BI119" t="s">
        <v>311</v>
      </c>
      <c r="BJ119">
        <v>0.48614388156372851</v>
      </c>
      <c r="BK119" t="s">
        <v>311</v>
      </c>
      <c r="BL119">
        <v>0.48614388156372851</v>
      </c>
      <c r="BM119" t="s">
        <v>311</v>
      </c>
      <c r="BN119">
        <v>30</v>
      </c>
      <c r="BO119">
        <v>30</v>
      </c>
      <c r="BP119" t="s">
        <v>311</v>
      </c>
      <c r="BQ119" t="s">
        <v>311</v>
      </c>
      <c r="BR119" t="s">
        <v>311</v>
      </c>
      <c r="BS119" t="s">
        <v>311</v>
      </c>
      <c r="BT119" t="s">
        <v>311</v>
      </c>
      <c r="BU119" t="s">
        <v>311</v>
      </c>
      <c r="BV119" t="s">
        <v>311</v>
      </c>
      <c r="BW119" t="s">
        <v>311</v>
      </c>
      <c r="BX119" t="s">
        <v>1126</v>
      </c>
      <c r="BY119" t="s">
        <v>1203</v>
      </c>
      <c r="BZ119">
        <v>1.0348221536462554</v>
      </c>
      <c r="CA119">
        <v>27.8</v>
      </c>
      <c r="CB119" t="s">
        <v>1209</v>
      </c>
      <c r="CC119" t="s">
        <v>1209</v>
      </c>
      <c r="CD119" t="s">
        <v>311</v>
      </c>
      <c r="CE119" t="s">
        <v>311</v>
      </c>
      <c r="CF119" t="s">
        <v>311</v>
      </c>
      <c r="CG119" t="s">
        <v>311</v>
      </c>
      <c r="CH119" t="s">
        <v>311</v>
      </c>
      <c r="CI119" t="s">
        <v>311</v>
      </c>
      <c r="CJ119" s="38">
        <v>0.03</v>
      </c>
      <c r="CK119" s="38">
        <v>0.03</v>
      </c>
      <c r="CL119" s="38" t="s">
        <v>311</v>
      </c>
      <c r="CM119" s="38" t="s">
        <v>311</v>
      </c>
      <c r="CN119" s="38" t="s">
        <v>311</v>
      </c>
      <c r="CO119" s="38" t="s">
        <v>311</v>
      </c>
      <c r="CP119" s="38">
        <v>0.03</v>
      </c>
      <c r="CR119" t="s">
        <v>1865</v>
      </c>
    </row>
    <row r="120" spans="1:96">
      <c r="A120">
        <v>119</v>
      </c>
      <c r="B120">
        <v>18</v>
      </c>
      <c r="C120">
        <v>14</v>
      </c>
      <c r="D120" t="s">
        <v>115</v>
      </c>
      <c r="E120" t="s">
        <v>116</v>
      </c>
      <c r="F120" t="s">
        <v>117</v>
      </c>
      <c r="G120">
        <v>2009</v>
      </c>
      <c r="H120" t="s">
        <v>443</v>
      </c>
      <c r="I120" t="s">
        <v>444</v>
      </c>
      <c r="J120">
        <v>-32.65</v>
      </c>
      <c r="K120">
        <v>152.86666700000001</v>
      </c>
      <c r="L120" t="s">
        <v>370</v>
      </c>
      <c r="M120" t="s">
        <v>394</v>
      </c>
      <c r="N120" t="s">
        <v>594</v>
      </c>
      <c r="O120" t="s">
        <v>288</v>
      </c>
      <c r="P120" t="s">
        <v>289</v>
      </c>
      <c r="Q120" t="s">
        <v>420</v>
      </c>
      <c r="R120" t="s">
        <v>658</v>
      </c>
      <c r="S120" t="s">
        <v>1884</v>
      </c>
      <c r="T120" t="s">
        <v>331</v>
      </c>
      <c r="U120">
        <v>3</v>
      </c>
      <c r="V120" t="s">
        <v>551</v>
      </c>
      <c r="W120">
        <v>2005</v>
      </c>
      <c r="X120" t="s">
        <v>292</v>
      </c>
      <c r="Y120" t="s">
        <v>659</v>
      </c>
      <c r="Z120" t="s">
        <v>1095</v>
      </c>
      <c r="AA120" t="s">
        <v>305</v>
      </c>
      <c r="AB120" t="s">
        <v>661</v>
      </c>
      <c r="AC120" t="s">
        <v>662</v>
      </c>
      <c r="AD120" t="s">
        <v>309</v>
      </c>
      <c r="AE120" t="s">
        <v>741</v>
      </c>
      <c r="AF120" t="s">
        <v>342</v>
      </c>
      <c r="AH120" t="s">
        <v>343</v>
      </c>
      <c r="AI120" t="s">
        <v>729</v>
      </c>
      <c r="AJ120" t="s">
        <v>792</v>
      </c>
      <c r="AK120" t="s">
        <v>1424</v>
      </c>
      <c r="AL120" t="s">
        <v>357</v>
      </c>
      <c r="AM120" t="s">
        <v>1059</v>
      </c>
      <c r="AN120" t="s">
        <v>584</v>
      </c>
      <c r="AO120" t="s">
        <v>345</v>
      </c>
      <c r="AP120" t="s">
        <v>887</v>
      </c>
      <c r="AQ120" t="s">
        <v>614</v>
      </c>
      <c r="AR120">
        <v>3647.8873239436598</v>
      </c>
      <c r="AS120">
        <v>563.38028169013978</v>
      </c>
      <c r="AT120" t="s">
        <v>311</v>
      </c>
      <c r="AU120">
        <v>6</v>
      </c>
      <c r="AV120">
        <v>361.50234741783999</v>
      </c>
      <c r="AW120">
        <v>300.46948356807496</v>
      </c>
      <c r="AX120" t="s">
        <v>311</v>
      </c>
      <c r="AY120">
        <v>6</v>
      </c>
      <c r="AZ120" t="s">
        <v>1677</v>
      </c>
      <c r="BA120" t="s">
        <v>1679</v>
      </c>
      <c r="BB120">
        <v>6</v>
      </c>
      <c r="BC120" t="s">
        <v>1672</v>
      </c>
      <c r="BD120" t="s">
        <v>1763</v>
      </c>
      <c r="BE120" t="s">
        <v>1881</v>
      </c>
      <c r="BF120">
        <v>0.55931656995486723</v>
      </c>
      <c r="BG120" t="s">
        <v>311</v>
      </c>
      <c r="BH120">
        <v>0.54867827208252684</v>
      </c>
      <c r="BI120" t="s">
        <v>311</v>
      </c>
      <c r="BJ120">
        <v>0.48614388156372851</v>
      </c>
      <c r="BK120" t="s">
        <v>311</v>
      </c>
      <c r="BL120">
        <v>0.48614388156372851</v>
      </c>
      <c r="BM120" t="s">
        <v>311</v>
      </c>
      <c r="BN120">
        <v>30</v>
      </c>
      <c r="BO120">
        <v>30</v>
      </c>
      <c r="BP120" t="s">
        <v>311</v>
      </c>
      <c r="BQ120" t="s">
        <v>311</v>
      </c>
      <c r="BR120" t="s">
        <v>311</v>
      </c>
      <c r="BS120" t="s">
        <v>311</v>
      </c>
      <c r="BT120" t="s">
        <v>311</v>
      </c>
      <c r="BU120" t="s">
        <v>311</v>
      </c>
      <c r="BV120" t="s">
        <v>311</v>
      </c>
      <c r="BW120" t="s">
        <v>311</v>
      </c>
      <c r="BX120" t="s">
        <v>1126</v>
      </c>
      <c r="BY120" t="s">
        <v>1203</v>
      </c>
      <c r="BZ120">
        <v>1.0348221536462554</v>
      </c>
      <c r="CA120">
        <v>27.8</v>
      </c>
      <c r="CB120" t="s">
        <v>1209</v>
      </c>
      <c r="CC120" t="s">
        <v>1209</v>
      </c>
      <c r="CD120" t="s">
        <v>311</v>
      </c>
      <c r="CE120" t="s">
        <v>311</v>
      </c>
      <c r="CF120" t="s">
        <v>311</v>
      </c>
      <c r="CG120" t="s">
        <v>311</v>
      </c>
      <c r="CH120" t="s">
        <v>311</v>
      </c>
      <c r="CI120" t="s">
        <v>311</v>
      </c>
      <c r="CJ120" s="38">
        <v>0.03</v>
      </c>
      <c r="CK120" s="38">
        <v>0.03</v>
      </c>
      <c r="CL120" s="38" t="s">
        <v>311</v>
      </c>
      <c r="CM120" s="38" t="s">
        <v>311</v>
      </c>
      <c r="CN120" s="38" t="s">
        <v>311</v>
      </c>
      <c r="CO120" s="38" t="s">
        <v>311</v>
      </c>
      <c r="CP120" s="38">
        <v>0.03</v>
      </c>
      <c r="CR120" t="s">
        <v>1866</v>
      </c>
    </row>
    <row r="121" spans="1:96" s="30" customFormat="1">
      <c r="A121">
        <v>120</v>
      </c>
      <c r="B121" s="30">
        <v>18</v>
      </c>
      <c r="C121" s="30">
        <v>15</v>
      </c>
      <c r="D121" s="30" t="s">
        <v>115</v>
      </c>
      <c r="E121" s="30" t="s">
        <v>116</v>
      </c>
      <c r="F121" s="30" t="s">
        <v>117</v>
      </c>
      <c r="G121" s="30">
        <v>2009</v>
      </c>
      <c r="H121" s="30" t="s">
        <v>443</v>
      </c>
      <c r="I121" s="30" t="s">
        <v>444</v>
      </c>
      <c r="J121" s="30">
        <v>-32.65</v>
      </c>
      <c r="K121" s="30">
        <v>152.86666700000001</v>
      </c>
      <c r="L121" s="30" t="s">
        <v>370</v>
      </c>
      <c r="M121" s="30" t="s">
        <v>394</v>
      </c>
      <c r="N121" s="30" t="s">
        <v>594</v>
      </c>
      <c r="O121" s="30" t="s">
        <v>288</v>
      </c>
      <c r="P121" s="30" t="s">
        <v>289</v>
      </c>
      <c r="Q121" s="30" t="s">
        <v>420</v>
      </c>
      <c r="R121" s="30" t="s">
        <v>658</v>
      </c>
      <c r="S121" s="30" t="s">
        <v>1884</v>
      </c>
      <c r="T121" s="30" t="s">
        <v>331</v>
      </c>
      <c r="U121" s="30">
        <v>3</v>
      </c>
      <c r="V121" s="30" t="s">
        <v>551</v>
      </c>
      <c r="W121" s="30">
        <v>2005</v>
      </c>
      <c r="X121" s="30" t="s">
        <v>292</v>
      </c>
      <c r="Y121" s="30" t="s">
        <v>659</v>
      </c>
      <c r="Z121" s="30" t="s">
        <v>1095</v>
      </c>
      <c r="AA121" s="30" t="s">
        <v>305</v>
      </c>
      <c r="AB121" s="30" t="s">
        <v>661</v>
      </c>
      <c r="AC121" s="30" t="s">
        <v>662</v>
      </c>
      <c r="AD121" s="30" t="s">
        <v>309</v>
      </c>
      <c r="AE121" s="30" t="s">
        <v>1646</v>
      </c>
      <c r="AF121" s="30" t="s">
        <v>342</v>
      </c>
      <c r="AH121" s="30" t="s">
        <v>343</v>
      </c>
      <c r="AI121" s="30" t="s">
        <v>1647</v>
      </c>
      <c r="AJ121" s="30" t="s">
        <v>792</v>
      </c>
      <c r="AK121" s="30" t="s">
        <v>1655</v>
      </c>
      <c r="AL121" s="30" t="s">
        <v>357</v>
      </c>
      <c r="AM121" s="30" t="s">
        <v>1059</v>
      </c>
      <c r="AN121" s="30" t="s">
        <v>584</v>
      </c>
      <c r="AO121" s="30" t="s">
        <v>345</v>
      </c>
      <c r="AP121" s="30" t="s">
        <v>614</v>
      </c>
      <c r="AQ121" s="30" t="s">
        <v>614</v>
      </c>
      <c r="AR121" s="30">
        <v>1577.464788732389</v>
      </c>
      <c r="AS121" s="30">
        <v>1200.9973299770547</v>
      </c>
      <c r="AT121" s="30" t="s">
        <v>311</v>
      </c>
      <c r="AU121" s="30">
        <v>6</v>
      </c>
      <c r="AV121" s="30">
        <v>-225.35211267605609</v>
      </c>
      <c r="AW121" s="30">
        <v>464.95468180807217</v>
      </c>
      <c r="AX121" s="30" t="s">
        <v>311</v>
      </c>
      <c r="AY121" s="30">
        <v>6</v>
      </c>
      <c r="AZ121" s="30" t="s">
        <v>1677</v>
      </c>
      <c r="BA121" s="30" t="s">
        <v>1679</v>
      </c>
      <c r="BB121">
        <v>6</v>
      </c>
      <c r="BC121" s="30" t="s">
        <v>1673</v>
      </c>
      <c r="BD121" s="30" t="s">
        <v>311</v>
      </c>
      <c r="BE121" s="30" t="s">
        <v>1881</v>
      </c>
      <c r="BF121" s="30">
        <v>0.55931656995486723</v>
      </c>
      <c r="BG121" s="30" t="s">
        <v>311</v>
      </c>
      <c r="BH121" s="30">
        <v>0.54867827208252684</v>
      </c>
      <c r="BI121" s="30" t="s">
        <v>311</v>
      </c>
      <c r="BJ121" s="30">
        <v>0.48614388156372851</v>
      </c>
      <c r="BK121" s="30" t="s">
        <v>311</v>
      </c>
      <c r="BL121" s="30">
        <v>0.48614388156372851</v>
      </c>
      <c r="BM121" s="30" t="s">
        <v>311</v>
      </c>
      <c r="BN121" s="30">
        <v>30</v>
      </c>
      <c r="BO121" s="30">
        <v>30</v>
      </c>
      <c r="BP121" s="30" t="s">
        <v>311</v>
      </c>
      <c r="BQ121" s="30" t="s">
        <v>311</v>
      </c>
      <c r="BR121" s="30" t="s">
        <v>311</v>
      </c>
      <c r="BS121" s="30" t="s">
        <v>311</v>
      </c>
      <c r="BT121" s="30" t="s">
        <v>311</v>
      </c>
      <c r="BU121" s="30" t="s">
        <v>311</v>
      </c>
      <c r="BV121" s="30" t="s">
        <v>311</v>
      </c>
      <c r="BW121" s="30" t="s">
        <v>311</v>
      </c>
      <c r="BX121" s="30" t="s">
        <v>1126</v>
      </c>
      <c r="BY121" s="30" t="s">
        <v>1203</v>
      </c>
      <c r="BZ121" s="30">
        <v>1.0348221536462554</v>
      </c>
      <c r="CA121" s="30">
        <v>27.8</v>
      </c>
      <c r="CB121" s="30" t="s">
        <v>1209</v>
      </c>
      <c r="CC121" s="30" t="s">
        <v>1209</v>
      </c>
      <c r="CD121" s="30" t="s">
        <v>311</v>
      </c>
      <c r="CE121" s="30" t="s">
        <v>311</v>
      </c>
      <c r="CF121" s="30" t="s">
        <v>311</v>
      </c>
      <c r="CG121" s="30" t="s">
        <v>311</v>
      </c>
      <c r="CH121" s="30" t="s">
        <v>311</v>
      </c>
      <c r="CI121" s="30" t="s">
        <v>311</v>
      </c>
      <c r="CJ121" s="38">
        <v>0.03</v>
      </c>
      <c r="CK121" s="38">
        <v>0.03</v>
      </c>
      <c r="CL121" s="38" t="s">
        <v>311</v>
      </c>
      <c r="CM121" s="38" t="s">
        <v>311</v>
      </c>
      <c r="CN121" s="38" t="s">
        <v>311</v>
      </c>
      <c r="CO121" s="38" t="s">
        <v>311</v>
      </c>
      <c r="CP121" s="38">
        <v>0.03</v>
      </c>
      <c r="CQ121" s="30" t="s">
        <v>1803</v>
      </c>
      <c r="CR121" s="30" t="s">
        <v>1805</v>
      </c>
    </row>
    <row r="122" spans="1:96">
      <c r="A122">
        <v>121</v>
      </c>
      <c r="B122">
        <v>18</v>
      </c>
      <c r="C122">
        <v>16</v>
      </c>
      <c r="D122" t="s">
        <v>115</v>
      </c>
      <c r="E122" t="s">
        <v>116</v>
      </c>
      <c r="F122" t="s">
        <v>117</v>
      </c>
      <c r="G122">
        <v>2009</v>
      </c>
      <c r="H122" t="s">
        <v>443</v>
      </c>
      <c r="I122" t="s">
        <v>444</v>
      </c>
      <c r="J122">
        <v>-32.65</v>
      </c>
      <c r="K122">
        <v>152.86666700000001</v>
      </c>
      <c r="L122" t="s">
        <v>370</v>
      </c>
      <c r="M122" t="s">
        <v>394</v>
      </c>
      <c r="N122" t="s">
        <v>594</v>
      </c>
      <c r="O122" t="s">
        <v>288</v>
      </c>
      <c r="P122" t="s">
        <v>289</v>
      </c>
      <c r="Q122" t="s">
        <v>420</v>
      </c>
      <c r="R122" t="s">
        <v>658</v>
      </c>
      <c r="S122" t="s">
        <v>1884</v>
      </c>
      <c r="T122" t="s">
        <v>331</v>
      </c>
      <c r="U122">
        <v>3</v>
      </c>
      <c r="V122" t="s">
        <v>551</v>
      </c>
      <c r="W122">
        <v>2005</v>
      </c>
      <c r="X122" t="s">
        <v>292</v>
      </c>
      <c r="Y122" t="s">
        <v>659</v>
      </c>
      <c r="Z122" t="s">
        <v>1095</v>
      </c>
      <c r="AA122" t="s">
        <v>305</v>
      </c>
      <c r="AB122" t="s">
        <v>661</v>
      </c>
      <c r="AC122" t="s">
        <v>662</v>
      </c>
      <c r="AD122" t="s">
        <v>309</v>
      </c>
      <c r="AE122" t="s">
        <v>1646</v>
      </c>
      <c r="AF122" t="s">
        <v>342</v>
      </c>
      <c r="AH122" t="s">
        <v>343</v>
      </c>
      <c r="AI122" t="s">
        <v>1647</v>
      </c>
      <c r="AJ122" t="s">
        <v>792</v>
      </c>
      <c r="AK122" t="s">
        <v>1655</v>
      </c>
      <c r="AL122" t="s">
        <v>357</v>
      </c>
      <c r="AM122" t="s">
        <v>1059</v>
      </c>
      <c r="AN122" t="s">
        <v>584</v>
      </c>
      <c r="AO122" t="s">
        <v>345</v>
      </c>
      <c r="AP122" t="s">
        <v>887</v>
      </c>
      <c r="AQ122" t="s">
        <v>614</v>
      </c>
      <c r="AR122">
        <v>2449.2753623188401</v>
      </c>
      <c r="AS122">
        <v>1507.2463768115899</v>
      </c>
      <c r="AT122" t="s">
        <v>311</v>
      </c>
      <c r="AU122">
        <v>6</v>
      </c>
      <c r="AV122">
        <v>1328.50241545893</v>
      </c>
      <c r="AW122">
        <v>560.38647342995</v>
      </c>
      <c r="AX122" t="s">
        <v>311</v>
      </c>
      <c r="AY122">
        <v>6</v>
      </c>
      <c r="AZ122" t="s">
        <v>1677</v>
      </c>
      <c r="BA122" t="s">
        <v>1679</v>
      </c>
      <c r="BB122">
        <v>3</v>
      </c>
      <c r="BC122" t="s">
        <v>1672</v>
      </c>
      <c r="BD122" t="s">
        <v>1764</v>
      </c>
      <c r="BE122" t="s">
        <v>1881</v>
      </c>
      <c r="BF122">
        <v>0.55931656995486723</v>
      </c>
      <c r="BG122" t="s">
        <v>311</v>
      </c>
      <c r="BH122">
        <v>0.54867827208252684</v>
      </c>
      <c r="BI122" t="s">
        <v>311</v>
      </c>
      <c r="BJ122">
        <v>0.48614388156372851</v>
      </c>
      <c r="BK122" t="s">
        <v>311</v>
      </c>
      <c r="BL122">
        <v>0.48614388156372851</v>
      </c>
      <c r="BM122" t="s">
        <v>311</v>
      </c>
      <c r="BN122">
        <v>30</v>
      </c>
      <c r="BO122">
        <v>30</v>
      </c>
      <c r="BP122" t="s">
        <v>311</v>
      </c>
      <c r="BQ122" t="s">
        <v>311</v>
      </c>
      <c r="BR122" t="s">
        <v>311</v>
      </c>
      <c r="BS122" t="s">
        <v>311</v>
      </c>
      <c r="BT122" t="s">
        <v>311</v>
      </c>
      <c r="BU122" t="s">
        <v>311</v>
      </c>
      <c r="BV122" t="s">
        <v>311</v>
      </c>
      <c r="BW122" t="s">
        <v>311</v>
      </c>
      <c r="BX122" t="s">
        <v>1126</v>
      </c>
      <c r="BY122" t="s">
        <v>1203</v>
      </c>
      <c r="BZ122">
        <v>1.0348221536462554</v>
      </c>
      <c r="CA122">
        <v>27.8</v>
      </c>
      <c r="CB122" t="s">
        <v>1209</v>
      </c>
      <c r="CC122" t="s">
        <v>1209</v>
      </c>
      <c r="CD122" t="s">
        <v>311</v>
      </c>
      <c r="CE122" t="s">
        <v>311</v>
      </c>
      <c r="CF122" t="s">
        <v>311</v>
      </c>
      <c r="CG122" t="s">
        <v>311</v>
      </c>
      <c r="CH122" t="s">
        <v>311</v>
      </c>
      <c r="CI122" t="s">
        <v>311</v>
      </c>
      <c r="CJ122" s="38">
        <v>0.03</v>
      </c>
      <c r="CK122" s="38">
        <v>0.03</v>
      </c>
      <c r="CL122" s="38" t="s">
        <v>311</v>
      </c>
      <c r="CM122" s="38" t="s">
        <v>311</v>
      </c>
      <c r="CN122" s="38" t="s">
        <v>311</v>
      </c>
      <c r="CO122" s="38" t="s">
        <v>311</v>
      </c>
      <c r="CP122" s="38">
        <v>0.03</v>
      </c>
      <c r="CR122" t="s">
        <v>1648</v>
      </c>
    </row>
    <row r="123" spans="1:96">
      <c r="A123">
        <v>122</v>
      </c>
      <c r="B123">
        <v>18</v>
      </c>
      <c r="C123">
        <v>17</v>
      </c>
      <c r="D123" t="s">
        <v>115</v>
      </c>
      <c r="E123" t="s">
        <v>116</v>
      </c>
      <c r="F123" t="s">
        <v>117</v>
      </c>
      <c r="G123">
        <v>2009</v>
      </c>
      <c r="H123" t="s">
        <v>443</v>
      </c>
      <c r="I123" t="s">
        <v>444</v>
      </c>
      <c r="J123">
        <v>-32.65</v>
      </c>
      <c r="K123">
        <v>152.86666700000001</v>
      </c>
      <c r="L123" t="s">
        <v>370</v>
      </c>
      <c r="M123" t="s">
        <v>394</v>
      </c>
      <c r="N123" t="s">
        <v>594</v>
      </c>
      <c r="O123" t="s">
        <v>288</v>
      </c>
      <c r="P123" t="s">
        <v>289</v>
      </c>
      <c r="Q123" t="s">
        <v>420</v>
      </c>
      <c r="R123" t="s">
        <v>658</v>
      </c>
      <c r="S123" t="s">
        <v>1884</v>
      </c>
      <c r="T123" t="s">
        <v>331</v>
      </c>
      <c r="U123">
        <v>3</v>
      </c>
      <c r="V123" t="s">
        <v>551</v>
      </c>
      <c r="W123">
        <v>2005</v>
      </c>
      <c r="X123" t="s">
        <v>292</v>
      </c>
      <c r="Y123" t="s">
        <v>659</v>
      </c>
      <c r="Z123" t="s">
        <v>1095</v>
      </c>
      <c r="AA123" t="s">
        <v>305</v>
      </c>
      <c r="AB123" t="s">
        <v>661</v>
      </c>
      <c r="AC123" t="s">
        <v>662</v>
      </c>
      <c r="AD123" t="s">
        <v>309</v>
      </c>
      <c r="AE123" t="s">
        <v>1646</v>
      </c>
      <c r="AF123" t="s">
        <v>342</v>
      </c>
      <c r="AH123" t="s">
        <v>343</v>
      </c>
      <c r="AI123" t="s">
        <v>1647</v>
      </c>
      <c r="AJ123" t="s">
        <v>792</v>
      </c>
      <c r="AK123" t="s">
        <v>1655</v>
      </c>
      <c r="AL123" t="s">
        <v>357</v>
      </c>
      <c r="AM123" t="s">
        <v>1059</v>
      </c>
      <c r="AN123" t="s">
        <v>584</v>
      </c>
      <c r="AO123" t="s">
        <v>345</v>
      </c>
      <c r="AP123" t="s">
        <v>887</v>
      </c>
      <c r="AQ123" t="s">
        <v>614</v>
      </c>
      <c r="AR123">
        <v>2236.7149758454102</v>
      </c>
      <c r="AS123">
        <v>1140.0966183574797</v>
      </c>
      <c r="AT123" t="s">
        <v>311</v>
      </c>
      <c r="AU123">
        <v>6</v>
      </c>
      <c r="AV123">
        <v>690.82125603864699</v>
      </c>
      <c r="AW123">
        <v>289.85507246376801</v>
      </c>
      <c r="AX123" t="s">
        <v>311</v>
      </c>
      <c r="AY123">
        <v>6</v>
      </c>
      <c r="AZ123" t="s">
        <v>1677</v>
      </c>
      <c r="BA123" t="s">
        <v>1679</v>
      </c>
      <c r="BB123">
        <v>6</v>
      </c>
      <c r="BC123" t="s">
        <v>1672</v>
      </c>
      <c r="BD123" t="s">
        <v>1763</v>
      </c>
      <c r="BE123" t="s">
        <v>1881</v>
      </c>
      <c r="BF123">
        <v>0.55931656995486723</v>
      </c>
      <c r="BG123" t="s">
        <v>311</v>
      </c>
      <c r="BH123">
        <v>0.54867827208252684</v>
      </c>
      <c r="BI123" t="s">
        <v>311</v>
      </c>
      <c r="BJ123">
        <v>0.48614388156372851</v>
      </c>
      <c r="BK123" t="s">
        <v>311</v>
      </c>
      <c r="BL123">
        <v>0.48614388156372851</v>
      </c>
      <c r="BM123" t="s">
        <v>311</v>
      </c>
      <c r="BN123">
        <v>30</v>
      </c>
      <c r="BO123">
        <v>30</v>
      </c>
      <c r="BP123" t="s">
        <v>311</v>
      </c>
      <c r="BQ123" t="s">
        <v>311</v>
      </c>
      <c r="BR123" t="s">
        <v>311</v>
      </c>
      <c r="BS123" t="s">
        <v>311</v>
      </c>
      <c r="BT123" t="s">
        <v>311</v>
      </c>
      <c r="BU123" t="s">
        <v>311</v>
      </c>
      <c r="BV123" t="s">
        <v>311</v>
      </c>
      <c r="BW123" t="s">
        <v>311</v>
      </c>
      <c r="BX123" t="s">
        <v>1126</v>
      </c>
      <c r="BY123" t="s">
        <v>1203</v>
      </c>
      <c r="BZ123">
        <v>1.0348221536462554</v>
      </c>
      <c r="CA123">
        <v>27.8</v>
      </c>
      <c r="CB123" t="s">
        <v>1209</v>
      </c>
      <c r="CC123" t="s">
        <v>1209</v>
      </c>
      <c r="CD123" t="s">
        <v>311</v>
      </c>
      <c r="CE123" t="s">
        <v>311</v>
      </c>
      <c r="CF123" t="s">
        <v>311</v>
      </c>
      <c r="CG123" t="s">
        <v>311</v>
      </c>
      <c r="CH123" t="s">
        <v>311</v>
      </c>
      <c r="CI123" t="s">
        <v>311</v>
      </c>
      <c r="CJ123" s="38">
        <v>0.03</v>
      </c>
      <c r="CK123" s="38">
        <v>0.03</v>
      </c>
      <c r="CL123" s="38" t="s">
        <v>311</v>
      </c>
      <c r="CM123" s="38" t="s">
        <v>311</v>
      </c>
      <c r="CN123" s="38" t="s">
        <v>311</v>
      </c>
      <c r="CO123" s="38" t="s">
        <v>311</v>
      </c>
      <c r="CP123" s="38">
        <v>0.03</v>
      </c>
      <c r="CR123" t="s">
        <v>1654</v>
      </c>
    </row>
    <row r="124" spans="1:96">
      <c r="A124">
        <v>123</v>
      </c>
      <c r="B124">
        <v>19</v>
      </c>
      <c r="C124">
        <v>1</v>
      </c>
      <c r="D124" t="s">
        <v>120</v>
      </c>
      <c r="E124" t="s">
        <v>121</v>
      </c>
      <c r="F124" t="s">
        <v>117</v>
      </c>
      <c r="G124">
        <v>2009</v>
      </c>
      <c r="H124" t="s">
        <v>1308</v>
      </c>
      <c r="I124" t="s">
        <v>1309</v>
      </c>
      <c r="J124">
        <v>38.318167000000003</v>
      </c>
      <c r="K124">
        <v>-123.069833</v>
      </c>
      <c r="L124" t="s">
        <v>361</v>
      </c>
      <c r="M124" t="s">
        <v>395</v>
      </c>
      <c r="N124" t="s">
        <v>531</v>
      </c>
      <c r="O124" t="s">
        <v>288</v>
      </c>
      <c r="P124" t="s">
        <v>693</v>
      </c>
      <c r="Q124" t="s">
        <v>333</v>
      </c>
      <c r="R124" t="s">
        <v>669</v>
      </c>
      <c r="S124" t="s">
        <v>1131</v>
      </c>
      <c r="T124" t="s">
        <v>331</v>
      </c>
      <c r="U124">
        <v>1</v>
      </c>
      <c r="V124" t="s">
        <v>535</v>
      </c>
      <c r="W124" t="s">
        <v>668</v>
      </c>
      <c r="X124" t="s">
        <v>292</v>
      </c>
      <c r="Y124" t="s">
        <v>536</v>
      </c>
      <c r="Z124" t="s">
        <v>537</v>
      </c>
      <c r="AA124" t="s">
        <v>538</v>
      </c>
      <c r="AB124" t="s">
        <v>539</v>
      </c>
      <c r="AC124" t="s">
        <v>673</v>
      </c>
      <c r="AD124" t="s">
        <v>292</v>
      </c>
      <c r="AE124" t="s">
        <v>1075</v>
      </c>
      <c r="AF124" t="s">
        <v>567</v>
      </c>
      <c r="AG124" t="s">
        <v>1901</v>
      </c>
      <c r="AH124" t="s">
        <v>591</v>
      </c>
      <c r="AI124" t="s">
        <v>1076</v>
      </c>
      <c r="AJ124" t="s">
        <v>1077</v>
      </c>
      <c r="AK124" t="s">
        <v>700</v>
      </c>
      <c r="AL124" t="s">
        <v>357</v>
      </c>
      <c r="AM124" t="s">
        <v>1059</v>
      </c>
      <c r="AN124" t="s">
        <v>584</v>
      </c>
      <c r="AO124" t="s">
        <v>948</v>
      </c>
      <c r="AP124" t="s">
        <v>887</v>
      </c>
      <c r="AQ124" t="s">
        <v>887</v>
      </c>
      <c r="AR124">
        <v>12.435897435897401</v>
      </c>
      <c r="AS124">
        <v>2.8205128205127998</v>
      </c>
      <c r="AT124" t="s">
        <v>311</v>
      </c>
      <c r="AU124">
        <v>30</v>
      </c>
      <c r="AV124" s="6">
        <v>18.3333333333333</v>
      </c>
      <c r="AW124">
        <v>2.6923076923077005</v>
      </c>
      <c r="AX124" t="s">
        <v>311</v>
      </c>
      <c r="AY124">
        <v>30</v>
      </c>
      <c r="AZ124" t="s">
        <v>1677</v>
      </c>
      <c r="BA124" t="s">
        <v>1680</v>
      </c>
      <c r="BB124">
        <v>0</v>
      </c>
      <c r="BC124" t="s">
        <v>1672</v>
      </c>
      <c r="BD124" t="s">
        <v>311</v>
      </c>
      <c r="BE124" t="s">
        <v>1880</v>
      </c>
      <c r="BF124">
        <v>1.2729113924050599</v>
      </c>
      <c r="BG124">
        <v>3.0379746835440091E-2</v>
      </c>
      <c r="BH124">
        <v>8.8101265822784894E-2</v>
      </c>
      <c r="BI124">
        <v>1.8227848101265112E-2</v>
      </c>
      <c r="BJ124">
        <v>13.07</v>
      </c>
      <c r="BK124">
        <v>2.2599999999999998</v>
      </c>
      <c r="BL124">
        <v>13.07</v>
      </c>
      <c r="BM124">
        <v>2.2599999999999998</v>
      </c>
      <c r="BN124">
        <v>12</v>
      </c>
      <c r="BO124">
        <v>12</v>
      </c>
      <c r="BP124" t="s">
        <v>311</v>
      </c>
      <c r="BQ124" t="s">
        <v>311</v>
      </c>
      <c r="BR124" t="s">
        <v>311</v>
      </c>
      <c r="BS124" t="s">
        <v>311</v>
      </c>
      <c r="BT124" t="s">
        <v>311</v>
      </c>
      <c r="BU124" t="s">
        <v>311</v>
      </c>
      <c r="BV124" t="s">
        <v>311</v>
      </c>
      <c r="BW124" t="s">
        <v>311</v>
      </c>
      <c r="BX124" t="s">
        <v>1126</v>
      </c>
      <c r="BY124" t="s">
        <v>1203</v>
      </c>
      <c r="BZ124">
        <v>13.15</v>
      </c>
      <c r="CA124">
        <v>12</v>
      </c>
      <c r="CB124" t="s">
        <v>1210</v>
      </c>
      <c r="CC124" t="s">
        <v>1209</v>
      </c>
      <c r="CD124" t="s">
        <v>1311</v>
      </c>
      <c r="CE124" t="s">
        <v>1312</v>
      </c>
      <c r="CF124">
        <v>0</v>
      </c>
      <c r="CG124" t="s">
        <v>311</v>
      </c>
      <c r="CH124" t="s">
        <v>311</v>
      </c>
      <c r="CI124" t="s">
        <v>311</v>
      </c>
      <c r="CJ124" s="38" t="s">
        <v>311</v>
      </c>
      <c r="CK124" s="38" t="s">
        <v>311</v>
      </c>
      <c r="CL124" s="38" t="s">
        <v>311</v>
      </c>
      <c r="CM124" s="38" t="s">
        <v>311</v>
      </c>
      <c r="CN124" s="38" t="s">
        <v>311</v>
      </c>
      <c r="CO124" s="38" t="s">
        <v>311</v>
      </c>
      <c r="CP124" s="38" t="s">
        <v>311</v>
      </c>
      <c r="CQ124" t="s">
        <v>1710</v>
      </c>
      <c r="CR124" t="s">
        <v>1609</v>
      </c>
    </row>
    <row r="125" spans="1:96">
      <c r="A125">
        <v>124</v>
      </c>
      <c r="B125">
        <v>19</v>
      </c>
      <c r="C125">
        <v>2</v>
      </c>
      <c r="D125" t="s">
        <v>120</v>
      </c>
      <c r="E125" t="s">
        <v>121</v>
      </c>
      <c r="F125" t="s">
        <v>117</v>
      </c>
      <c r="G125">
        <v>2009</v>
      </c>
      <c r="H125" t="s">
        <v>1308</v>
      </c>
      <c r="I125" t="s">
        <v>1309</v>
      </c>
      <c r="J125">
        <v>38.318167000000003</v>
      </c>
      <c r="K125">
        <v>-123.069833</v>
      </c>
      <c r="L125" t="s">
        <v>361</v>
      </c>
      <c r="M125" t="s">
        <v>395</v>
      </c>
      <c r="N125" t="s">
        <v>531</v>
      </c>
      <c r="O125" t="s">
        <v>288</v>
      </c>
      <c r="P125" t="s">
        <v>693</v>
      </c>
      <c r="Q125" t="s">
        <v>333</v>
      </c>
      <c r="R125" t="s">
        <v>669</v>
      </c>
      <c r="S125" t="s">
        <v>1131</v>
      </c>
      <c r="T125" t="s">
        <v>331</v>
      </c>
      <c r="U125">
        <v>1</v>
      </c>
      <c r="V125" t="s">
        <v>535</v>
      </c>
      <c r="W125" t="s">
        <v>668</v>
      </c>
      <c r="X125" t="s">
        <v>292</v>
      </c>
      <c r="Y125" t="s">
        <v>536</v>
      </c>
      <c r="Z125" t="s">
        <v>537</v>
      </c>
      <c r="AA125" t="s">
        <v>538</v>
      </c>
      <c r="AB125" t="s">
        <v>539</v>
      </c>
      <c r="AC125" t="s">
        <v>673</v>
      </c>
      <c r="AD125" t="s">
        <v>292</v>
      </c>
      <c r="AE125" t="s">
        <v>1080</v>
      </c>
      <c r="AF125" t="s">
        <v>567</v>
      </c>
      <c r="AG125" t="s">
        <v>1901</v>
      </c>
      <c r="AH125" t="s">
        <v>591</v>
      </c>
      <c r="AI125" t="s">
        <v>1078</v>
      </c>
      <c r="AJ125" t="s">
        <v>1079</v>
      </c>
      <c r="AK125" t="s">
        <v>700</v>
      </c>
      <c r="AL125" t="s">
        <v>357</v>
      </c>
      <c r="AM125" t="s">
        <v>1059</v>
      </c>
      <c r="AN125" t="s">
        <v>584</v>
      </c>
      <c r="AO125" t="s">
        <v>948</v>
      </c>
      <c r="AP125" t="s">
        <v>887</v>
      </c>
      <c r="AQ125" t="s">
        <v>887</v>
      </c>
      <c r="AR125">
        <v>25.128205128205099</v>
      </c>
      <c r="AS125">
        <v>3.2051282051282008</v>
      </c>
      <c r="AT125" t="s">
        <v>311</v>
      </c>
      <c r="AU125">
        <v>30</v>
      </c>
      <c r="AV125" s="6">
        <v>39.102564102564102</v>
      </c>
      <c r="AW125">
        <v>4.4871794871793966</v>
      </c>
      <c r="AX125" t="s">
        <v>311</v>
      </c>
      <c r="AY125">
        <v>30</v>
      </c>
      <c r="AZ125" t="s">
        <v>1677</v>
      </c>
      <c r="BA125" t="s">
        <v>1680</v>
      </c>
      <c r="BB125">
        <v>0</v>
      </c>
      <c r="BC125" t="s">
        <v>1672</v>
      </c>
      <c r="BD125" t="s">
        <v>311</v>
      </c>
      <c r="BE125" t="s">
        <v>1880</v>
      </c>
      <c r="BF125">
        <v>1.2729113924050599</v>
      </c>
      <c r="BG125">
        <v>3.0379746835440091E-2</v>
      </c>
      <c r="BH125">
        <v>8.8101265822784894E-2</v>
      </c>
      <c r="BI125">
        <v>1.8227848101265112E-2</v>
      </c>
      <c r="BJ125">
        <v>13.07</v>
      </c>
      <c r="BK125">
        <v>2.2599999999999998</v>
      </c>
      <c r="BL125">
        <v>13.07</v>
      </c>
      <c r="BM125">
        <v>2.2599999999999998</v>
      </c>
      <c r="BN125">
        <v>12</v>
      </c>
      <c r="BO125">
        <v>12</v>
      </c>
      <c r="BP125" t="s">
        <v>311</v>
      </c>
      <c r="BQ125" t="s">
        <v>311</v>
      </c>
      <c r="BR125" t="s">
        <v>311</v>
      </c>
      <c r="BS125" t="s">
        <v>311</v>
      </c>
      <c r="BT125" t="s">
        <v>311</v>
      </c>
      <c r="BU125" t="s">
        <v>311</v>
      </c>
      <c r="BV125" t="s">
        <v>311</v>
      </c>
      <c r="BW125" t="s">
        <v>311</v>
      </c>
      <c r="BX125" t="s">
        <v>1126</v>
      </c>
      <c r="BY125" t="s">
        <v>1203</v>
      </c>
      <c r="BZ125">
        <v>13.15</v>
      </c>
      <c r="CA125">
        <v>12</v>
      </c>
      <c r="CB125" t="s">
        <v>1210</v>
      </c>
      <c r="CC125" t="s">
        <v>1209</v>
      </c>
      <c r="CD125" t="s">
        <v>1311</v>
      </c>
      <c r="CE125" t="s">
        <v>1312</v>
      </c>
      <c r="CF125">
        <v>0</v>
      </c>
      <c r="CG125" t="s">
        <v>311</v>
      </c>
      <c r="CH125" t="s">
        <v>311</v>
      </c>
      <c r="CI125" t="s">
        <v>311</v>
      </c>
      <c r="CJ125" s="38" t="s">
        <v>311</v>
      </c>
      <c r="CK125" s="38" t="s">
        <v>311</v>
      </c>
      <c r="CL125" s="38" t="s">
        <v>311</v>
      </c>
      <c r="CM125" s="38" t="s">
        <v>311</v>
      </c>
      <c r="CN125" s="38" t="s">
        <v>311</v>
      </c>
      <c r="CO125" s="38" t="s">
        <v>311</v>
      </c>
      <c r="CP125" s="38" t="s">
        <v>311</v>
      </c>
      <c r="CQ125" t="s">
        <v>1710</v>
      </c>
      <c r="CR125" t="s">
        <v>1610</v>
      </c>
    </row>
    <row r="126" spans="1:96">
      <c r="A126">
        <v>125</v>
      </c>
      <c r="B126">
        <v>19</v>
      </c>
      <c r="C126">
        <v>3</v>
      </c>
      <c r="D126" t="s">
        <v>120</v>
      </c>
      <c r="E126" t="s">
        <v>121</v>
      </c>
      <c r="F126" t="s">
        <v>117</v>
      </c>
      <c r="G126">
        <v>2009</v>
      </c>
      <c r="H126" t="s">
        <v>1308</v>
      </c>
      <c r="I126" t="s">
        <v>1309</v>
      </c>
      <c r="J126">
        <v>38.318167000000003</v>
      </c>
      <c r="K126">
        <v>-123.069833</v>
      </c>
      <c r="L126" t="s">
        <v>361</v>
      </c>
      <c r="M126" t="s">
        <v>395</v>
      </c>
      <c r="N126" t="s">
        <v>531</v>
      </c>
      <c r="O126" t="s">
        <v>288</v>
      </c>
      <c r="P126" t="s">
        <v>693</v>
      </c>
      <c r="Q126" t="s">
        <v>333</v>
      </c>
      <c r="R126" t="s">
        <v>669</v>
      </c>
      <c r="S126" t="s">
        <v>1131</v>
      </c>
      <c r="T126" t="s">
        <v>331</v>
      </c>
      <c r="U126">
        <v>1</v>
      </c>
      <c r="V126" t="s">
        <v>535</v>
      </c>
      <c r="W126" t="s">
        <v>668</v>
      </c>
      <c r="X126" t="s">
        <v>292</v>
      </c>
      <c r="Y126" t="s">
        <v>536</v>
      </c>
      <c r="Z126" t="s">
        <v>537</v>
      </c>
      <c r="AA126" t="s">
        <v>538</v>
      </c>
      <c r="AB126" t="s">
        <v>539</v>
      </c>
      <c r="AC126" t="s">
        <v>673</v>
      </c>
      <c r="AD126" t="s">
        <v>292</v>
      </c>
      <c r="AE126" t="s">
        <v>1083</v>
      </c>
      <c r="AF126" t="s">
        <v>567</v>
      </c>
      <c r="AG126" t="s">
        <v>1901</v>
      </c>
      <c r="AH126" t="s">
        <v>591</v>
      </c>
      <c r="AI126" t="s">
        <v>1081</v>
      </c>
      <c r="AJ126" t="s">
        <v>1082</v>
      </c>
      <c r="AK126" t="s">
        <v>700</v>
      </c>
      <c r="AL126" t="s">
        <v>357</v>
      </c>
      <c r="AM126" t="s">
        <v>1059</v>
      </c>
      <c r="AN126" t="s">
        <v>584</v>
      </c>
      <c r="AO126" t="s">
        <v>948</v>
      </c>
      <c r="AP126" t="s">
        <v>887</v>
      </c>
      <c r="AQ126" t="s">
        <v>887</v>
      </c>
      <c r="AR126">
        <v>6.4102564102564097</v>
      </c>
      <c r="AS126">
        <v>1.6666666666666705</v>
      </c>
      <c r="AT126" t="s">
        <v>311</v>
      </c>
      <c r="AU126">
        <v>30</v>
      </c>
      <c r="AV126" s="6">
        <v>19.743589743589698</v>
      </c>
      <c r="AW126">
        <v>3.5897435897436019</v>
      </c>
      <c r="AX126" t="s">
        <v>311</v>
      </c>
      <c r="AY126">
        <v>30</v>
      </c>
      <c r="AZ126" t="s">
        <v>1677</v>
      </c>
      <c r="BA126" t="s">
        <v>1680</v>
      </c>
      <c r="BB126">
        <v>0</v>
      </c>
      <c r="BC126" t="s">
        <v>1672</v>
      </c>
      <c r="BD126" t="s">
        <v>311</v>
      </c>
      <c r="BE126" t="s">
        <v>1880</v>
      </c>
      <c r="BF126">
        <v>1.2729113924050599</v>
      </c>
      <c r="BG126">
        <v>3.0379746835440091E-2</v>
      </c>
      <c r="BH126">
        <v>8.8101265822784894E-2</v>
      </c>
      <c r="BI126">
        <v>1.8227848101265112E-2</v>
      </c>
      <c r="BJ126">
        <v>13.07</v>
      </c>
      <c r="BK126">
        <v>2.2599999999999998</v>
      </c>
      <c r="BL126">
        <v>13.07</v>
      </c>
      <c r="BM126">
        <v>2.2599999999999998</v>
      </c>
      <c r="BN126">
        <v>12</v>
      </c>
      <c r="BO126">
        <v>12</v>
      </c>
      <c r="BP126" t="s">
        <v>311</v>
      </c>
      <c r="BQ126" t="s">
        <v>311</v>
      </c>
      <c r="BR126" t="s">
        <v>311</v>
      </c>
      <c r="BS126" t="s">
        <v>311</v>
      </c>
      <c r="BT126" t="s">
        <v>311</v>
      </c>
      <c r="BU126" t="s">
        <v>311</v>
      </c>
      <c r="BV126" t="s">
        <v>311</v>
      </c>
      <c r="BW126" t="s">
        <v>311</v>
      </c>
      <c r="BX126" t="s">
        <v>1126</v>
      </c>
      <c r="BY126" t="s">
        <v>1203</v>
      </c>
      <c r="BZ126">
        <v>13.15</v>
      </c>
      <c r="CA126">
        <v>12</v>
      </c>
      <c r="CB126" t="s">
        <v>1210</v>
      </c>
      <c r="CC126" t="s">
        <v>1209</v>
      </c>
      <c r="CD126" t="s">
        <v>1311</v>
      </c>
      <c r="CE126" t="s">
        <v>1312</v>
      </c>
      <c r="CF126">
        <v>0</v>
      </c>
      <c r="CG126" t="s">
        <v>311</v>
      </c>
      <c r="CH126" t="s">
        <v>311</v>
      </c>
      <c r="CI126" t="s">
        <v>311</v>
      </c>
      <c r="CJ126" s="38" t="s">
        <v>311</v>
      </c>
      <c r="CK126" s="38" t="s">
        <v>311</v>
      </c>
      <c r="CL126" s="38" t="s">
        <v>311</v>
      </c>
      <c r="CM126" s="38" t="s">
        <v>311</v>
      </c>
      <c r="CN126" s="38" t="s">
        <v>311</v>
      </c>
      <c r="CO126" s="38" t="s">
        <v>311</v>
      </c>
      <c r="CP126" s="38" t="s">
        <v>311</v>
      </c>
      <c r="CQ126" t="s">
        <v>1710</v>
      </c>
      <c r="CR126" t="s">
        <v>1610</v>
      </c>
    </row>
    <row r="127" spans="1:96">
      <c r="A127">
        <v>126</v>
      </c>
      <c r="B127">
        <v>19</v>
      </c>
      <c r="C127">
        <v>4</v>
      </c>
      <c r="D127" t="s">
        <v>120</v>
      </c>
      <c r="E127" t="s">
        <v>121</v>
      </c>
      <c r="F127" t="s">
        <v>117</v>
      </c>
      <c r="G127">
        <v>2009</v>
      </c>
      <c r="H127" t="s">
        <v>1308</v>
      </c>
      <c r="I127" t="s">
        <v>1309</v>
      </c>
      <c r="J127">
        <v>38.318167000000003</v>
      </c>
      <c r="K127">
        <v>-123.069833</v>
      </c>
      <c r="L127" t="s">
        <v>361</v>
      </c>
      <c r="M127" t="s">
        <v>395</v>
      </c>
      <c r="N127" t="s">
        <v>531</v>
      </c>
      <c r="O127" t="s">
        <v>288</v>
      </c>
      <c r="P127" t="s">
        <v>693</v>
      </c>
      <c r="Q127" t="s">
        <v>333</v>
      </c>
      <c r="R127" t="s">
        <v>669</v>
      </c>
      <c r="S127" t="s">
        <v>1131</v>
      </c>
      <c r="T127" t="s">
        <v>331</v>
      </c>
      <c r="U127">
        <v>1</v>
      </c>
      <c r="V127" t="s">
        <v>535</v>
      </c>
      <c r="W127" t="s">
        <v>668</v>
      </c>
      <c r="X127" t="s">
        <v>292</v>
      </c>
      <c r="Y127" t="s">
        <v>536</v>
      </c>
      <c r="Z127" t="s">
        <v>537</v>
      </c>
      <c r="AA127" t="s">
        <v>538</v>
      </c>
      <c r="AB127" t="s">
        <v>539</v>
      </c>
      <c r="AC127" t="s">
        <v>673</v>
      </c>
      <c r="AD127" t="s">
        <v>292</v>
      </c>
      <c r="AE127" t="s">
        <v>672</v>
      </c>
      <c r="AF127" t="s">
        <v>567</v>
      </c>
      <c r="AG127" t="s">
        <v>1901</v>
      </c>
      <c r="AH127" t="s">
        <v>591</v>
      </c>
      <c r="AI127" t="s">
        <v>670</v>
      </c>
      <c r="AJ127" t="s">
        <v>671</v>
      </c>
      <c r="AK127" t="s">
        <v>700</v>
      </c>
      <c r="AL127" t="s">
        <v>357</v>
      </c>
      <c r="AM127" t="s">
        <v>1059</v>
      </c>
      <c r="AN127" t="s">
        <v>584</v>
      </c>
      <c r="AO127" t="s">
        <v>948</v>
      </c>
      <c r="AP127" t="s">
        <v>887</v>
      </c>
      <c r="AQ127" t="s">
        <v>887</v>
      </c>
      <c r="AR127">
        <v>39.358974358974301</v>
      </c>
      <c r="AS127">
        <v>4.8717948717948971</v>
      </c>
      <c r="AT127" t="s">
        <v>311</v>
      </c>
      <c r="AU127">
        <v>30</v>
      </c>
      <c r="AV127" s="6">
        <v>3.84615384615384</v>
      </c>
      <c r="AW127">
        <v>0.89743589743590979</v>
      </c>
      <c r="AX127" t="s">
        <v>311</v>
      </c>
      <c r="AY127">
        <v>30</v>
      </c>
      <c r="AZ127" t="s">
        <v>1677</v>
      </c>
      <c r="BA127" t="s">
        <v>1680</v>
      </c>
      <c r="BB127">
        <v>0</v>
      </c>
      <c r="BC127" t="s">
        <v>1672</v>
      </c>
      <c r="BD127" t="s">
        <v>311</v>
      </c>
      <c r="BE127" t="s">
        <v>1880</v>
      </c>
      <c r="BF127">
        <v>1.2729113924050599</v>
      </c>
      <c r="BG127">
        <v>3.0379746835440091E-2</v>
      </c>
      <c r="BH127">
        <v>8.8101265822784894E-2</v>
      </c>
      <c r="BI127">
        <v>1.8227848101265112E-2</v>
      </c>
      <c r="BJ127">
        <v>13.07</v>
      </c>
      <c r="BK127">
        <v>2.2599999999999998</v>
      </c>
      <c r="BL127">
        <v>13.07</v>
      </c>
      <c r="BM127">
        <v>2.2599999999999998</v>
      </c>
      <c r="BN127">
        <v>12</v>
      </c>
      <c r="BO127">
        <v>12</v>
      </c>
      <c r="BP127" t="s">
        <v>311</v>
      </c>
      <c r="BQ127" t="s">
        <v>311</v>
      </c>
      <c r="BR127" t="s">
        <v>311</v>
      </c>
      <c r="BS127" t="s">
        <v>311</v>
      </c>
      <c r="BT127" t="s">
        <v>311</v>
      </c>
      <c r="BU127" t="s">
        <v>311</v>
      </c>
      <c r="BV127" t="s">
        <v>311</v>
      </c>
      <c r="BW127" t="s">
        <v>311</v>
      </c>
      <c r="BX127" t="s">
        <v>1126</v>
      </c>
      <c r="BY127" t="s">
        <v>1203</v>
      </c>
      <c r="BZ127">
        <v>13.15</v>
      </c>
      <c r="CA127">
        <v>12</v>
      </c>
      <c r="CB127" t="s">
        <v>1210</v>
      </c>
      <c r="CC127" t="s">
        <v>1209</v>
      </c>
      <c r="CD127" t="s">
        <v>1311</v>
      </c>
      <c r="CE127" t="s">
        <v>1312</v>
      </c>
      <c r="CF127">
        <v>0</v>
      </c>
      <c r="CG127" t="s">
        <v>311</v>
      </c>
      <c r="CH127" t="s">
        <v>311</v>
      </c>
      <c r="CI127" t="s">
        <v>311</v>
      </c>
      <c r="CJ127" s="38" t="s">
        <v>311</v>
      </c>
      <c r="CK127" s="38" t="s">
        <v>311</v>
      </c>
      <c r="CL127" s="38" t="s">
        <v>311</v>
      </c>
      <c r="CM127" s="38" t="s">
        <v>311</v>
      </c>
      <c r="CN127" s="38" t="s">
        <v>311</v>
      </c>
      <c r="CO127" s="38" t="s">
        <v>311</v>
      </c>
      <c r="CP127" s="38" t="s">
        <v>311</v>
      </c>
      <c r="CQ127" t="s">
        <v>1710</v>
      </c>
      <c r="CR127" t="s">
        <v>1610</v>
      </c>
    </row>
    <row r="128" spans="1:96">
      <c r="A128">
        <v>127</v>
      </c>
      <c r="B128">
        <v>19</v>
      </c>
      <c r="C128">
        <v>5</v>
      </c>
      <c r="D128" t="s">
        <v>120</v>
      </c>
      <c r="E128" t="s">
        <v>121</v>
      </c>
      <c r="F128" t="s">
        <v>117</v>
      </c>
      <c r="G128">
        <v>2009</v>
      </c>
      <c r="H128" t="s">
        <v>1308</v>
      </c>
      <c r="I128" t="s">
        <v>1309</v>
      </c>
      <c r="J128">
        <v>38.318167000000003</v>
      </c>
      <c r="K128">
        <v>-123.069833</v>
      </c>
      <c r="L128" t="s">
        <v>361</v>
      </c>
      <c r="M128" t="s">
        <v>395</v>
      </c>
      <c r="N128" t="s">
        <v>531</v>
      </c>
      <c r="O128" t="s">
        <v>288</v>
      </c>
      <c r="P128" t="s">
        <v>693</v>
      </c>
      <c r="Q128" t="s">
        <v>333</v>
      </c>
      <c r="R128" t="s">
        <v>669</v>
      </c>
      <c r="S128" t="s">
        <v>1131</v>
      </c>
      <c r="T128" t="s">
        <v>331</v>
      </c>
      <c r="U128">
        <v>1</v>
      </c>
      <c r="V128" t="s">
        <v>535</v>
      </c>
      <c r="W128" t="s">
        <v>668</v>
      </c>
      <c r="X128" t="s">
        <v>292</v>
      </c>
      <c r="Y128" t="s">
        <v>536</v>
      </c>
      <c r="Z128" t="s">
        <v>537</v>
      </c>
      <c r="AA128" t="s">
        <v>538</v>
      </c>
      <c r="AB128" t="s">
        <v>539</v>
      </c>
      <c r="AC128" t="s">
        <v>673</v>
      </c>
      <c r="AD128" t="s">
        <v>292</v>
      </c>
      <c r="AE128" t="s">
        <v>672</v>
      </c>
      <c r="AF128" t="s">
        <v>567</v>
      </c>
      <c r="AG128" t="s">
        <v>1901</v>
      </c>
      <c r="AH128" t="s">
        <v>591</v>
      </c>
      <c r="AI128" t="s">
        <v>670</v>
      </c>
      <c r="AJ128" t="s">
        <v>671</v>
      </c>
      <c r="AK128" t="s">
        <v>674</v>
      </c>
      <c r="AL128" t="s">
        <v>357</v>
      </c>
      <c r="AM128" t="s">
        <v>1059</v>
      </c>
      <c r="AN128" t="s">
        <v>584</v>
      </c>
      <c r="AO128" t="s">
        <v>870</v>
      </c>
      <c r="AP128" t="s">
        <v>614</v>
      </c>
      <c r="AQ128" t="s">
        <v>614</v>
      </c>
      <c r="AR128">
        <v>25.243902439024399</v>
      </c>
      <c r="AS128">
        <v>5.5964848319921074</v>
      </c>
      <c r="AT128" t="s">
        <v>311</v>
      </c>
      <c r="AU128">
        <v>26</v>
      </c>
      <c r="AV128" s="6">
        <v>7.1951219499999999</v>
      </c>
      <c r="AW128" s="6">
        <v>3.44282786</v>
      </c>
      <c r="AX128" t="s">
        <v>311</v>
      </c>
      <c r="AY128">
        <v>23</v>
      </c>
      <c r="AZ128" t="s">
        <v>1055</v>
      </c>
      <c r="BA128" t="s">
        <v>1679</v>
      </c>
      <c r="BB128">
        <v>15</v>
      </c>
      <c r="BC128" t="s">
        <v>1672</v>
      </c>
      <c r="BD128" t="s">
        <v>311</v>
      </c>
      <c r="BE128" t="s">
        <v>1880</v>
      </c>
      <c r="BF128">
        <v>1.2729113924050599</v>
      </c>
      <c r="BG128">
        <v>3.0379746835440091E-2</v>
      </c>
      <c r="BH128">
        <v>8.8101265822784894E-2</v>
      </c>
      <c r="BI128">
        <v>1.8227848101265112E-2</v>
      </c>
      <c r="BJ128">
        <v>13.07</v>
      </c>
      <c r="BK128">
        <v>2.2599999999999998</v>
      </c>
      <c r="BL128">
        <v>13.07</v>
      </c>
      <c r="BM128">
        <v>2.2599999999999998</v>
      </c>
      <c r="BN128">
        <v>12</v>
      </c>
      <c r="BO128">
        <v>12</v>
      </c>
      <c r="BP128" t="s">
        <v>311</v>
      </c>
      <c r="BQ128" t="s">
        <v>311</v>
      </c>
      <c r="BR128" t="s">
        <v>311</v>
      </c>
      <c r="BS128" t="s">
        <v>311</v>
      </c>
      <c r="BT128" t="s">
        <v>311</v>
      </c>
      <c r="BU128" t="s">
        <v>311</v>
      </c>
      <c r="BV128" t="s">
        <v>311</v>
      </c>
      <c r="BW128" t="s">
        <v>311</v>
      </c>
      <c r="BX128" t="s">
        <v>1126</v>
      </c>
      <c r="BY128" t="s">
        <v>1203</v>
      </c>
      <c r="BZ128">
        <v>13.15</v>
      </c>
      <c r="CA128">
        <v>12</v>
      </c>
      <c r="CB128" t="s">
        <v>1210</v>
      </c>
      <c r="CC128" t="s">
        <v>1209</v>
      </c>
      <c r="CD128" t="s">
        <v>1311</v>
      </c>
      <c r="CE128" t="s">
        <v>1312</v>
      </c>
      <c r="CF128">
        <v>0</v>
      </c>
      <c r="CG128" t="s">
        <v>311</v>
      </c>
      <c r="CH128" t="s">
        <v>311</v>
      </c>
      <c r="CI128" t="s">
        <v>311</v>
      </c>
      <c r="CJ128" s="38" t="s">
        <v>311</v>
      </c>
      <c r="CK128" s="38" t="s">
        <v>311</v>
      </c>
      <c r="CL128" s="38" t="s">
        <v>311</v>
      </c>
      <c r="CM128" s="38" t="s">
        <v>311</v>
      </c>
      <c r="CN128" s="38" t="s">
        <v>311</v>
      </c>
      <c r="CO128" s="38" t="s">
        <v>311</v>
      </c>
      <c r="CP128" s="38" t="s">
        <v>311</v>
      </c>
      <c r="CQ128" t="s">
        <v>1711</v>
      </c>
      <c r="CR128" t="s">
        <v>1608</v>
      </c>
    </row>
    <row r="129" spans="1:96" s="30" customFormat="1">
      <c r="A129">
        <v>128</v>
      </c>
      <c r="B129" s="30">
        <v>19</v>
      </c>
      <c r="C129" s="30">
        <v>6</v>
      </c>
      <c r="D129" s="30" t="s">
        <v>120</v>
      </c>
      <c r="E129" s="30" t="s">
        <v>121</v>
      </c>
      <c r="F129" s="30" t="s">
        <v>117</v>
      </c>
      <c r="G129" s="30">
        <v>2009</v>
      </c>
      <c r="H129" s="30" t="s">
        <v>1308</v>
      </c>
      <c r="I129" s="30" t="s">
        <v>1309</v>
      </c>
      <c r="J129" s="30">
        <v>38.318167000000003</v>
      </c>
      <c r="K129" s="30">
        <v>-123.069833</v>
      </c>
      <c r="L129" s="30" t="s">
        <v>361</v>
      </c>
      <c r="M129" s="30" t="s">
        <v>395</v>
      </c>
      <c r="N129" s="30" t="s">
        <v>531</v>
      </c>
      <c r="O129" s="30" t="s">
        <v>288</v>
      </c>
      <c r="P129" s="30" t="s">
        <v>693</v>
      </c>
      <c r="Q129" s="30" t="s">
        <v>333</v>
      </c>
      <c r="R129" s="30" t="s">
        <v>669</v>
      </c>
      <c r="S129" s="30" t="s">
        <v>1131</v>
      </c>
      <c r="T129" s="30" t="s">
        <v>331</v>
      </c>
      <c r="U129" s="30">
        <v>1</v>
      </c>
      <c r="V129" s="30" t="s">
        <v>535</v>
      </c>
      <c r="W129" s="30" t="s">
        <v>668</v>
      </c>
      <c r="X129" s="30" t="s">
        <v>292</v>
      </c>
      <c r="Y129" s="30" t="s">
        <v>536</v>
      </c>
      <c r="Z129" s="30" t="s">
        <v>537</v>
      </c>
      <c r="AA129" s="30" t="s">
        <v>538</v>
      </c>
      <c r="AB129" s="30" t="s">
        <v>539</v>
      </c>
      <c r="AC129" s="30" t="s">
        <v>673</v>
      </c>
      <c r="AD129" s="30" t="s">
        <v>292</v>
      </c>
      <c r="AE129" s="30" t="s">
        <v>672</v>
      </c>
      <c r="AF129" s="30" t="s">
        <v>567</v>
      </c>
      <c r="AG129" s="30" t="s">
        <v>1901</v>
      </c>
      <c r="AH129" s="30" t="s">
        <v>591</v>
      </c>
      <c r="AI129" s="30" t="s">
        <v>670</v>
      </c>
      <c r="AJ129" s="30" t="s">
        <v>671</v>
      </c>
      <c r="AK129" s="30" t="s">
        <v>674</v>
      </c>
      <c r="AL129" s="30" t="s">
        <v>357</v>
      </c>
      <c r="AM129" s="30" t="s">
        <v>1059</v>
      </c>
      <c r="AN129" s="30" t="s">
        <v>584</v>
      </c>
      <c r="AO129" s="30" t="s">
        <v>870</v>
      </c>
      <c r="AP129" s="30" t="s">
        <v>887</v>
      </c>
      <c r="AQ129" s="30" t="s">
        <v>614</v>
      </c>
      <c r="AR129" s="30">
        <v>49.1860465116279</v>
      </c>
      <c r="AS129" s="30">
        <v>5.5813953488371979</v>
      </c>
      <c r="AT129" s="30" t="s">
        <v>311</v>
      </c>
      <c r="AU129" s="30">
        <v>26</v>
      </c>
      <c r="AV129" s="30">
        <v>29.1279069767441</v>
      </c>
      <c r="AW129" s="30">
        <v>3.139534883720998</v>
      </c>
      <c r="AX129" s="30" t="s">
        <v>311</v>
      </c>
      <c r="AY129" s="30">
        <v>26</v>
      </c>
      <c r="AZ129" s="30" t="s">
        <v>1055</v>
      </c>
      <c r="BA129" s="30" t="s">
        <v>1679</v>
      </c>
      <c r="BB129">
        <v>49</v>
      </c>
      <c r="BC129" s="30" t="s">
        <v>1673</v>
      </c>
      <c r="BD129" s="30" t="s">
        <v>311</v>
      </c>
      <c r="BE129" s="30" t="s">
        <v>1880</v>
      </c>
      <c r="BF129" s="30">
        <v>1.2729113924050599</v>
      </c>
      <c r="BG129" s="30">
        <v>3.0379746835440091E-2</v>
      </c>
      <c r="BH129" s="30">
        <v>8.8101265822784894E-2</v>
      </c>
      <c r="BI129" s="30">
        <v>1.8227848101265112E-2</v>
      </c>
      <c r="BJ129" s="30">
        <v>13.07</v>
      </c>
      <c r="BK129" s="30">
        <v>2.2599999999999998</v>
      </c>
      <c r="BL129" s="30">
        <v>13.07</v>
      </c>
      <c r="BM129" s="30">
        <v>2.2599999999999998</v>
      </c>
      <c r="BN129" s="30">
        <v>12</v>
      </c>
      <c r="BO129" s="30">
        <v>12</v>
      </c>
      <c r="BP129" s="30" t="s">
        <v>311</v>
      </c>
      <c r="BQ129" s="30" t="s">
        <v>311</v>
      </c>
      <c r="BR129" s="30" t="s">
        <v>311</v>
      </c>
      <c r="BS129" s="30" t="s">
        <v>311</v>
      </c>
      <c r="BT129" s="30" t="s">
        <v>311</v>
      </c>
      <c r="BU129" s="30" t="s">
        <v>311</v>
      </c>
      <c r="BV129" s="30" t="s">
        <v>311</v>
      </c>
      <c r="BW129" s="30" t="s">
        <v>311</v>
      </c>
      <c r="BX129" s="30" t="s">
        <v>1126</v>
      </c>
      <c r="BY129" s="30" t="s">
        <v>1203</v>
      </c>
      <c r="BZ129" s="30">
        <v>13.15</v>
      </c>
      <c r="CA129" s="30">
        <v>12</v>
      </c>
      <c r="CB129" s="30" t="s">
        <v>1210</v>
      </c>
      <c r="CC129" s="30" t="s">
        <v>1209</v>
      </c>
      <c r="CD129" s="30" t="s">
        <v>1311</v>
      </c>
      <c r="CE129" s="30" t="s">
        <v>1312</v>
      </c>
      <c r="CF129" s="30">
        <v>0</v>
      </c>
      <c r="CG129" s="30" t="s">
        <v>311</v>
      </c>
      <c r="CH129" s="30" t="s">
        <v>311</v>
      </c>
      <c r="CI129" s="30" t="s">
        <v>311</v>
      </c>
      <c r="CJ129" s="38" t="s">
        <v>311</v>
      </c>
      <c r="CK129" s="38" t="s">
        <v>311</v>
      </c>
      <c r="CL129" s="38" t="s">
        <v>311</v>
      </c>
      <c r="CM129" s="38" t="s">
        <v>311</v>
      </c>
      <c r="CN129" s="38" t="s">
        <v>311</v>
      </c>
      <c r="CO129" s="38" t="s">
        <v>311</v>
      </c>
      <c r="CP129" s="38" t="s">
        <v>311</v>
      </c>
      <c r="CQ129" s="30" t="s">
        <v>1806</v>
      </c>
      <c r="CR129" s="30" t="s">
        <v>1807</v>
      </c>
    </row>
    <row r="130" spans="1:96">
      <c r="A130">
        <v>129</v>
      </c>
      <c r="B130">
        <v>19</v>
      </c>
      <c r="C130">
        <v>7</v>
      </c>
      <c r="D130" t="s">
        <v>120</v>
      </c>
      <c r="E130" t="s">
        <v>121</v>
      </c>
      <c r="F130" t="s">
        <v>117</v>
      </c>
      <c r="G130">
        <v>2009</v>
      </c>
      <c r="H130" t="s">
        <v>1308</v>
      </c>
      <c r="I130" t="s">
        <v>1309</v>
      </c>
      <c r="J130">
        <v>38.318167000000003</v>
      </c>
      <c r="K130">
        <v>-123.069833</v>
      </c>
      <c r="L130" t="s">
        <v>361</v>
      </c>
      <c r="M130" t="s">
        <v>395</v>
      </c>
      <c r="N130" t="s">
        <v>531</v>
      </c>
      <c r="O130" t="s">
        <v>288</v>
      </c>
      <c r="P130" t="s">
        <v>693</v>
      </c>
      <c r="Q130" t="s">
        <v>333</v>
      </c>
      <c r="R130" t="s">
        <v>669</v>
      </c>
      <c r="S130" t="s">
        <v>1131</v>
      </c>
      <c r="T130" t="s">
        <v>331</v>
      </c>
      <c r="U130">
        <v>4</v>
      </c>
      <c r="V130" t="s">
        <v>535</v>
      </c>
      <c r="W130" t="s">
        <v>668</v>
      </c>
      <c r="X130" t="s">
        <v>292</v>
      </c>
      <c r="Y130" t="s">
        <v>536</v>
      </c>
      <c r="Z130" t="s">
        <v>537</v>
      </c>
      <c r="AA130" t="s">
        <v>538</v>
      </c>
      <c r="AB130" t="s">
        <v>539</v>
      </c>
      <c r="AC130" t="s">
        <v>673</v>
      </c>
      <c r="AD130" t="s">
        <v>292</v>
      </c>
      <c r="AE130" t="s">
        <v>672</v>
      </c>
      <c r="AF130" t="s">
        <v>567</v>
      </c>
      <c r="AG130" t="s">
        <v>1901</v>
      </c>
      <c r="AH130" t="s">
        <v>591</v>
      </c>
      <c r="AI130" t="s">
        <v>670</v>
      </c>
      <c r="AJ130" t="s">
        <v>671</v>
      </c>
      <c r="AK130" t="s">
        <v>605</v>
      </c>
      <c r="AL130" t="s">
        <v>357</v>
      </c>
      <c r="AM130" t="s">
        <v>1059</v>
      </c>
      <c r="AN130" t="s">
        <v>584</v>
      </c>
      <c r="AO130" t="s">
        <v>948</v>
      </c>
      <c r="AP130" s="32" t="s">
        <v>537</v>
      </c>
      <c r="AQ130" t="s">
        <v>614</v>
      </c>
      <c r="AR130">
        <v>15.343156186825199</v>
      </c>
      <c r="AS130">
        <v>7.4778573827063024</v>
      </c>
      <c r="AT130" t="s">
        <v>311</v>
      </c>
      <c r="AU130">
        <v>8</v>
      </c>
      <c r="AV130" s="6">
        <v>0.43148858344990099</v>
      </c>
      <c r="AW130">
        <v>4.5007468232290404E-3</v>
      </c>
      <c r="AX130" t="s">
        <v>311</v>
      </c>
      <c r="AY130">
        <v>8</v>
      </c>
      <c r="AZ130" t="s">
        <v>1677</v>
      </c>
      <c r="BA130" t="s">
        <v>1679</v>
      </c>
      <c r="BB130">
        <v>49</v>
      </c>
      <c r="BC130" t="s">
        <v>1672</v>
      </c>
      <c r="BD130" t="s">
        <v>311</v>
      </c>
      <c r="BE130" t="s">
        <v>1880</v>
      </c>
      <c r="BF130">
        <v>1.2729113924050599</v>
      </c>
      <c r="BG130">
        <v>3.0379746835440091E-2</v>
      </c>
      <c r="BH130">
        <v>8.8101265822784894E-2</v>
      </c>
      <c r="BI130">
        <v>1.8227848101265112E-2</v>
      </c>
      <c r="BJ130">
        <v>13.07</v>
      </c>
      <c r="BK130">
        <v>2.2599999999999998</v>
      </c>
      <c r="BL130">
        <v>13.07</v>
      </c>
      <c r="BM130">
        <v>2.2599999999999998</v>
      </c>
      <c r="BN130">
        <v>12</v>
      </c>
      <c r="BO130">
        <v>12</v>
      </c>
      <c r="BP130" t="s">
        <v>311</v>
      </c>
      <c r="BQ130" t="s">
        <v>311</v>
      </c>
      <c r="BR130" t="s">
        <v>311</v>
      </c>
      <c r="BS130" t="s">
        <v>311</v>
      </c>
      <c r="BT130" t="s">
        <v>311</v>
      </c>
      <c r="BU130" t="s">
        <v>311</v>
      </c>
      <c r="BV130" t="s">
        <v>311</v>
      </c>
      <c r="BW130" t="s">
        <v>311</v>
      </c>
      <c r="BX130" t="s">
        <v>1126</v>
      </c>
      <c r="BY130" t="s">
        <v>1203</v>
      </c>
      <c r="BZ130">
        <v>13.15</v>
      </c>
      <c r="CA130">
        <v>12</v>
      </c>
      <c r="CB130" t="s">
        <v>1210</v>
      </c>
      <c r="CC130" t="s">
        <v>1209</v>
      </c>
      <c r="CD130" t="s">
        <v>1311</v>
      </c>
      <c r="CE130" t="s">
        <v>1312</v>
      </c>
      <c r="CF130">
        <v>0</v>
      </c>
      <c r="CG130" t="s">
        <v>311</v>
      </c>
      <c r="CH130" t="s">
        <v>311</v>
      </c>
      <c r="CI130" t="s">
        <v>311</v>
      </c>
      <c r="CJ130" s="38" t="s">
        <v>311</v>
      </c>
      <c r="CK130" s="38" t="s">
        <v>311</v>
      </c>
      <c r="CL130" s="38" t="s">
        <v>311</v>
      </c>
      <c r="CM130" s="38" t="s">
        <v>311</v>
      </c>
      <c r="CN130" s="38" t="s">
        <v>311</v>
      </c>
      <c r="CO130" s="38" t="s">
        <v>311</v>
      </c>
      <c r="CP130" s="38" t="s">
        <v>311</v>
      </c>
      <c r="CQ130" t="s">
        <v>1712</v>
      </c>
      <c r="CR130" t="s">
        <v>1615</v>
      </c>
    </row>
    <row r="131" spans="1:96">
      <c r="A131">
        <v>130</v>
      </c>
      <c r="B131">
        <v>19</v>
      </c>
      <c r="C131">
        <v>8</v>
      </c>
      <c r="D131" t="s">
        <v>120</v>
      </c>
      <c r="E131" t="s">
        <v>121</v>
      </c>
      <c r="F131" t="s">
        <v>117</v>
      </c>
      <c r="G131">
        <v>2009</v>
      </c>
      <c r="H131" t="s">
        <v>1308</v>
      </c>
      <c r="I131" t="s">
        <v>1309</v>
      </c>
      <c r="J131">
        <v>38.318167000000003</v>
      </c>
      <c r="K131">
        <v>-123.069833</v>
      </c>
      <c r="L131" t="s">
        <v>361</v>
      </c>
      <c r="M131" t="s">
        <v>395</v>
      </c>
      <c r="N131" t="s">
        <v>531</v>
      </c>
      <c r="O131" t="s">
        <v>288</v>
      </c>
      <c r="P131" t="s">
        <v>693</v>
      </c>
      <c r="Q131" t="s">
        <v>333</v>
      </c>
      <c r="R131" t="s">
        <v>669</v>
      </c>
      <c r="S131" t="s">
        <v>1131</v>
      </c>
      <c r="T131" t="s">
        <v>331</v>
      </c>
      <c r="U131">
        <v>3</v>
      </c>
      <c r="V131" t="s">
        <v>311</v>
      </c>
      <c r="W131" t="s">
        <v>668</v>
      </c>
      <c r="X131" t="s">
        <v>292</v>
      </c>
      <c r="Y131" t="s">
        <v>536</v>
      </c>
      <c r="Z131" t="s">
        <v>537</v>
      </c>
      <c r="AA131" t="s">
        <v>538</v>
      </c>
      <c r="AB131" t="s">
        <v>539</v>
      </c>
      <c r="AC131" t="s">
        <v>673</v>
      </c>
      <c r="AD131" t="s">
        <v>292</v>
      </c>
      <c r="AE131" t="s">
        <v>1075</v>
      </c>
      <c r="AF131" t="s">
        <v>567</v>
      </c>
      <c r="AG131" t="s">
        <v>1901</v>
      </c>
      <c r="AH131" t="s">
        <v>591</v>
      </c>
      <c r="AI131" t="s">
        <v>1076</v>
      </c>
      <c r="AJ131" t="s">
        <v>1077</v>
      </c>
      <c r="AK131" t="s">
        <v>317</v>
      </c>
      <c r="AL131" t="s">
        <v>357</v>
      </c>
      <c r="AM131" t="s">
        <v>1059</v>
      </c>
      <c r="AN131" t="s">
        <v>584</v>
      </c>
      <c r="AO131" t="s">
        <v>948</v>
      </c>
      <c r="AP131" s="32" t="s">
        <v>537</v>
      </c>
      <c r="AQ131" t="s">
        <v>614</v>
      </c>
      <c r="AR131">
        <v>7.1186440677966099</v>
      </c>
      <c r="AS131">
        <v>2.0762711864406702</v>
      </c>
      <c r="AT131" t="s">
        <v>311</v>
      </c>
      <c r="AU131">
        <v>16</v>
      </c>
      <c r="AV131">
        <v>4.8446327683615804</v>
      </c>
      <c r="AW131">
        <v>1.1864406779660994</v>
      </c>
      <c r="AX131" t="s">
        <v>311</v>
      </c>
      <c r="AY131">
        <v>16</v>
      </c>
      <c r="AZ131" t="s">
        <v>1677</v>
      </c>
      <c r="BA131" t="s">
        <v>1679</v>
      </c>
      <c r="BB131">
        <v>365</v>
      </c>
      <c r="BC131" t="s">
        <v>1672</v>
      </c>
      <c r="BD131" t="s">
        <v>311</v>
      </c>
      <c r="BE131" t="s">
        <v>1880</v>
      </c>
      <c r="BF131">
        <v>1.2729113924050599</v>
      </c>
      <c r="BG131">
        <v>3.0379746835440091E-2</v>
      </c>
      <c r="BH131">
        <v>8.8101265822784894E-2</v>
      </c>
      <c r="BI131">
        <v>1.8227848101265112E-2</v>
      </c>
      <c r="BJ131">
        <v>13.07</v>
      </c>
      <c r="BK131">
        <v>2.2599999999999998</v>
      </c>
      <c r="BL131">
        <v>13.07</v>
      </c>
      <c r="BM131">
        <v>2.2599999999999998</v>
      </c>
      <c r="BN131">
        <v>12</v>
      </c>
      <c r="BO131">
        <v>12</v>
      </c>
      <c r="BP131" t="s">
        <v>311</v>
      </c>
      <c r="BQ131" t="s">
        <v>311</v>
      </c>
      <c r="BR131" t="s">
        <v>311</v>
      </c>
      <c r="BS131" t="s">
        <v>311</v>
      </c>
      <c r="BT131" t="s">
        <v>311</v>
      </c>
      <c r="BU131" t="s">
        <v>311</v>
      </c>
      <c r="BV131" t="s">
        <v>311</v>
      </c>
      <c r="BW131" t="s">
        <v>311</v>
      </c>
      <c r="BX131" t="s">
        <v>1126</v>
      </c>
      <c r="BY131" t="s">
        <v>1203</v>
      </c>
      <c r="BZ131">
        <v>13.15</v>
      </c>
      <c r="CA131">
        <v>12</v>
      </c>
      <c r="CB131" t="s">
        <v>1210</v>
      </c>
      <c r="CC131" t="s">
        <v>1209</v>
      </c>
      <c r="CD131" t="s">
        <v>1311</v>
      </c>
      <c r="CE131" t="s">
        <v>1312</v>
      </c>
      <c r="CF131">
        <v>0</v>
      </c>
      <c r="CG131" t="s">
        <v>311</v>
      </c>
      <c r="CH131" t="s">
        <v>311</v>
      </c>
      <c r="CI131" t="s">
        <v>311</v>
      </c>
      <c r="CJ131" s="38" t="s">
        <v>311</v>
      </c>
      <c r="CK131" s="38" t="s">
        <v>311</v>
      </c>
      <c r="CL131" s="38" t="s">
        <v>311</v>
      </c>
      <c r="CM131" s="38" t="s">
        <v>311</v>
      </c>
      <c r="CN131" s="38" t="s">
        <v>311</v>
      </c>
      <c r="CO131" s="38" t="s">
        <v>311</v>
      </c>
      <c r="CP131" s="38" t="s">
        <v>311</v>
      </c>
      <c r="CQ131" t="s">
        <v>1808</v>
      </c>
      <c r="CR131" t="s">
        <v>1614</v>
      </c>
    </row>
    <row r="132" spans="1:96">
      <c r="A132">
        <v>131</v>
      </c>
      <c r="B132">
        <v>19</v>
      </c>
      <c r="C132">
        <v>9</v>
      </c>
      <c r="D132" t="s">
        <v>120</v>
      </c>
      <c r="E132" t="s">
        <v>121</v>
      </c>
      <c r="F132" t="s">
        <v>117</v>
      </c>
      <c r="G132">
        <v>2009</v>
      </c>
      <c r="H132" t="s">
        <v>1308</v>
      </c>
      <c r="I132" t="s">
        <v>1309</v>
      </c>
      <c r="J132">
        <v>38.318167000000003</v>
      </c>
      <c r="K132">
        <v>-123.069833</v>
      </c>
      <c r="L132" t="s">
        <v>361</v>
      </c>
      <c r="M132" t="s">
        <v>395</v>
      </c>
      <c r="N132" t="s">
        <v>531</v>
      </c>
      <c r="O132" t="s">
        <v>288</v>
      </c>
      <c r="P132" t="s">
        <v>693</v>
      </c>
      <c r="Q132" t="s">
        <v>333</v>
      </c>
      <c r="R132" t="s">
        <v>669</v>
      </c>
      <c r="S132" t="s">
        <v>1131</v>
      </c>
      <c r="T132" t="s">
        <v>331</v>
      </c>
      <c r="U132">
        <v>3</v>
      </c>
      <c r="V132" t="s">
        <v>311</v>
      </c>
      <c r="W132" t="s">
        <v>668</v>
      </c>
      <c r="X132" t="s">
        <v>292</v>
      </c>
      <c r="Y132" t="s">
        <v>536</v>
      </c>
      <c r="Z132" t="s">
        <v>537</v>
      </c>
      <c r="AA132" t="s">
        <v>538</v>
      </c>
      <c r="AB132" t="s">
        <v>539</v>
      </c>
      <c r="AC132" t="s">
        <v>673</v>
      </c>
      <c r="AD132" t="s">
        <v>292</v>
      </c>
      <c r="AE132" t="s">
        <v>1080</v>
      </c>
      <c r="AF132" t="s">
        <v>567</v>
      </c>
      <c r="AG132" t="s">
        <v>1901</v>
      </c>
      <c r="AH132" t="s">
        <v>591</v>
      </c>
      <c r="AI132" t="s">
        <v>1078</v>
      </c>
      <c r="AJ132" t="s">
        <v>1079</v>
      </c>
      <c r="AK132" t="s">
        <v>317</v>
      </c>
      <c r="AL132" t="s">
        <v>357</v>
      </c>
      <c r="AM132" t="s">
        <v>1059</v>
      </c>
      <c r="AN132" t="s">
        <v>584</v>
      </c>
      <c r="AO132" t="s">
        <v>948</v>
      </c>
      <c r="AP132" s="32" t="s">
        <v>537</v>
      </c>
      <c r="AQ132" t="s">
        <v>614</v>
      </c>
      <c r="AR132">
        <v>13.1497175141242</v>
      </c>
      <c r="AS132">
        <v>5.042372881356</v>
      </c>
      <c r="AT132" t="s">
        <v>311</v>
      </c>
      <c r="AU132">
        <v>16</v>
      </c>
      <c r="AV132">
        <v>3.0649717514124202</v>
      </c>
      <c r="AW132">
        <v>1.08757062146893</v>
      </c>
      <c r="AX132" t="s">
        <v>311</v>
      </c>
      <c r="AY132">
        <v>16</v>
      </c>
      <c r="AZ132" t="s">
        <v>1677</v>
      </c>
      <c r="BA132" t="s">
        <v>1679</v>
      </c>
      <c r="BB132">
        <v>365</v>
      </c>
      <c r="BC132" t="s">
        <v>1672</v>
      </c>
      <c r="BD132" t="s">
        <v>311</v>
      </c>
      <c r="BE132" t="s">
        <v>1880</v>
      </c>
      <c r="BF132">
        <v>1.2729113924050599</v>
      </c>
      <c r="BG132">
        <v>3.0379746835440091E-2</v>
      </c>
      <c r="BH132">
        <v>8.8101265822784894E-2</v>
      </c>
      <c r="BI132">
        <v>1.8227848101265112E-2</v>
      </c>
      <c r="BJ132">
        <v>13.07</v>
      </c>
      <c r="BK132">
        <v>2.2599999999999998</v>
      </c>
      <c r="BL132">
        <v>13.07</v>
      </c>
      <c r="BM132">
        <v>2.2599999999999998</v>
      </c>
      <c r="BN132">
        <v>12</v>
      </c>
      <c r="BO132">
        <v>12</v>
      </c>
      <c r="BP132" t="s">
        <v>311</v>
      </c>
      <c r="BQ132" t="s">
        <v>311</v>
      </c>
      <c r="BR132" t="s">
        <v>311</v>
      </c>
      <c r="BS132" t="s">
        <v>311</v>
      </c>
      <c r="BT132" t="s">
        <v>311</v>
      </c>
      <c r="BU132" t="s">
        <v>311</v>
      </c>
      <c r="BV132" t="s">
        <v>311</v>
      </c>
      <c r="BW132" t="s">
        <v>311</v>
      </c>
      <c r="BX132" t="s">
        <v>1126</v>
      </c>
      <c r="BY132" t="s">
        <v>1203</v>
      </c>
      <c r="BZ132">
        <v>13.15</v>
      </c>
      <c r="CA132">
        <v>12</v>
      </c>
      <c r="CB132" t="s">
        <v>1210</v>
      </c>
      <c r="CC132" t="s">
        <v>1209</v>
      </c>
      <c r="CD132" t="s">
        <v>1311</v>
      </c>
      <c r="CE132" t="s">
        <v>1312</v>
      </c>
      <c r="CF132">
        <v>0</v>
      </c>
      <c r="CG132" t="s">
        <v>311</v>
      </c>
      <c r="CH132" t="s">
        <v>311</v>
      </c>
      <c r="CI132" t="s">
        <v>311</v>
      </c>
      <c r="CJ132" s="38" t="s">
        <v>311</v>
      </c>
      <c r="CK132" s="38" t="s">
        <v>311</v>
      </c>
      <c r="CL132" s="38" t="s">
        <v>311</v>
      </c>
      <c r="CM132" s="38" t="s">
        <v>311</v>
      </c>
      <c r="CN132" s="38" t="s">
        <v>311</v>
      </c>
      <c r="CO132" s="38" t="s">
        <v>311</v>
      </c>
      <c r="CP132" s="38" t="s">
        <v>311</v>
      </c>
      <c r="CQ132" t="s">
        <v>1808</v>
      </c>
      <c r="CR132" t="s">
        <v>1613</v>
      </c>
    </row>
    <row r="133" spans="1:96">
      <c r="A133">
        <v>132</v>
      </c>
      <c r="B133">
        <v>19</v>
      </c>
      <c r="C133">
        <v>10</v>
      </c>
      <c r="D133" t="s">
        <v>120</v>
      </c>
      <c r="E133" t="s">
        <v>121</v>
      </c>
      <c r="F133" t="s">
        <v>117</v>
      </c>
      <c r="G133">
        <v>2009</v>
      </c>
      <c r="H133" t="s">
        <v>1308</v>
      </c>
      <c r="I133" t="s">
        <v>1309</v>
      </c>
      <c r="J133">
        <v>38.318167000000003</v>
      </c>
      <c r="K133">
        <v>-123.069833</v>
      </c>
      <c r="L133" t="s">
        <v>361</v>
      </c>
      <c r="M133" t="s">
        <v>395</v>
      </c>
      <c r="N133" t="s">
        <v>531</v>
      </c>
      <c r="O133" t="s">
        <v>288</v>
      </c>
      <c r="P133" t="s">
        <v>693</v>
      </c>
      <c r="Q133" t="s">
        <v>333</v>
      </c>
      <c r="R133" t="s">
        <v>669</v>
      </c>
      <c r="S133" t="s">
        <v>1131</v>
      </c>
      <c r="T133" t="s">
        <v>331</v>
      </c>
      <c r="U133">
        <v>3</v>
      </c>
      <c r="V133" t="s">
        <v>311</v>
      </c>
      <c r="W133" t="s">
        <v>668</v>
      </c>
      <c r="X133" t="s">
        <v>292</v>
      </c>
      <c r="Y133" t="s">
        <v>536</v>
      </c>
      <c r="Z133" t="s">
        <v>537</v>
      </c>
      <c r="AA133" t="s">
        <v>538</v>
      </c>
      <c r="AB133" t="s">
        <v>539</v>
      </c>
      <c r="AC133" t="s">
        <v>673</v>
      </c>
      <c r="AD133" t="s">
        <v>292</v>
      </c>
      <c r="AE133" t="s">
        <v>1468</v>
      </c>
      <c r="AF133" t="s">
        <v>567</v>
      </c>
      <c r="AG133" t="s">
        <v>1901</v>
      </c>
      <c r="AH133" t="s">
        <v>591</v>
      </c>
      <c r="AI133" t="s">
        <v>1611</v>
      </c>
      <c r="AJ133" t="s">
        <v>1612</v>
      </c>
      <c r="AK133" t="s">
        <v>317</v>
      </c>
      <c r="AL133" t="s">
        <v>357</v>
      </c>
      <c r="AM133" t="s">
        <v>1059</v>
      </c>
      <c r="AN133" t="s">
        <v>584</v>
      </c>
      <c r="AO133" t="s">
        <v>948</v>
      </c>
      <c r="AP133" s="32" t="s">
        <v>537</v>
      </c>
      <c r="AQ133" t="s">
        <v>614</v>
      </c>
      <c r="AR133">
        <v>13.841807909604499</v>
      </c>
      <c r="AS133">
        <v>6.1299435028247995</v>
      </c>
      <c r="AT133" t="s">
        <v>311</v>
      </c>
      <c r="AU133">
        <v>16</v>
      </c>
      <c r="AV133">
        <v>18.6864406779661</v>
      </c>
      <c r="AW133">
        <v>5.8333333333333002</v>
      </c>
      <c r="AX133" t="s">
        <v>311</v>
      </c>
      <c r="AY133">
        <v>16</v>
      </c>
      <c r="AZ133" t="s">
        <v>1677</v>
      </c>
      <c r="BA133" t="s">
        <v>1679</v>
      </c>
      <c r="BB133">
        <v>365</v>
      </c>
      <c r="BC133" t="s">
        <v>1672</v>
      </c>
      <c r="BD133" t="s">
        <v>311</v>
      </c>
      <c r="BE133" t="s">
        <v>1880</v>
      </c>
      <c r="BF133">
        <v>1.2729113924050599</v>
      </c>
      <c r="BG133">
        <v>3.0379746835440091E-2</v>
      </c>
      <c r="BH133">
        <v>8.8101265822784894E-2</v>
      </c>
      <c r="BI133">
        <v>1.8227848101265112E-2</v>
      </c>
      <c r="BJ133">
        <v>13.07</v>
      </c>
      <c r="BK133">
        <v>2.2599999999999998</v>
      </c>
      <c r="BL133">
        <v>13.07</v>
      </c>
      <c r="BM133">
        <v>2.2599999999999998</v>
      </c>
      <c r="BN133">
        <v>12</v>
      </c>
      <c r="BO133">
        <v>12</v>
      </c>
      <c r="BP133" t="s">
        <v>311</v>
      </c>
      <c r="BQ133" t="s">
        <v>311</v>
      </c>
      <c r="BR133" t="s">
        <v>311</v>
      </c>
      <c r="BS133" t="s">
        <v>311</v>
      </c>
      <c r="BT133" t="s">
        <v>311</v>
      </c>
      <c r="BU133" t="s">
        <v>311</v>
      </c>
      <c r="BV133" t="s">
        <v>311</v>
      </c>
      <c r="BW133" t="s">
        <v>311</v>
      </c>
      <c r="BX133" t="s">
        <v>1126</v>
      </c>
      <c r="BY133" t="s">
        <v>1203</v>
      </c>
      <c r="BZ133">
        <v>13.15</v>
      </c>
      <c r="CA133">
        <v>12</v>
      </c>
      <c r="CB133" t="s">
        <v>1210</v>
      </c>
      <c r="CC133" t="s">
        <v>1209</v>
      </c>
      <c r="CD133" t="s">
        <v>1311</v>
      </c>
      <c r="CE133" t="s">
        <v>1312</v>
      </c>
      <c r="CF133">
        <v>0</v>
      </c>
      <c r="CG133" t="s">
        <v>311</v>
      </c>
      <c r="CH133" t="s">
        <v>311</v>
      </c>
      <c r="CI133" t="s">
        <v>311</v>
      </c>
      <c r="CJ133" s="38" t="s">
        <v>311</v>
      </c>
      <c r="CK133" s="38" t="s">
        <v>311</v>
      </c>
      <c r="CL133" s="38" t="s">
        <v>311</v>
      </c>
      <c r="CM133" s="38" t="s">
        <v>311</v>
      </c>
      <c r="CN133" s="38" t="s">
        <v>311</v>
      </c>
      <c r="CO133" s="38" t="s">
        <v>311</v>
      </c>
      <c r="CP133" s="38" t="s">
        <v>311</v>
      </c>
      <c r="CQ133" t="s">
        <v>1808</v>
      </c>
      <c r="CR133" t="s">
        <v>1613</v>
      </c>
    </row>
    <row r="134" spans="1:96">
      <c r="A134">
        <v>133</v>
      </c>
      <c r="B134">
        <v>19</v>
      </c>
      <c r="C134">
        <v>11</v>
      </c>
      <c r="D134" t="s">
        <v>120</v>
      </c>
      <c r="E134" t="s">
        <v>121</v>
      </c>
      <c r="F134" t="s">
        <v>117</v>
      </c>
      <c r="G134">
        <v>2009</v>
      </c>
      <c r="H134" t="s">
        <v>1308</v>
      </c>
      <c r="I134" t="s">
        <v>1309</v>
      </c>
      <c r="J134">
        <v>38.318167000000003</v>
      </c>
      <c r="K134">
        <v>-123.069833</v>
      </c>
      <c r="L134" t="s">
        <v>361</v>
      </c>
      <c r="M134" t="s">
        <v>395</v>
      </c>
      <c r="N134" t="s">
        <v>531</v>
      </c>
      <c r="O134" t="s">
        <v>288</v>
      </c>
      <c r="P134" t="s">
        <v>693</v>
      </c>
      <c r="Q134" t="s">
        <v>333</v>
      </c>
      <c r="R134" t="s">
        <v>669</v>
      </c>
      <c r="S134" t="s">
        <v>1131</v>
      </c>
      <c r="T134" t="s">
        <v>331</v>
      </c>
      <c r="U134">
        <v>3</v>
      </c>
      <c r="V134" t="s">
        <v>311</v>
      </c>
      <c r="W134" t="s">
        <v>668</v>
      </c>
      <c r="X134" t="s">
        <v>292</v>
      </c>
      <c r="Y134" t="s">
        <v>536</v>
      </c>
      <c r="Z134" t="s">
        <v>537</v>
      </c>
      <c r="AA134" t="s">
        <v>538</v>
      </c>
      <c r="AB134" t="s">
        <v>539</v>
      </c>
      <c r="AC134" t="s">
        <v>673</v>
      </c>
      <c r="AD134" t="s">
        <v>292</v>
      </c>
      <c r="AE134" t="s">
        <v>1083</v>
      </c>
      <c r="AF134" t="s">
        <v>567</v>
      </c>
      <c r="AG134" t="s">
        <v>1901</v>
      </c>
      <c r="AH134" t="s">
        <v>591</v>
      </c>
      <c r="AI134" t="s">
        <v>1081</v>
      </c>
      <c r="AJ134" t="s">
        <v>1082</v>
      </c>
      <c r="AK134" t="s">
        <v>317</v>
      </c>
      <c r="AL134" t="s">
        <v>357</v>
      </c>
      <c r="AM134" t="s">
        <v>1059</v>
      </c>
      <c r="AN134" t="s">
        <v>584</v>
      </c>
      <c r="AO134" t="s">
        <v>948</v>
      </c>
      <c r="AP134" s="32" t="s">
        <v>537</v>
      </c>
      <c r="AQ134" t="s">
        <v>614</v>
      </c>
      <c r="AR134">
        <v>4.0536723163841701</v>
      </c>
      <c r="AS134">
        <v>2.3728813559322095</v>
      </c>
      <c r="AT134" t="s">
        <v>311</v>
      </c>
      <c r="AU134">
        <v>16</v>
      </c>
      <c r="AV134">
        <v>5.5367231638418097</v>
      </c>
      <c r="AW134">
        <v>2.1751412429378503</v>
      </c>
      <c r="AX134" t="s">
        <v>311</v>
      </c>
      <c r="AY134">
        <v>16</v>
      </c>
      <c r="AZ134" t="s">
        <v>1677</v>
      </c>
      <c r="BA134" t="s">
        <v>1679</v>
      </c>
      <c r="BB134">
        <v>365</v>
      </c>
      <c r="BC134" t="s">
        <v>1672</v>
      </c>
      <c r="BD134" t="s">
        <v>311</v>
      </c>
      <c r="BE134" t="s">
        <v>1880</v>
      </c>
      <c r="BF134">
        <v>1.2729113924050599</v>
      </c>
      <c r="BG134">
        <v>3.0379746835440091E-2</v>
      </c>
      <c r="BH134">
        <v>8.8101265822784894E-2</v>
      </c>
      <c r="BI134">
        <v>1.8227848101265112E-2</v>
      </c>
      <c r="BJ134">
        <v>13.07</v>
      </c>
      <c r="BK134">
        <v>2.2599999999999998</v>
      </c>
      <c r="BL134">
        <v>13.07</v>
      </c>
      <c r="BM134">
        <v>2.2599999999999998</v>
      </c>
      <c r="BN134">
        <v>12</v>
      </c>
      <c r="BO134">
        <v>12</v>
      </c>
      <c r="BP134" t="s">
        <v>311</v>
      </c>
      <c r="BQ134" t="s">
        <v>311</v>
      </c>
      <c r="BR134" t="s">
        <v>311</v>
      </c>
      <c r="BS134" t="s">
        <v>311</v>
      </c>
      <c r="BT134" t="s">
        <v>311</v>
      </c>
      <c r="BU134" t="s">
        <v>311</v>
      </c>
      <c r="BV134" t="s">
        <v>311</v>
      </c>
      <c r="BW134" t="s">
        <v>311</v>
      </c>
      <c r="BX134" t="s">
        <v>1126</v>
      </c>
      <c r="BY134" t="s">
        <v>1203</v>
      </c>
      <c r="BZ134">
        <v>13.15</v>
      </c>
      <c r="CA134">
        <v>12</v>
      </c>
      <c r="CB134" t="s">
        <v>1210</v>
      </c>
      <c r="CC134" t="s">
        <v>1209</v>
      </c>
      <c r="CD134" t="s">
        <v>1311</v>
      </c>
      <c r="CE134" t="s">
        <v>1312</v>
      </c>
      <c r="CF134">
        <v>0</v>
      </c>
      <c r="CG134" t="s">
        <v>311</v>
      </c>
      <c r="CH134" t="s">
        <v>311</v>
      </c>
      <c r="CI134" t="s">
        <v>311</v>
      </c>
      <c r="CJ134" s="38" t="s">
        <v>311</v>
      </c>
      <c r="CK134" s="38" t="s">
        <v>311</v>
      </c>
      <c r="CL134" s="38" t="s">
        <v>311</v>
      </c>
      <c r="CM134" s="38" t="s">
        <v>311</v>
      </c>
      <c r="CN134" s="38" t="s">
        <v>311</v>
      </c>
      <c r="CO134" s="38" t="s">
        <v>311</v>
      </c>
      <c r="CP134" s="38" t="s">
        <v>311</v>
      </c>
      <c r="CQ134" t="s">
        <v>1808</v>
      </c>
      <c r="CR134" t="s">
        <v>1613</v>
      </c>
    </row>
    <row r="135" spans="1:96">
      <c r="A135">
        <v>134</v>
      </c>
      <c r="B135">
        <v>19</v>
      </c>
      <c r="C135">
        <v>12</v>
      </c>
      <c r="D135" t="s">
        <v>120</v>
      </c>
      <c r="E135" t="s">
        <v>121</v>
      </c>
      <c r="F135" t="s">
        <v>117</v>
      </c>
      <c r="G135">
        <v>2009</v>
      </c>
      <c r="H135" t="s">
        <v>1308</v>
      </c>
      <c r="I135" t="s">
        <v>1309</v>
      </c>
      <c r="J135">
        <v>38.318167000000003</v>
      </c>
      <c r="K135">
        <v>-123.069833</v>
      </c>
      <c r="L135" t="s">
        <v>361</v>
      </c>
      <c r="M135" t="s">
        <v>395</v>
      </c>
      <c r="N135" t="s">
        <v>531</v>
      </c>
      <c r="O135" t="s">
        <v>288</v>
      </c>
      <c r="P135" t="s">
        <v>693</v>
      </c>
      <c r="Q135" t="s">
        <v>333</v>
      </c>
      <c r="R135" t="s">
        <v>669</v>
      </c>
      <c r="S135" t="s">
        <v>1131</v>
      </c>
      <c r="T135" t="s">
        <v>331</v>
      </c>
      <c r="U135">
        <v>3</v>
      </c>
      <c r="V135" t="s">
        <v>311</v>
      </c>
      <c r="W135" t="s">
        <v>668</v>
      </c>
      <c r="X135" t="s">
        <v>292</v>
      </c>
      <c r="Y135" t="s">
        <v>536</v>
      </c>
      <c r="Z135" t="s">
        <v>537</v>
      </c>
      <c r="AA135" t="s">
        <v>538</v>
      </c>
      <c r="AB135" t="s">
        <v>539</v>
      </c>
      <c r="AC135" t="s">
        <v>673</v>
      </c>
      <c r="AD135" t="s">
        <v>292</v>
      </c>
      <c r="AE135" t="s">
        <v>672</v>
      </c>
      <c r="AF135" t="s">
        <v>567</v>
      </c>
      <c r="AG135" t="s">
        <v>1901</v>
      </c>
      <c r="AH135" t="s">
        <v>591</v>
      </c>
      <c r="AI135" t="s">
        <v>670</v>
      </c>
      <c r="AJ135" t="s">
        <v>671</v>
      </c>
      <c r="AK135" t="s">
        <v>317</v>
      </c>
      <c r="AL135" t="s">
        <v>357</v>
      </c>
      <c r="AM135" t="s">
        <v>1059</v>
      </c>
      <c r="AN135" t="s">
        <v>584</v>
      </c>
      <c r="AO135" t="s">
        <v>948</v>
      </c>
      <c r="AP135" s="32" t="s">
        <v>537</v>
      </c>
      <c r="AQ135" t="s">
        <v>614</v>
      </c>
      <c r="AR135">
        <v>26.497175141242899</v>
      </c>
      <c r="AS135">
        <v>6.7231638418079029</v>
      </c>
      <c r="AT135" t="s">
        <v>311</v>
      </c>
      <c r="AU135">
        <v>16</v>
      </c>
      <c r="AV135">
        <v>1.2853107344632699</v>
      </c>
      <c r="AW135">
        <v>0.49435028248588009</v>
      </c>
      <c r="AX135" t="s">
        <v>311</v>
      </c>
      <c r="AY135">
        <v>16</v>
      </c>
      <c r="AZ135" t="s">
        <v>1677</v>
      </c>
      <c r="BA135" t="s">
        <v>1679</v>
      </c>
      <c r="BB135">
        <v>365</v>
      </c>
      <c r="BC135" t="s">
        <v>1672</v>
      </c>
      <c r="BD135" t="s">
        <v>311</v>
      </c>
      <c r="BE135" t="s">
        <v>1880</v>
      </c>
      <c r="BF135">
        <v>1.2729113924050599</v>
      </c>
      <c r="BG135">
        <v>3.0379746835440091E-2</v>
      </c>
      <c r="BH135">
        <v>8.8101265822784894E-2</v>
      </c>
      <c r="BI135">
        <v>1.8227848101265112E-2</v>
      </c>
      <c r="BJ135">
        <v>13.07</v>
      </c>
      <c r="BK135">
        <v>2.2599999999999998</v>
      </c>
      <c r="BL135">
        <v>13.07</v>
      </c>
      <c r="BM135">
        <v>2.2599999999999998</v>
      </c>
      <c r="BN135">
        <v>12</v>
      </c>
      <c r="BO135">
        <v>12</v>
      </c>
      <c r="BP135" t="s">
        <v>311</v>
      </c>
      <c r="BQ135" t="s">
        <v>311</v>
      </c>
      <c r="BR135" t="s">
        <v>311</v>
      </c>
      <c r="BS135" t="s">
        <v>311</v>
      </c>
      <c r="BT135" t="s">
        <v>311</v>
      </c>
      <c r="BU135" t="s">
        <v>311</v>
      </c>
      <c r="BV135" t="s">
        <v>311</v>
      </c>
      <c r="BW135" t="s">
        <v>311</v>
      </c>
      <c r="BX135" t="s">
        <v>1126</v>
      </c>
      <c r="BY135" t="s">
        <v>1203</v>
      </c>
      <c r="BZ135">
        <v>13.15</v>
      </c>
      <c r="CA135">
        <v>12</v>
      </c>
      <c r="CB135" t="s">
        <v>1210</v>
      </c>
      <c r="CC135" t="s">
        <v>1209</v>
      </c>
      <c r="CD135" t="s">
        <v>1311</v>
      </c>
      <c r="CE135" t="s">
        <v>1312</v>
      </c>
      <c r="CF135">
        <v>0</v>
      </c>
      <c r="CG135" t="s">
        <v>311</v>
      </c>
      <c r="CH135" t="s">
        <v>311</v>
      </c>
      <c r="CI135" t="s">
        <v>311</v>
      </c>
      <c r="CJ135" s="38" t="s">
        <v>311</v>
      </c>
      <c r="CK135" s="38" t="s">
        <v>311</v>
      </c>
      <c r="CL135" s="38" t="s">
        <v>311</v>
      </c>
      <c r="CM135" s="38" t="s">
        <v>311</v>
      </c>
      <c r="CN135" s="38" t="s">
        <v>311</v>
      </c>
      <c r="CO135" s="38" t="s">
        <v>311</v>
      </c>
      <c r="CP135" s="38" t="s">
        <v>311</v>
      </c>
      <c r="CQ135" t="s">
        <v>1808</v>
      </c>
      <c r="CR135" t="s">
        <v>1613</v>
      </c>
    </row>
    <row r="136" spans="1:96">
      <c r="A136">
        <v>135</v>
      </c>
      <c r="B136">
        <v>19</v>
      </c>
      <c r="C136">
        <v>13</v>
      </c>
      <c r="D136" t="s">
        <v>120</v>
      </c>
      <c r="E136" t="s">
        <v>121</v>
      </c>
      <c r="F136" t="s">
        <v>117</v>
      </c>
      <c r="G136">
        <v>2009</v>
      </c>
      <c r="H136" t="s">
        <v>1308</v>
      </c>
      <c r="I136" t="s">
        <v>1309</v>
      </c>
      <c r="J136">
        <v>38.318167000000003</v>
      </c>
      <c r="K136">
        <v>-123.069833</v>
      </c>
      <c r="L136" t="s">
        <v>361</v>
      </c>
      <c r="M136" t="s">
        <v>395</v>
      </c>
      <c r="N136" t="s">
        <v>531</v>
      </c>
      <c r="O136" t="s">
        <v>288</v>
      </c>
      <c r="P136" t="s">
        <v>693</v>
      </c>
      <c r="Q136" t="s">
        <v>333</v>
      </c>
      <c r="R136" t="s">
        <v>669</v>
      </c>
      <c r="S136" t="s">
        <v>1131</v>
      </c>
      <c r="T136" t="s">
        <v>331</v>
      </c>
      <c r="U136">
        <v>3</v>
      </c>
      <c r="V136" t="s">
        <v>311</v>
      </c>
      <c r="W136" t="s">
        <v>668</v>
      </c>
      <c r="X136" t="s">
        <v>292</v>
      </c>
      <c r="Y136" t="s">
        <v>536</v>
      </c>
      <c r="Z136" t="s">
        <v>537</v>
      </c>
      <c r="AA136" t="s">
        <v>538</v>
      </c>
      <c r="AB136" t="s">
        <v>539</v>
      </c>
      <c r="AC136" t="s">
        <v>673</v>
      </c>
      <c r="AD136" t="s">
        <v>309</v>
      </c>
      <c r="AE136" t="s">
        <v>644</v>
      </c>
      <c r="AF136" t="s">
        <v>567</v>
      </c>
      <c r="AG136" t="s">
        <v>1901</v>
      </c>
      <c r="AH136" t="s">
        <v>570</v>
      </c>
      <c r="AI136" t="s">
        <v>645</v>
      </c>
      <c r="AJ136" t="s">
        <v>792</v>
      </c>
      <c r="AK136" t="s">
        <v>317</v>
      </c>
      <c r="AL136" t="s">
        <v>357</v>
      </c>
      <c r="AM136" t="s">
        <v>1059</v>
      </c>
      <c r="AN136" t="s">
        <v>584</v>
      </c>
      <c r="AO136" t="s">
        <v>948</v>
      </c>
      <c r="AP136" s="32" t="s">
        <v>537</v>
      </c>
      <c r="AQ136" t="s">
        <v>614</v>
      </c>
      <c r="AR136">
        <v>4.6468926553672203</v>
      </c>
      <c r="AS136">
        <v>2.0762711864406898</v>
      </c>
      <c r="AT136" t="s">
        <v>311</v>
      </c>
      <c r="AU136">
        <v>16</v>
      </c>
      <c r="AV136">
        <v>0.29661016949152202</v>
      </c>
      <c r="AW136">
        <v>0.29661016949152802</v>
      </c>
      <c r="AX136" t="s">
        <v>311</v>
      </c>
      <c r="AY136">
        <v>16</v>
      </c>
      <c r="AZ136" t="s">
        <v>1677</v>
      </c>
      <c r="BA136" t="s">
        <v>1679</v>
      </c>
      <c r="BB136">
        <v>365</v>
      </c>
      <c r="BC136" t="s">
        <v>1672</v>
      </c>
      <c r="BD136" t="s">
        <v>311</v>
      </c>
      <c r="BE136" t="s">
        <v>1880</v>
      </c>
      <c r="BF136">
        <v>1.2729113924050599</v>
      </c>
      <c r="BG136">
        <v>3.0379746835440091E-2</v>
      </c>
      <c r="BH136">
        <v>8.8101265822784894E-2</v>
      </c>
      <c r="BI136">
        <v>1.8227848101265112E-2</v>
      </c>
      <c r="BJ136">
        <v>13.07</v>
      </c>
      <c r="BK136">
        <v>2.2599999999999998</v>
      </c>
      <c r="BL136">
        <v>13.07</v>
      </c>
      <c r="BM136">
        <v>2.2599999999999998</v>
      </c>
      <c r="BN136">
        <v>12</v>
      </c>
      <c r="BO136">
        <v>12</v>
      </c>
      <c r="BP136" t="s">
        <v>311</v>
      </c>
      <c r="BQ136" t="s">
        <v>311</v>
      </c>
      <c r="BR136" t="s">
        <v>311</v>
      </c>
      <c r="BS136" t="s">
        <v>311</v>
      </c>
      <c r="BT136" t="s">
        <v>311</v>
      </c>
      <c r="BU136" t="s">
        <v>311</v>
      </c>
      <c r="BV136" t="s">
        <v>311</v>
      </c>
      <c r="BW136" t="s">
        <v>311</v>
      </c>
      <c r="BX136" t="s">
        <v>1126</v>
      </c>
      <c r="BY136" t="s">
        <v>1203</v>
      </c>
      <c r="BZ136">
        <v>13.15</v>
      </c>
      <c r="CA136">
        <v>12</v>
      </c>
      <c r="CB136" t="s">
        <v>1210</v>
      </c>
      <c r="CC136" t="s">
        <v>1209</v>
      </c>
      <c r="CD136" t="s">
        <v>1311</v>
      </c>
      <c r="CE136" t="s">
        <v>1312</v>
      </c>
      <c r="CF136">
        <v>0</v>
      </c>
      <c r="CG136" t="s">
        <v>311</v>
      </c>
      <c r="CH136" t="s">
        <v>311</v>
      </c>
      <c r="CI136" t="s">
        <v>311</v>
      </c>
      <c r="CJ136" s="38" t="s">
        <v>311</v>
      </c>
      <c r="CK136" s="38" t="s">
        <v>311</v>
      </c>
      <c r="CL136" s="38" t="s">
        <v>311</v>
      </c>
      <c r="CM136" s="38" t="s">
        <v>311</v>
      </c>
      <c r="CN136" s="38" t="s">
        <v>311</v>
      </c>
      <c r="CO136" s="38" t="s">
        <v>311</v>
      </c>
      <c r="CP136" s="38" t="s">
        <v>311</v>
      </c>
      <c r="CQ136" t="s">
        <v>1808</v>
      </c>
      <c r="CR136" t="s">
        <v>1613</v>
      </c>
    </row>
    <row r="137" spans="1:96" s="16" customFormat="1">
      <c r="A137">
        <v>136</v>
      </c>
      <c r="B137">
        <v>20</v>
      </c>
      <c r="C137" s="16">
        <v>1</v>
      </c>
      <c r="D137" s="16" t="s">
        <v>122</v>
      </c>
      <c r="E137" s="16" t="s">
        <v>123</v>
      </c>
      <c r="F137" s="16" t="s">
        <v>70</v>
      </c>
      <c r="G137" s="16">
        <v>2008</v>
      </c>
      <c r="H137" s="16" t="s">
        <v>451</v>
      </c>
      <c r="I137" s="16" t="s">
        <v>452</v>
      </c>
      <c r="J137" s="16">
        <v>55.375503999999999</v>
      </c>
      <c r="K137" s="16">
        <v>10.967093</v>
      </c>
      <c r="L137" s="16" t="s">
        <v>396</v>
      </c>
      <c r="M137" s="16" t="s">
        <v>397</v>
      </c>
      <c r="N137" s="16" t="s">
        <v>600</v>
      </c>
      <c r="O137" s="16" t="s">
        <v>532</v>
      </c>
      <c r="P137" s="16" t="s">
        <v>693</v>
      </c>
      <c r="Q137" s="16" t="s">
        <v>333</v>
      </c>
      <c r="R137" s="16" t="s">
        <v>328</v>
      </c>
      <c r="S137" s="16" t="s">
        <v>682</v>
      </c>
      <c r="T137" s="16" t="s">
        <v>330</v>
      </c>
      <c r="U137" s="16">
        <v>5</v>
      </c>
      <c r="V137" s="16" t="s">
        <v>535</v>
      </c>
      <c r="W137" s="16">
        <v>2004</v>
      </c>
      <c r="X137" s="16" t="s">
        <v>292</v>
      </c>
      <c r="Y137" s="16" t="s">
        <v>536</v>
      </c>
      <c r="Z137" s="16" t="s">
        <v>537</v>
      </c>
      <c r="AA137" s="16" t="s">
        <v>538</v>
      </c>
      <c r="AB137" s="16" t="s">
        <v>539</v>
      </c>
      <c r="AC137" s="16" t="s">
        <v>540</v>
      </c>
      <c r="AD137" s="16" t="s">
        <v>292</v>
      </c>
      <c r="AE137" s="16" t="s">
        <v>618</v>
      </c>
      <c r="AF137" s="16" t="s">
        <v>552</v>
      </c>
      <c r="AH137" s="16" t="s">
        <v>555</v>
      </c>
      <c r="AI137" s="16" t="s">
        <v>619</v>
      </c>
      <c r="AJ137" s="16" t="s">
        <v>620</v>
      </c>
      <c r="AK137" s="16" t="s">
        <v>542</v>
      </c>
      <c r="AL137" s="16" t="s">
        <v>542</v>
      </c>
      <c r="AM137" s="16" t="s">
        <v>1084</v>
      </c>
      <c r="AN137" s="16" t="s">
        <v>1281</v>
      </c>
      <c r="AO137" s="16" t="s">
        <v>1288</v>
      </c>
      <c r="AP137" s="16" t="s">
        <v>887</v>
      </c>
      <c r="AQ137" t="s">
        <v>887</v>
      </c>
      <c r="AR137" s="16">
        <v>5.4</v>
      </c>
      <c r="AS137" s="16">
        <v>0.4</v>
      </c>
      <c r="AT137" s="16" t="s">
        <v>311</v>
      </c>
      <c r="AU137" s="16">
        <v>3</v>
      </c>
      <c r="AV137" s="16">
        <v>9.1</v>
      </c>
      <c r="AW137" s="16">
        <v>0.7</v>
      </c>
      <c r="AX137" s="16" t="s">
        <v>311</v>
      </c>
      <c r="AY137" s="16">
        <v>3</v>
      </c>
      <c r="AZ137" s="16" t="s">
        <v>1055</v>
      </c>
      <c r="BA137" s="16" t="s">
        <v>1679</v>
      </c>
      <c r="BB137">
        <v>63</v>
      </c>
      <c r="BC137" t="s">
        <v>1672</v>
      </c>
      <c r="BD137" s="16" t="s">
        <v>311</v>
      </c>
      <c r="BE137" s="16" t="s">
        <v>1880</v>
      </c>
      <c r="BF137" s="16" t="s">
        <v>311</v>
      </c>
      <c r="BG137" s="16" t="s">
        <v>311</v>
      </c>
      <c r="BH137" s="16" t="s">
        <v>311</v>
      </c>
      <c r="BI137" s="16" t="s">
        <v>311</v>
      </c>
      <c r="BJ137" s="16" t="s">
        <v>311</v>
      </c>
      <c r="BK137" s="16" t="s">
        <v>311</v>
      </c>
      <c r="BL137" s="16" t="s">
        <v>311</v>
      </c>
      <c r="BM137" s="16" t="s">
        <v>311</v>
      </c>
      <c r="BN137" s="16" t="s">
        <v>311</v>
      </c>
      <c r="BO137" s="16" t="s">
        <v>311</v>
      </c>
      <c r="BP137" s="16">
        <v>238.03827751196101</v>
      </c>
      <c r="BQ137" s="16">
        <v>31.100478468899979</v>
      </c>
      <c r="BR137" s="16">
        <v>148.325358851674</v>
      </c>
      <c r="BS137" s="16">
        <v>15.550239234450004</v>
      </c>
      <c r="BT137" s="16" t="s">
        <v>311</v>
      </c>
      <c r="BU137" s="16" t="s">
        <v>311</v>
      </c>
      <c r="BV137" s="16" t="s">
        <v>311</v>
      </c>
      <c r="BW137" s="16" t="s">
        <v>311</v>
      </c>
      <c r="BX137" s="16" t="s">
        <v>1126</v>
      </c>
      <c r="BY137" s="16" t="s">
        <v>1203</v>
      </c>
      <c r="BZ137" s="16">
        <v>11</v>
      </c>
      <c r="CA137" s="16">
        <v>15</v>
      </c>
      <c r="CB137" s="16" t="s">
        <v>1209</v>
      </c>
      <c r="CC137" s="16" t="s">
        <v>1210</v>
      </c>
      <c r="CD137" s="16" t="s">
        <v>311</v>
      </c>
      <c r="CE137" s="16" t="s">
        <v>311</v>
      </c>
      <c r="CF137" s="16" t="s">
        <v>311</v>
      </c>
      <c r="CG137" t="s">
        <v>1348</v>
      </c>
      <c r="CH137" t="s">
        <v>311</v>
      </c>
      <c r="CI137">
        <v>0</v>
      </c>
      <c r="CJ137" s="38" t="s">
        <v>311</v>
      </c>
      <c r="CK137" s="38" t="s">
        <v>311</v>
      </c>
      <c r="CL137" s="38" t="s">
        <v>311</v>
      </c>
      <c r="CM137" s="38" t="s">
        <v>311</v>
      </c>
      <c r="CN137" s="39">
        <v>200.56818181818099</v>
      </c>
      <c r="CO137" s="39">
        <v>136.363636363636</v>
      </c>
      <c r="CP137" s="39" t="s">
        <v>311</v>
      </c>
      <c r="CQ137" s="16" t="s">
        <v>1713</v>
      </c>
      <c r="CR137" s="16" t="s">
        <v>1134</v>
      </c>
    </row>
    <row r="138" spans="1:96" s="16" customFormat="1">
      <c r="A138">
        <v>137</v>
      </c>
      <c r="B138">
        <v>20</v>
      </c>
      <c r="C138" s="16">
        <v>2</v>
      </c>
      <c r="D138" s="16" t="s">
        <v>122</v>
      </c>
      <c r="E138" s="16" t="s">
        <v>123</v>
      </c>
      <c r="F138" s="16" t="s">
        <v>70</v>
      </c>
      <c r="G138" s="16">
        <v>2008</v>
      </c>
      <c r="H138" s="16" t="s">
        <v>451</v>
      </c>
      <c r="I138" s="16" t="s">
        <v>452</v>
      </c>
      <c r="J138" s="16">
        <v>55.375503999999999</v>
      </c>
      <c r="K138" s="16">
        <v>10.967093</v>
      </c>
      <c r="L138" s="16" t="s">
        <v>396</v>
      </c>
      <c r="M138" s="16" t="s">
        <v>397</v>
      </c>
      <c r="N138" s="16" t="s">
        <v>600</v>
      </c>
      <c r="O138" s="16" t="s">
        <v>532</v>
      </c>
      <c r="P138" s="16" t="s">
        <v>693</v>
      </c>
      <c r="Q138" s="16" t="s">
        <v>333</v>
      </c>
      <c r="R138" s="16" t="s">
        <v>328</v>
      </c>
      <c r="S138" s="16" t="s">
        <v>682</v>
      </c>
      <c r="T138" s="16" t="s">
        <v>330</v>
      </c>
      <c r="U138" s="16">
        <v>5</v>
      </c>
      <c r="V138" s="16" t="s">
        <v>535</v>
      </c>
      <c r="W138" s="16">
        <v>2004</v>
      </c>
      <c r="X138" s="16" t="s">
        <v>292</v>
      </c>
      <c r="Y138" s="16" t="s">
        <v>536</v>
      </c>
      <c r="Z138" s="16" t="s">
        <v>537</v>
      </c>
      <c r="AA138" s="16" t="s">
        <v>538</v>
      </c>
      <c r="AB138" s="16" t="s">
        <v>539</v>
      </c>
      <c r="AC138" s="16" t="s">
        <v>540</v>
      </c>
      <c r="AD138" s="16" t="s">
        <v>292</v>
      </c>
      <c r="AE138" s="16" t="s">
        <v>618</v>
      </c>
      <c r="AF138" s="16" t="s">
        <v>552</v>
      </c>
      <c r="AH138" s="16" t="s">
        <v>555</v>
      </c>
      <c r="AI138" s="16" t="s">
        <v>619</v>
      </c>
      <c r="AJ138" s="16" t="s">
        <v>620</v>
      </c>
      <c r="AK138" s="16" t="s">
        <v>542</v>
      </c>
      <c r="AL138" s="16" t="s">
        <v>542</v>
      </c>
      <c r="AM138" s="16" t="s">
        <v>1084</v>
      </c>
      <c r="AN138" s="16" t="s">
        <v>1277</v>
      </c>
      <c r="AO138" s="16" t="s">
        <v>345</v>
      </c>
      <c r="AP138" s="16" t="s">
        <v>887</v>
      </c>
      <c r="AQ138" t="s">
        <v>887</v>
      </c>
      <c r="AR138" s="16">
        <v>37</v>
      </c>
      <c r="AS138" s="16">
        <v>3</v>
      </c>
      <c r="AT138" s="16" t="s">
        <v>311</v>
      </c>
      <c r="AU138" s="16">
        <v>3</v>
      </c>
      <c r="AV138" s="16">
        <v>38.700000000000003</v>
      </c>
      <c r="AW138" s="16">
        <v>4.8</v>
      </c>
      <c r="AX138" s="16" t="s">
        <v>311</v>
      </c>
      <c r="AY138" s="16">
        <v>3</v>
      </c>
      <c r="AZ138" s="16" t="s">
        <v>1677</v>
      </c>
      <c r="BA138" s="16" t="s">
        <v>1679</v>
      </c>
      <c r="BB138">
        <v>63</v>
      </c>
      <c r="BC138" t="s">
        <v>1672</v>
      </c>
      <c r="BD138" s="16" t="s">
        <v>311</v>
      </c>
      <c r="BE138" s="16" t="s">
        <v>1880</v>
      </c>
      <c r="BF138" s="16" t="s">
        <v>311</v>
      </c>
      <c r="BG138" s="16" t="s">
        <v>311</v>
      </c>
      <c r="BH138" s="16" t="s">
        <v>311</v>
      </c>
      <c r="BI138" s="16" t="s">
        <v>311</v>
      </c>
      <c r="BJ138" s="16" t="s">
        <v>311</v>
      </c>
      <c r="BK138" s="16" t="s">
        <v>311</v>
      </c>
      <c r="BL138" s="16" t="s">
        <v>311</v>
      </c>
      <c r="BM138" s="16" t="s">
        <v>311</v>
      </c>
      <c r="BN138" s="16" t="s">
        <v>311</v>
      </c>
      <c r="BO138" s="16" t="s">
        <v>311</v>
      </c>
      <c r="BP138" s="16">
        <v>238.03827751196101</v>
      </c>
      <c r="BQ138" s="16">
        <v>31.100478468899979</v>
      </c>
      <c r="BR138" s="16">
        <v>148.325358851674</v>
      </c>
      <c r="BS138" s="16">
        <v>15.550239234450004</v>
      </c>
      <c r="BT138" s="16" t="s">
        <v>311</v>
      </c>
      <c r="BU138" s="16" t="s">
        <v>311</v>
      </c>
      <c r="BV138" s="16" t="s">
        <v>311</v>
      </c>
      <c r="BW138" s="16" t="s">
        <v>311</v>
      </c>
      <c r="BX138" s="16" t="s">
        <v>1126</v>
      </c>
      <c r="BY138" s="16" t="s">
        <v>1203</v>
      </c>
      <c r="BZ138" s="16">
        <v>11</v>
      </c>
      <c r="CA138" s="16">
        <v>15</v>
      </c>
      <c r="CB138" s="16" t="s">
        <v>1209</v>
      </c>
      <c r="CC138" s="16" t="s">
        <v>1210</v>
      </c>
      <c r="CD138" s="16" t="s">
        <v>311</v>
      </c>
      <c r="CE138" s="16" t="s">
        <v>311</v>
      </c>
      <c r="CF138" s="16" t="s">
        <v>311</v>
      </c>
      <c r="CG138" t="s">
        <v>1348</v>
      </c>
      <c r="CH138" t="s">
        <v>311</v>
      </c>
      <c r="CI138">
        <v>0</v>
      </c>
      <c r="CJ138" s="38" t="s">
        <v>311</v>
      </c>
      <c r="CK138" s="38" t="s">
        <v>311</v>
      </c>
      <c r="CL138" s="38" t="s">
        <v>311</v>
      </c>
      <c r="CM138" s="38" t="s">
        <v>311</v>
      </c>
      <c r="CN138" s="39">
        <v>200.56818181818099</v>
      </c>
      <c r="CO138" s="39">
        <v>136.363636363636</v>
      </c>
      <c r="CP138" s="39" t="s">
        <v>311</v>
      </c>
      <c r="CQ138" s="16" t="s">
        <v>1713</v>
      </c>
      <c r="CR138" s="16" t="s">
        <v>1134</v>
      </c>
    </row>
    <row r="139" spans="1:96" s="16" customFormat="1">
      <c r="A139">
        <v>138</v>
      </c>
      <c r="B139">
        <v>20</v>
      </c>
      <c r="C139" s="16">
        <v>3</v>
      </c>
      <c r="D139" s="16" t="s">
        <v>122</v>
      </c>
      <c r="E139" s="16" t="s">
        <v>123</v>
      </c>
      <c r="F139" s="16" t="s">
        <v>70</v>
      </c>
      <c r="G139" s="16">
        <v>2008</v>
      </c>
      <c r="H139" s="16" t="s">
        <v>451</v>
      </c>
      <c r="I139" s="16" t="s">
        <v>452</v>
      </c>
      <c r="J139" s="16">
        <v>55.375503999999999</v>
      </c>
      <c r="K139" s="16">
        <v>10.967093</v>
      </c>
      <c r="L139" s="16" t="s">
        <v>396</v>
      </c>
      <c r="M139" s="16" t="s">
        <v>397</v>
      </c>
      <c r="N139" s="16" t="s">
        <v>600</v>
      </c>
      <c r="O139" s="16" t="s">
        <v>532</v>
      </c>
      <c r="P139" s="16" t="s">
        <v>693</v>
      </c>
      <c r="Q139" s="16" t="s">
        <v>333</v>
      </c>
      <c r="R139" s="16" t="s">
        <v>328</v>
      </c>
      <c r="S139" s="16" t="s">
        <v>682</v>
      </c>
      <c r="T139" s="16" t="s">
        <v>330</v>
      </c>
      <c r="U139" s="16">
        <v>5</v>
      </c>
      <c r="V139" s="16" t="s">
        <v>535</v>
      </c>
      <c r="W139" s="16">
        <v>2004</v>
      </c>
      <c r="X139" s="16" t="s">
        <v>292</v>
      </c>
      <c r="Y139" s="16" t="s">
        <v>536</v>
      </c>
      <c r="Z139" s="16" t="s">
        <v>537</v>
      </c>
      <c r="AA139" s="16" t="s">
        <v>538</v>
      </c>
      <c r="AB139" s="16" t="s">
        <v>539</v>
      </c>
      <c r="AC139" s="16" t="s">
        <v>540</v>
      </c>
      <c r="AD139" s="16" t="s">
        <v>292</v>
      </c>
      <c r="AE139" s="16" t="s">
        <v>618</v>
      </c>
      <c r="AF139" s="16" t="s">
        <v>552</v>
      </c>
      <c r="AH139" s="16" t="s">
        <v>555</v>
      </c>
      <c r="AI139" s="16" t="s">
        <v>619</v>
      </c>
      <c r="AJ139" s="16" t="s">
        <v>620</v>
      </c>
      <c r="AK139" s="16" t="s">
        <v>542</v>
      </c>
      <c r="AL139" s="16" t="s">
        <v>542</v>
      </c>
      <c r="AM139" s="16" t="s">
        <v>1084</v>
      </c>
      <c r="AN139" s="16" t="s">
        <v>1279</v>
      </c>
      <c r="AO139" s="16" t="s">
        <v>606</v>
      </c>
      <c r="AP139" s="16" t="s">
        <v>887</v>
      </c>
      <c r="AQ139" t="s">
        <v>887</v>
      </c>
      <c r="AR139" s="16">
        <v>134.69999999999999</v>
      </c>
      <c r="AS139" s="16">
        <v>6.4</v>
      </c>
      <c r="AT139" s="16" t="s">
        <v>311</v>
      </c>
      <c r="AU139" s="16">
        <v>3</v>
      </c>
      <c r="AV139" s="16">
        <v>156.30000000000001</v>
      </c>
      <c r="AW139" s="16">
        <v>9.8000000000000007</v>
      </c>
      <c r="AX139" s="16" t="s">
        <v>311</v>
      </c>
      <c r="AY139" s="16">
        <v>3</v>
      </c>
      <c r="AZ139" s="16" t="s">
        <v>1677</v>
      </c>
      <c r="BA139" s="16" t="s">
        <v>1679</v>
      </c>
      <c r="BB139">
        <v>63</v>
      </c>
      <c r="BC139" t="s">
        <v>1672</v>
      </c>
      <c r="BD139" s="16" t="s">
        <v>311</v>
      </c>
      <c r="BE139" s="16" t="s">
        <v>1880</v>
      </c>
      <c r="BF139" s="16" t="s">
        <v>311</v>
      </c>
      <c r="BG139" s="16" t="s">
        <v>311</v>
      </c>
      <c r="BH139" s="16" t="s">
        <v>311</v>
      </c>
      <c r="BI139" s="16" t="s">
        <v>311</v>
      </c>
      <c r="BJ139" s="16" t="s">
        <v>311</v>
      </c>
      <c r="BK139" s="16" t="s">
        <v>311</v>
      </c>
      <c r="BL139" s="16" t="s">
        <v>311</v>
      </c>
      <c r="BM139" s="16" t="s">
        <v>311</v>
      </c>
      <c r="BN139" s="16" t="s">
        <v>311</v>
      </c>
      <c r="BO139" s="16" t="s">
        <v>311</v>
      </c>
      <c r="BP139" s="16">
        <v>238.03827751196101</v>
      </c>
      <c r="BQ139" s="16">
        <v>31.100478468899979</v>
      </c>
      <c r="BR139" s="16">
        <v>148.325358851674</v>
      </c>
      <c r="BS139" s="16">
        <v>15.550239234450004</v>
      </c>
      <c r="BT139" s="16" t="s">
        <v>311</v>
      </c>
      <c r="BU139" s="16" t="s">
        <v>311</v>
      </c>
      <c r="BV139" s="16" t="s">
        <v>311</v>
      </c>
      <c r="BW139" s="16" t="s">
        <v>311</v>
      </c>
      <c r="BX139" s="16" t="s">
        <v>1126</v>
      </c>
      <c r="BY139" s="16" t="s">
        <v>1203</v>
      </c>
      <c r="BZ139" s="16">
        <v>11</v>
      </c>
      <c r="CA139" s="16">
        <v>15</v>
      </c>
      <c r="CB139" s="16" t="s">
        <v>1209</v>
      </c>
      <c r="CC139" s="16" t="s">
        <v>1210</v>
      </c>
      <c r="CD139" s="16" t="s">
        <v>311</v>
      </c>
      <c r="CE139" s="16" t="s">
        <v>311</v>
      </c>
      <c r="CF139" s="16" t="s">
        <v>311</v>
      </c>
      <c r="CG139" t="s">
        <v>1348</v>
      </c>
      <c r="CH139" t="s">
        <v>311</v>
      </c>
      <c r="CI139">
        <v>0</v>
      </c>
      <c r="CJ139" s="38" t="s">
        <v>311</v>
      </c>
      <c r="CK139" s="38" t="s">
        <v>311</v>
      </c>
      <c r="CL139" s="38" t="s">
        <v>311</v>
      </c>
      <c r="CM139" s="38" t="s">
        <v>311</v>
      </c>
      <c r="CN139" s="39">
        <v>200.56818181818099</v>
      </c>
      <c r="CO139" s="39">
        <v>136.363636363636</v>
      </c>
      <c r="CP139" s="39" t="s">
        <v>311</v>
      </c>
      <c r="CQ139" s="16" t="s">
        <v>1713</v>
      </c>
      <c r="CR139" s="16" t="s">
        <v>1134</v>
      </c>
    </row>
    <row r="140" spans="1:96" s="16" customFormat="1">
      <c r="A140">
        <v>139</v>
      </c>
      <c r="B140">
        <v>20</v>
      </c>
      <c r="C140" s="16">
        <v>4</v>
      </c>
      <c r="D140" s="16" t="s">
        <v>122</v>
      </c>
      <c r="E140" s="16" t="s">
        <v>123</v>
      </c>
      <c r="F140" s="16" t="s">
        <v>70</v>
      </c>
      <c r="G140" s="16">
        <v>2008</v>
      </c>
      <c r="H140" s="16" t="s">
        <v>451</v>
      </c>
      <c r="I140" s="16" t="s">
        <v>452</v>
      </c>
      <c r="J140" s="16">
        <v>55.375503999999999</v>
      </c>
      <c r="K140" s="16">
        <v>10.967093</v>
      </c>
      <c r="L140" s="16" t="s">
        <v>396</v>
      </c>
      <c r="M140" s="16" t="s">
        <v>397</v>
      </c>
      <c r="N140" s="16" t="s">
        <v>600</v>
      </c>
      <c r="O140" s="16" t="s">
        <v>532</v>
      </c>
      <c r="P140" s="16" t="s">
        <v>693</v>
      </c>
      <c r="Q140" s="16" t="s">
        <v>333</v>
      </c>
      <c r="R140" s="16" t="s">
        <v>328</v>
      </c>
      <c r="S140" s="16" t="s">
        <v>682</v>
      </c>
      <c r="T140" s="16" t="s">
        <v>330</v>
      </c>
      <c r="U140" s="16">
        <v>5</v>
      </c>
      <c r="V140" s="16" t="s">
        <v>559</v>
      </c>
      <c r="W140" s="16">
        <v>2005</v>
      </c>
      <c r="X140" s="16" t="s">
        <v>292</v>
      </c>
      <c r="Y140" s="16" t="s">
        <v>536</v>
      </c>
      <c r="Z140" s="16" t="s">
        <v>537</v>
      </c>
      <c r="AA140" s="16" t="s">
        <v>538</v>
      </c>
      <c r="AB140" s="16" t="s">
        <v>539</v>
      </c>
      <c r="AC140" s="16" t="s">
        <v>540</v>
      </c>
      <c r="AD140" s="16" t="s">
        <v>292</v>
      </c>
      <c r="AE140" s="16" t="s">
        <v>678</v>
      </c>
      <c r="AF140" s="16" t="s">
        <v>567</v>
      </c>
      <c r="AG140" s="16" t="s">
        <v>1904</v>
      </c>
      <c r="AH140" s="16" t="s">
        <v>343</v>
      </c>
      <c r="AI140" s="16" t="s">
        <v>677</v>
      </c>
      <c r="AJ140" s="16" t="s">
        <v>676</v>
      </c>
      <c r="AK140" s="16" t="s">
        <v>679</v>
      </c>
      <c r="AL140" s="16" t="s">
        <v>357</v>
      </c>
      <c r="AM140" s="16" t="s">
        <v>764</v>
      </c>
      <c r="AN140" s="16" t="s">
        <v>584</v>
      </c>
      <c r="AO140" s="16" t="s">
        <v>606</v>
      </c>
      <c r="AP140" s="16" t="s">
        <v>887</v>
      </c>
      <c r="AQ140" s="16" t="s">
        <v>887</v>
      </c>
      <c r="AR140" s="16">
        <v>4.3343283582089498</v>
      </c>
      <c r="AS140" s="16">
        <v>0.85970149253730987</v>
      </c>
      <c r="AT140" s="16" t="s">
        <v>311</v>
      </c>
      <c r="AU140" s="16">
        <v>20</v>
      </c>
      <c r="AV140" s="16">
        <v>0.17910447761194001</v>
      </c>
      <c r="AW140" s="16">
        <v>2.3880597014924981E-2</v>
      </c>
      <c r="AX140" s="16" t="s">
        <v>311</v>
      </c>
      <c r="AY140" s="16">
        <v>20</v>
      </c>
      <c r="AZ140" s="16" t="s">
        <v>1055</v>
      </c>
      <c r="BA140" s="16" t="s">
        <v>1679</v>
      </c>
      <c r="BB140">
        <v>30</v>
      </c>
      <c r="BC140" t="s">
        <v>1672</v>
      </c>
      <c r="BD140" s="16" t="s">
        <v>311</v>
      </c>
      <c r="BE140" s="16" t="s">
        <v>1880</v>
      </c>
      <c r="BF140" s="16">
        <v>3</v>
      </c>
      <c r="BG140" s="16" t="s">
        <v>311</v>
      </c>
      <c r="BH140" s="16">
        <v>0</v>
      </c>
      <c r="BI140" s="16" t="s">
        <v>311</v>
      </c>
      <c r="BJ140" s="16" t="s">
        <v>311</v>
      </c>
      <c r="BK140" s="16" t="s">
        <v>311</v>
      </c>
      <c r="BL140" s="16" t="s">
        <v>311</v>
      </c>
      <c r="BM140" s="16" t="s">
        <v>311</v>
      </c>
      <c r="BN140" s="16" t="s">
        <v>311</v>
      </c>
      <c r="BO140" s="16" t="s">
        <v>311</v>
      </c>
      <c r="BP140" s="16" t="s">
        <v>311</v>
      </c>
      <c r="BQ140" s="16" t="s">
        <v>311</v>
      </c>
      <c r="BR140" s="16" t="s">
        <v>311</v>
      </c>
      <c r="BS140" s="16" t="s">
        <v>311</v>
      </c>
      <c r="BT140" s="16" t="s">
        <v>311</v>
      </c>
      <c r="BU140" s="16" t="s">
        <v>311</v>
      </c>
      <c r="BV140" s="16" t="s">
        <v>311</v>
      </c>
      <c r="BW140" s="16" t="s">
        <v>311</v>
      </c>
      <c r="BX140" s="16" t="s">
        <v>1126</v>
      </c>
      <c r="BY140" s="16" t="s">
        <v>1203</v>
      </c>
      <c r="BZ140" s="16">
        <v>11</v>
      </c>
      <c r="CA140" s="16">
        <v>15</v>
      </c>
      <c r="CB140" s="16" t="s">
        <v>1209</v>
      </c>
      <c r="CC140" s="16" t="s">
        <v>1210</v>
      </c>
      <c r="CD140" s="16" t="s">
        <v>311</v>
      </c>
      <c r="CE140" s="16" t="s">
        <v>311</v>
      </c>
      <c r="CF140" s="16" t="s">
        <v>311</v>
      </c>
      <c r="CG140" t="s">
        <v>1348</v>
      </c>
      <c r="CH140" t="s">
        <v>311</v>
      </c>
      <c r="CI140">
        <v>0</v>
      </c>
      <c r="CJ140" s="38" t="s">
        <v>311</v>
      </c>
      <c r="CK140" s="38" t="s">
        <v>311</v>
      </c>
      <c r="CL140" s="38" t="s">
        <v>311</v>
      </c>
      <c r="CM140" s="38" t="s">
        <v>311</v>
      </c>
      <c r="CN140" s="39" t="s">
        <v>311</v>
      </c>
      <c r="CO140" s="39" t="s">
        <v>311</v>
      </c>
      <c r="CP140" s="39" t="s">
        <v>311</v>
      </c>
      <c r="CQ140" s="16" t="s">
        <v>1714</v>
      </c>
      <c r="CR140" s="16" t="s">
        <v>1135</v>
      </c>
    </row>
    <row r="141" spans="1:96" s="16" customFormat="1">
      <c r="A141">
        <v>140</v>
      </c>
      <c r="B141">
        <v>20</v>
      </c>
      <c r="C141" s="16">
        <v>5</v>
      </c>
      <c r="D141" s="16" t="s">
        <v>122</v>
      </c>
      <c r="E141" s="16" t="s">
        <v>123</v>
      </c>
      <c r="F141" s="16" t="s">
        <v>70</v>
      </c>
      <c r="G141" s="16">
        <v>2008</v>
      </c>
      <c r="H141" s="16" t="s">
        <v>451</v>
      </c>
      <c r="I141" s="16" t="s">
        <v>452</v>
      </c>
      <c r="J141" s="16">
        <v>55.375503999999999</v>
      </c>
      <c r="K141" s="16">
        <v>10.967093</v>
      </c>
      <c r="L141" s="16" t="s">
        <v>396</v>
      </c>
      <c r="M141" s="16" t="s">
        <v>397</v>
      </c>
      <c r="N141" s="16" t="s">
        <v>600</v>
      </c>
      <c r="O141" s="16" t="s">
        <v>532</v>
      </c>
      <c r="P141" s="16" t="s">
        <v>693</v>
      </c>
      <c r="Q141" s="16" t="s">
        <v>333</v>
      </c>
      <c r="R141" s="16" t="s">
        <v>328</v>
      </c>
      <c r="S141" s="16" t="s">
        <v>682</v>
      </c>
      <c r="T141" s="16" t="s">
        <v>330</v>
      </c>
      <c r="U141" s="16">
        <v>5</v>
      </c>
      <c r="V141" s="16" t="s">
        <v>559</v>
      </c>
      <c r="W141" s="16">
        <v>2005</v>
      </c>
      <c r="X141" s="16" t="s">
        <v>292</v>
      </c>
      <c r="Y141" s="16" t="s">
        <v>536</v>
      </c>
      <c r="Z141" s="16" t="s">
        <v>537</v>
      </c>
      <c r="AA141" s="16" t="s">
        <v>538</v>
      </c>
      <c r="AB141" s="16" t="s">
        <v>539</v>
      </c>
      <c r="AC141" s="16" t="s">
        <v>540</v>
      </c>
      <c r="AD141" s="16" t="s">
        <v>292</v>
      </c>
      <c r="AE141" s="16" t="s">
        <v>618</v>
      </c>
      <c r="AF141" s="16" t="s">
        <v>552</v>
      </c>
      <c r="AH141" s="16" t="s">
        <v>555</v>
      </c>
      <c r="AI141" s="16" t="s">
        <v>619</v>
      </c>
      <c r="AJ141" s="16" t="s">
        <v>620</v>
      </c>
      <c r="AK141" s="16" t="s">
        <v>679</v>
      </c>
      <c r="AL141" s="16" t="s">
        <v>357</v>
      </c>
      <c r="AM141" s="16" t="s">
        <v>764</v>
      </c>
      <c r="AN141" s="16" t="s">
        <v>1281</v>
      </c>
      <c r="AO141" s="16" t="s">
        <v>1288</v>
      </c>
      <c r="AP141" s="16" t="s">
        <v>887</v>
      </c>
      <c r="AQ141" t="s">
        <v>887</v>
      </c>
      <c r="AR141" s="16">
        <v>4.8340080971659898</v>
      </c>
      <c r="AS141" s="16">
        <v>4.8582995951409913E-2</v>
      </c>
      <c r="AT141" s="16" t="s">
        <v>311</v>
      </c>
      <c r="AU141" s="16">
        <v>20</v>
      </c>
      <c r="AV141" s="16">
        <v>5.2955465587044497</v>
      </c>
      <c r="AW141" s="16">
        <v>0.19433198380567074</v>
      </c>
      <c r="AX141" s="16" t="s">
        <v>311</v>
      </c>
      <c r="AY141" s="16">
        <v>20</v>
      </c>
      <c r="AZ141" s="16" t="s">
        <v>1055</v>
      </c>
      <c r="BA141" s="16" t="s">
        <v>1679</v>
      </c>
      <c r="BB141">
        <v>30</v>
      </c>
      <c r="BC141" t="s">
        <v>1672</v>
      </c>
      <c r="BD141" s="16" t="s">
        <v>311</v>
      </c>
      <c r="BE141" s="16" t="s">
        <v>1880</v>
      </c>
      <c r="BF141" s="16">
        <v>3</v>
      </c>
      <c r="BG141" s="16" t="s">
        <v>311</v>
      </c>
      <c r="BH141" s="16">
        <v>0</v>
      </c>
      <c r="BI141" s="16" t="s">
        <v>311</v>
      </c>
      <c r="BJ141" s="16" t="s">
        <v>311</v>
      </c>
      <c r="BK141" s="16" t="s">
        <v>311</v>
      </c>
      <c r="BL141" s="16" t="s">
        <v>311</v>
      </c>
      <c r="BM141" s="16" t="s">
        <v>311</v>
      </c>
      <c r="BN141" s="16" t="s">
        <v>311</v>
      </c>
      <c r="BO141" s="16" t="s">
        <v>311</v>
      </c>
      <c r="BP141" s="16" t="s">
        <v>311</v>
      </c>
      <c r="BQ141" s="16" t="s">
        <v>311</v>
      </c>
      <c r="BR141" s="16" t="s">
        <v>311</v>
      </c>
      <c r="BS141" s="16" t="s">
        <v>311</v>
      </c>
      <c r="BT141" s="16" t="s">
        <v>311</v>
      </c>
      <c r="BU141" s="16" t="s">
        <v>311</v>
      </c>
      <c r="BV141" s="16" t="s">
        <v>311</v>
      </c>
      <c r="BW141" s="16" t="s">
        <v>311</v>
      </c>
      <c r="BX141" s="16" t="s">
        <v>1126</v>
      </c>
      <c r="BY141" s="16" t="s">
        <v>1203</v>
      </c>
      <c r="BZ141" s="16">
        <v>11</v>
      </c>
      <c r="CA141" s="16">
        <v>15</v>
      </c>
      <c r="CB141" s="16" t="s">
        <v>1209</v>
      </c>
      <c r="CC141" s="16" t="s">
        <v>1210</v>
      </c>
      <c r="CD141" s="16" t="s">
        <v>311</v>
      </c>
      <c r="CE141" s="16" t="s">
        <v>311</v>
      </c>
      <c r="CF141" s="16" t="s">
        <v>311</v>
      </c>
      <c r="CG141" t="s">
        <v>1348</v>
      </c>
      <c r="CH141" t="s">
        <v>311</v>
      </c>
      <c r="CI141">
        <v>0</v>
      </c>
      <c r="CJ141" s="38" t="s">
        <v>311</v>
      </c>
      <c r="CK141" s="38" t="s">
        <v>311</v>
      </c>
      <c r="CL141" s="38" t="s">
        <v>311</v>
      </c>
      <c r="CM141" s="38" t="s">
        <v>311</v>
      </c>
      <c r="CN141" s="39" t="s">
        <v>311</v>
      </c>
      <c r="CO141" s="39" t="s">
        <v>311</v>
      </c>
      <c r="CP141" s="39" t="s">
        <v>311</v>
      </c>
      <c r="CQ141" s="16" t="s">
        <v>1714</v>
      </c>
      <c r="CR141" s="16" t="s">
        <v>1136</v>
      </c>
    </row>
    <row r="142" spans="1:96" s="16" customFormat="1">
      <c r="A142">
        <v>141</v>
      </c>
      <c r="B142">
        <v>20</v>
      </c>
      <c r="C142" s="16">
        <v>6</v>
      </c>
      <c r="D142" s="16" t="s">
        <v>122</v>
      </c>
      <c r="E142" s="16" t="s">
        <v>123</v>
      </c>
      <c r="F142" s="16" t="s">
        <v>70</v>
      </c>
      <c r="G142" s="16">
        <v>2008</v>
      </c>
      <c r="H142" s="16" t="s">
        <v>451</v>
      </c>
      <c r="I142" s="16" t="s">
        <v>452</v>
      </c>
      <c r="J142" s="16">
        <v>55.375503999999999</v>
      </c>
      <c r="K142" s="16">
        <v>10.967093</v>
      </c>
      <c r="L142" s="16" t="s">
        <v>396</v>
      </c>
      <c r="M142" s="16" t="s">
        <v>397</v>
      </c>
      <c r="N142" s="16" t="s">
        <v>600</v>
      </c>
      <c r="O142" s="16" t="s">
        <v>532</v>
      </c>
      <c r="P142" s="16" t="s">
        <v>693</v>
      </c>
      <c r="Q142" s="16" t="s">
        <v>333</v>
      </c>
      <c r="R142" s="16" t="s">
        <v>328</v>
      </c>
      <c r="S142" s="16" t="s">
        <v>682</v>
      </c>
      <c r="T142" s="16" t="s">
        <v>330</v>
      </c>
      <c r="U142" s="16">
        <v>5</v>
      </c>
      <c r="V142" s="16" t="s">
        <v>559</v>
      </c>
      <c r="W142" s="16">
        <v>2005</v>
      </c>
      <c r="X142" s="16" t="s">
        <v>292</v>
      </c>
      <c r="Y142" s="16" t="s">
        <v>536</v>
      </c>
      <c r="Z142" s="16" t="s">
        <v>537</v>
      </c>
      <c r="AA142" s="16" t="s">
        <v>538</v>
      </c>
      <c r="AB142" s="16" t="s">
        <v>539</v>
      </c>
      <c r="AC142" s="16" t="s">
        <v>540</v>
      </c>
      <c r="AD142" s="16" t="s">
        <v>292</v>
      </c>
      <c r="AE142" s="16" t="s">
        <v>618</v>
      </c>
      <c r="AF142" s="16" t="s">
        <v>552</v>
      </c>
      <c r="AH142" s="16" t="s">
        <v>555</v>
      </c>
      <c r="AI142" s="16" t="s">
        <v>619</v>
      </c>
      <c r="AJ142" s="16" t="s">
        <v>620</v>
      </c>
      <c r="AK142" s="16" t="s">
        <v>679</v>
      </c>
      <c r="AL142" s="16" t="s">
        <v>357</v>
      </c>
      <c r="AM142" s="16" t="s">
        <v>764</v>
      </c>
      <c r="AN142" s="16" t="s">
        <v>1281</v>
      </c>
      <c r="AO142" s="16" t="s">
        <v>1283</v>
      </c>
      <c r="AP142" s="16" t="s">
        <v>614</v>
      </c>
      <c r="AQ142" s="16" t="s">
        <v>887</v>
      </c>
      <c r="AR142" s="16">
        <v>6.9647058823529395E-2</v>
      </c>
      <c r="AS142" s="16">
        <v>2.5098039215686041E-3</v>
      </c>
      <c r="AT142" s="16" t="s">
        <v>311</v>
      </c>
      <c r="AU142" s="16">
        <v>5</v>
      </c>
      <c r="AV142" s="16">
        <v>0.12737254901960701</v>
      </c>
      <c r="AW142" s="16">
        <v>6.9019607843139874E-3</v>
      </c>
      <c r="AX142" s="16" t="s">
        <v>311</v>
      </c>
      <c r="AY142" s="16">
        <v>5</v>
      </c>
      <c r="AZ142" s="16" t="s">
        <v>1055</v>
      </c>
      <c r="BA142" s="16" t="s">
        <v>1679</v>
      </c>
      <c r="BB142">
        <v>30</v>
      </c>
      <c r="BC142" t="s">
        <v>1672</v>
      </c>
      <c r="BD142" s="16" t="s">
        <v>311</v>
      </c>
      <c r="BE142" t="s">
        <v>1880</v>
      </c>
      <c r="BF142" s="16">
        <v>3</v>
      </c>
      <c r="BG142" s="16" t="s">
        <v>311</v>
      </c>
      <c r="BH142" s="16">
        <v>0</v>
      </c>
      <c r="BI142" s="16" t="s">
        <v>311</v>
      </c>
      <c r="BJ142" s="16" t="s">
        <v>311</v>
      </c>
      <c r="BK142" s="16" t="s">
        <v>311</v>
      </c>
      <c r="BL142" s="16" t="s">
        <v>311</v>
      </c>
      <c r="BM142" s="16" t="s">
        <v>311</v>
      </c>
      <c r="BN142" s="16" t="s">
        <v>311</v>
      </c>
      <c r="BO142" s="16" t="s">
        <v>311</v>
      </c>
      <c r="BP142" s="16" t="s">
        <v>311</v>
      </c>
      <c r="BQ142" s="16" t="s">
        <v>311</v>
      </c>
      <c r="BR142" s="16" t="s">
        <v>311</v>
      </c>
      <c r="BS142" s="16" t="s">
        <v>311</v>
      </c>
      <c r="BT142" s="16" t="s">
        <v>311</v>
      </c>
      <c r="BU142" s="16" t="s">
        <v>311</v>
      </c>
      <c r="BV142" s="16" t="s">
        <v>311</v>
      </c>
      <c r="BW142" s="16" t="s">
        <v>311</v>
      </c>
      <c r="BX142" s="16" t="s">
        <v>1126</v>
      </c>
      <c r="BY142" s="16" t="s">
        <v>1203</v>
      </c>
      <c r="BZ142" s="16">
        <v>11</v>
      </c>
      <c r="CA142" s="16">
        <v>15</v>
      </c>
      <c r="CB142" s="16" t="s">
        <v>1209</v>
      </c>
      <c r="CC142" s="16" t="s">
        <v>1210</v>
      </c>
      <c r="CD142" s="16" t="s">
        <v>311</v>
      </c>
      <c r="CE142" s="16" t="s">
        <v>311</v>
      </c>
      <c r="CF142" s="16" t="s">
        <v>311</v>
      </c>
      <c r="CG142" t="s">
        <v>1348</v>
      </c>
      <c r="CH142" t="s">
        <v>311</v>
      </c>
      <c r="CI142">
        <v>0</v>
      </c>
      <c r="CJ142" s="38" t="s">
        <v>311</v>
      </c>
      <c r="CK142" s="38" t="s">
        <v>311</v>
      </c>
      <c r="CL142" s="38" t="s">
        <v>311</v>
      </c>
      <c r="CM142" s="38" t="s">
        <v>311</v>
      </c>
      <c r="CN142" s="39" t="s">
        <v>311</v>
      </c>
      <c r="CO142" s="39" t="s">
        <v>311</v>
      </c>
      <c r="CP142" s="39" t="s">
        <v>311</v>
      </c>
      <c r="CQ142" s="16" t="s">
        <v>1714</v>
      </c>
      <c r="CR142" s="16" t="s">
        <v>1137</v>
      </c>
    </row>
    <row r="143" spans="1:96">
      <c r="A143">
        <v>142</v>
      </c>
      <c r="B143">
        <v>21</v>
      </c>
      <c r="C143">
        <v>1</v>
      </c>
      <c r="D143" t="s">
        <v>124</v>
      </c>
      <c r="E143" t="s">
        <v>125</v>
      </c>
      <c r="F143" t="s">
        <v>35</v>
      </c>
      <c r="G143">
        <v>2008</v>
      </c>
      <c r="H143" t="s">
        <v>1304</v>
      </c>
      <c r="I143" t="s">
        <v>1305</v>
      </c>
      <c r="J143">
        <v>-17.5</v>
      </c>
      <c r="K143">
        <v>-149.83333300000001</v>
      </c>
      <c r="L143" t="s">
        <v>389</v>
      </c>
      <c r="M143" t="s">
        <v>390</v>
      </c>
      <c r="N143" t="s">
        <v>594</v>
      </c>
      <c r="O143" t="s">
        <v>288</v>
      </c>
      <c r="P143" t="s">
        <v>289</v>
      </c>
      <c r="Q143" t="s">
        <v>291</v>
      </c>
      <c r="R143" t="s">
        <v>327</v>
      </c>
      <c r="S143" t="s">
        <v>717</v>
      </c>
      <c r="T143" t="s">
        <v>331</v>
      </c>
      <c r="U143">
        <v>4</v>
      </c>
      <c r="V143" t="s">
        <v>535</v>
      </c>
      <c r="W143">
        <v>2005</v>
      </c>
      <c r="X143" t="s">
        <v>309</v>
      </c>
      <c r="Y143" t="s">
        <v>310</v>
      </c>
      <c r="Z143" t="s">
        <v>302</v>
      </c>
      <c r="AA143" t="s">
        <v>303</v>
      </c>
      <c r="AB143" t="s">
        <v>311</v>
      </c>
      <c r="AC143" t="s">
        <v>311</v>
      </c>
      <c r="AD143" t="s">
        <v>292</v>
      </c>
      <c r="AE143" t="s">
        <v>657</v>
      </c>
      <c r="AF143" t="s">
        <v>304</v>
      </c>
      <c r="AH143" t="s">
        <v>305</v>
      </c>
      <c r="AI143" t="s">
        <v>306</v>
      </c>
      <c r="AJ143" t="s">
        <v>307</v>
      </c>
      <c r="AK143" t="s">
        <v>317</v>
      </c>
      <c r="AL143" t="s">
        <v>357</v>
      </c>
      <c r="AM143" t="s">
        <v>1059</v>
      </c>
      <c r="AN143" t="s">
        <v>583</v>
      </c>
      <c r="AO143" t="s">
        <v>1286</v>
      </c>
      <c r="AP143" t="s">
        <v>614</v>
      </c>
      <c r="AQ143" s="16" t="s">
        <v>614</v>
      </c>
      <c r="AR143">
        <v>0.58963585434173604</v>
      </c>
      <c r="AS143">
        <v>4.4817927170869E-2</v>
      </c>
      <c r="AT143" t="s">
        <v>311</v>
      </c>
      <c r="AU143">
        <v>10</v>
      </c>
      <c r="AV143">
        <v>0.42577030812324901</v>
      </c>
      <c r="AW143">
        <v>4.7619047619047006E-2</v>
      </c>
      <c r="AX143" t="s">
        <v>311</v>
      </c>
      <c r="AY143">
        <v>10</v>
      </c>
      <c r="AZ143" t="s">
        <v>1055</v>
      </c>
      <c r="BA143" t="s">
        <v>1679</v>
      </c>
      <c r="BB143">
        <v>30</v>
      </c>
      <c r="BC143" t="s">
        <v>1672</v>
      </c>
      <c r="BD143" s="16" t="s">
        <v>311</v>
      </c>
      <c r="BE143" t="s">
        <v>1880</v>
      </c>
      <c r="BF143">
        <v>0.46215596330275199</v>
      </c>
      <c r="BG143">
        <v>7.3394495412844041E-2</v>
      </c>
      <c r="BH143">
        <v>0</v>
      </c>
      <c r="BI143">
        <v>0</v>
      </c>
      <c r="BJ143" t="s">
        <v>311</v>
      </c>
      <c r="BK143" t="s">
        <v>311</v>
      </c>
      <c r="BL143" t="s">
        <v>311</v>
      </c>
      <c r="BM143" t="s">
        <v>311</v>
      </c>
      <c r="BN143" t="s">
        <v>311</v>
      </c>
      <c r="BO143" t="s">
        <v>311</v>
      </c>
      <c r="BP143" t="s">
        <v>311</v>
      </c>
      <c r="BQ143" t="s">
        <v>311</v>
      </c>
      <c r="BR143" t="s">
        <v>311</v>
      </c>
      <c r="BS143" t="s">
        <v>311</v>
      </c>
      <c r="BT143" t="s">
        <v>311</v>
      </c>
      <c r="BU143" t="s">
        <v>311</v>
      </c>
      <c r="BV143" t="s">
        <v>311</v>
      </c>
      <c r="BW143" t="s">
        <v>311</v>
      </c>
      <c r="BX143" t="s">
        <v>1126</v>
      </c>
      <c r="BY143" t="s">
        <v>1203</v>
      </c>
      <c r="BZ143">
        <v>0.43</v>
      </c>
      <c r="CA143">
        <v>27</v>
      </c>
      <c r="CB143" t="s">
        <v>1210</v>
      </c>
      <c r="CC143" t="s">
        <v>1210</v>
      </c>
      <c r="CD143" s="28" t="s">
        <v>1662</v>
      </c>
      <c r="CE143" s="28" t="s">
        <v>1307</v>
      </c>
      <c r="CF143" s="28">
        <v>0</v>
      </c>
      <c r="CG143" s="28" t="s">
        <v>1662</v>
      </c>
      <c r="CH143" s="28" t="s">
        <v>1306</v>
      </c>
      <c r="CI143">
        <v>0</v>
      </c>
      <c r="CJ143" s="39" t="s">
        <v>311</v>
      </c>
      <c r="CK143" s="39" t="s">
        <v>311</v>
      </c>
      <c r="CL143" s="39" t="s">
        <v>311</v>
      </c>
      <c r="CM143" s="39" t="s">
        <v>311</v>
      </c>
      <c r="CN143" s="39" t="s">
        <v>311</v>
      </c>
      <c r="CO143" s="39" t="s">
        <v>311</v>
      </c>
      <c r="CP143" s="38" t="s">
        <v>311</v>
      </c>
      <c r="CQ143" t="s">
        <v>1715</v>
      </c>
      <c r="CR143" t="s">
        <v>1138</v>
      </c>
    </row>
    <row r="144" spans="1:96" s="30" customFormat="1">
      <c r="A144">
        <v>143</v>
      </c>
      <c r="B144" s="30">
        <v>21</v>
      </c>
      <c r="C144" s="30">
        <v>2</v>
      </c>
      <c r="D144" s="30" t="s">
        <v>124</v>
      </c>
      <c r="E144" s="30" t="s">
        <v>125</v>
      </c>
      <c r="F144" s="30" t="s">
        <v>35</v>
      </c>
      <c r="G144" s="30">
        <v>2008</v>
      </c>
      <c r="H144" s="30" t="s">
        <v>1304</v>
      </c>
      <c r="I144" s="30" t="s">
        <v>1305</v>
      </c>
      <c r="J144" s="30">
        <v>-17.5</v>
      </c>
      <c r="K144" s="30">
        <v>-149.83333300000001</v>
      </c>
      <c r="L144" s="30" t="s">
        <v>389</v>
      </c>
      <c r="M144" s="30" t="s">
        <v>390</v>
      </c>
      <c r="N144" s="30" t="s">
        <v>594</v>
      </c>
      <c r="O144" s="30" t="s">
        <v>288</v>
      </c>
      <c r="P144" s="30" t="s">
        <v>289</v>
      </c>
      <c r="Q144" s="30" t="s">
        <v>291</v>
      </c>
      <c r="R144" s="30" t="s">
        <v>327</v>
      </c>
      <c r="S144" s="30" t="s">
        <v>717</v>
      </c>
      <c r="T144" s="30" t="s">
        <v>331</v>
      </c>
      <c r="U144" s="30">
        <v>4</v>
      </c>
      <c r="V144" s="30" t="s">
        <v>535</v>
      </c>
      <c r="W144" s="30">
        <v>2005</v>
      </c>
      <c r="X144" s="30" t="s">
        <v>309</v>
      </c>
      <c r="Y144" s="30" t="s">
        <v>310</v>
      </c>
      <c r="Z144" s="30" t="s">
        <v>302</v>
      </c>
      <c r="AA144" s="30" t="s">
        <v>303</v>
      </c>
      <c r="AB144" s="30" t="s">
        <v>311</v>
      </c>
      <c r="AC144" s="30" t="s">
        <v>311</v>
      </c>
      <c r="AD144" s="30" t="s">
        <v>292</v>
      </c>
      <c r="AE144" s="30" t="s">
        <v>657</v>
      </c>
      <c r="AF144" s="30" t="s">
        <v>304</v>
      </c>
      <c r="AH144" s="30" t="s">
        <v>305</v>
      </c>
      <c r="AI144" s="30" t="s">
        <v>306</v>
      </c>
      <c r="AJ144" s="30" t="s">
        <v>307</v>
      </c>
      <c r="AK144" s="30" t="s">
        <v>317</v>
      </c>
      <c r="AL144" s="30" t="s">
        <v>357</v>
      </c>
      <c r="AM144" s="30" t="s">
        <v>1059</v>
      </c>
      <c r="AN144" s="30" t="s">
        <v>583</v>
      </c>
      <c r="AO144" s="30" t="s">
        <v>1286</v>
      </c>
      <c r="AP144" s="30" t="s">
        <v>887</v>
      </c>
      <c r="AQ144" s="33" t="s">
        <v>614</v>
      </c>
      <c r="AR144" s="30">
        <v>12.739635854341737</v>
      </c>
      <c r="AS144" s="30">
        <v>4.4817927170869E-2</v>
      </c>
      <c r="AT144" s="30" t="s">
        <v>311</v>
      </c>
      <c r="AU144" s="30">
        <v>10</v>
      </c>
      <c r="AV144" s="30">
        <v>12.57577030812325</v>
      </c>
      <c r="AW144" s="30">
        <v>4.7619047619047006E-2</v>
      </c>
      <c r="AX144" s="30" t="s">
        <v>311</v>
      </c>
      <c r="AY144" s="30">
        <v>10</v>
      </c>
      <c r="AZ144" s="30" t="s">
        <v>1055</v>
      </c>
      <c r="BA144" s="30" t="s">
        <v>1679</v>
      </c>
      <c r="BB144">
        <v>30</v>
      </c>
      <c r="BC144" s="30" t="s">
        <v>1673</v>
      </c>
      <c r="BD144" s="30" t="s">
        <v>311</v>
      </c>
      <c r="BE144" s="30" t="s">
        <v>1880</v>
      </c>
      <c r="BF144" s="30">
        <v>0.46215596330275199</v>
      </c>
      <c r="BG144" s="30">
        <v>7.3394495412844041E-2</v>
      </c>
      <c r="BH144" s="30">
        <v>0</v>
      </c>
      <c r="BI144" s="30">
        <v>0</v>
      </c>
      <c r="BJ144" s="30" t="s">
        <v>311</v>
      </c>
      <c r="BK144" s="30" t="s">
        <v>311</v>
      </c>
      <c r="BL144" s="30" t="s">
        <v>311</v>
      </c>
      <c r="BM144" s="30" t="s">
        <v>311</v>
      </c>
      <c r="BN144" s="30" t="s">
        <v>311</v>
      </c>
      <c r="BO144" s="30" t="s">
        <v>311</v>
      </c>
      <c r="BP144" s="30" t="s">
        <v>311</v>
      </c>
      <c r="BQ144" s="30" t="s">
        <v>311</v>
      </c>
      <c r="BR144" s="30" t="s">
        <v>311</v>
      </c>
      <c r="BS144" s="30" t="s">
        <v>311</v>
      </c>
      <c r="BT144" s="30" t="s">
        <v>311</v>
      </c>
      <c r="BU144" s="30" t="s">
        <v>311</v>
      </c>
      <c r="BV144" s="30" t="s">
        <v>311</v>
      </c>
      <c r="BW144" s="30" t="s">
        <v>311</v>
      </c>
      <c r="BX144" s="30" t="s">
        <v>1126</v>
      </c>
      <c r="BY144" s="30" t="s">
        <v>1203</v>
      </c>
      <c r="BZ144" s="30">
        <v>0.43</v>
      </c>
      <c r="CA144" s="30">
        <v>27</v>
      </c>
      <c r="CB144" s="30" t="s">
        <v>1210</v>
      </c>
      <c r="CC144" s="30" t="s">
        <v>1210</v>
      </c>
      <c r="CD144" s="34" t="s">
        <v>1662</v>
      </c>
      <c r="CE144" s="34" t="s">
        <v>1307</v>
      </c>
      <c r="CF144" s="34">
        <v>0</v>
      </c>
      <c r="CG144" s="34" t="s">
        <v>1662</v>
      </c>
      <c r="CH144" s="34" t="s">
        <v>1306</v>
      </c>
      <c r="CI144" s="30">
        <v>0</v>
      </c>
      <c r="CJ144" s="39" t="s">
        <v>311</v>
      </c>
      <c r="CK144" s="39" t="s">
        <v>311</v>
      </c>
      <c r="CL144" s="39" t="s">
        <v>311</v>
      </c>
      <c r="CM144" s="39" t="s">
        <v>311</v>
      </c>
      <c r="CN144" s="39" t="s">
        <v>311</v>
      </c>
      <c r="CO144" s="39" t="s">
        <v>311</v>
      </c>
      <c r="CP144" s="38" t="s">
        <v>311</v>
      </c>
      <c r="CQ144" s="30" t="s">
        <v>1809</v>
      </c>
      <c r="CR144" s="30" t="s">
        <v>1810</v>
      </c>
    </row>
    <row r="145" spans="1:96">
      <c r="A145">
        <v>144</v>
      </c>
      <c r="B145">
        <v>22</v>
      </c>
      <c r="C145">
        <v>1</v>
      </c>
      <c r="D145" t="s">
        <v>126</v>
      </c>
      <c r="E145" t="s">
        <v>127</v>
      </c>
      <c r="F145" t="s">
        <v>128</v>
      </c>
      <c r="G145">
        <v>2008</v>
      </c>
      <c r="H145" t="s">
        <v>449</v>
      </c>
      <c r="I145" t="s">
        <v>450</v>
      </c>
      <c r="J145">
        <v>54.818859000000003</v>
      </c>
      <c r="K145">
        <v>9.9408399999999997</v>
      </c>
      <c r="L145" t="s">
        <v>396</v>
      </c>
      <c r="M145" t="s">
        <v>398</v>
      </c>
      <c r="N145" t="s">
        <v>600</v>
      </c>
      <c r="O145" t="s">
        <v>532</v>
      </c>
      <c r="P145" t="s">
        <v>693</v>
      </c>
      <c r="Q145" t="s">
        <v>333</v>
      </c>
      <c r="R145" t="s">
        <v>681</v>
      </c>
      <c r="S145" t="s">
        <v>682</v>
      </c>
      <c r="T145" t="s">
        <v>331</v>
      </c>
      <c r="U145">
        <v>1</v>
      </c>
      <c r="V145" t="s">
        <v>535</v>
      </c>
      <c r="W145">
        <v>2004</v>
      </c>
      <c r="X145" t="s">
        <v>292</v>
      </c>
      <c r="Y145" t="s">
        <v>536</v>
      </c>
      <c r="Z145" t="s">
        <v>537</v>
      </c>
      <c r="AA145" t="s">
        <v>538</v>
      </c>
      <c r="AB145" t="s">
        <v>539</v>
      </c>
      <c r="AC145" t="s">
        <v>540</v>
      </c>
      <c r="AD145" t="s">
        <v>292</v>
      </c>
      <c r="AE145" t="s">
        <v>618</v>
      </c>
      <c r="AF145" t="s">
        <v>552</v>
      </c>
      <c r="AH145" t="s">
        <v>555</v>
      </c>
      <c r="AI145" t="s">
        <v>619</v>
      </c>
      <c r="AJ145" t="s">
        <v>620</v>
      </c>
      <c r="AK145" t="s">
        <v>683</v>
      </c>
      <c r="AL145" t="s">
        <v>684</v>
      </c>
      <c r="AM145" t="s">
        <v>1059</v>
      </c>
      <c r="AN145" t="s">
        <v>1281</v>
      </c>
      <c r="AO145" t="s">
        <v>1283</v>
      </c>
      <c r="AP145" t="s">
        <v>614</v>
      </c>
      <c r="AQ145" t="s">
        <v>887</v>
      </c>
      <c r="AR145">
        <v>0.12</v>
      </c>
      <c r="AS145">
        <v>0.01</v>
      </c>
      <c r="AT145" t="s">
        <v>311</v>
      </c>
      <c r="AU145">
        <v>10</v>
      </c>
      <c r="AV145">
        <v>0.14000000000000001</v>
      </c>
      <c r="AW145">
        <v>0.02</v>
      </c>
      <c r="AX145" t="s">
        <v>311</v>
      </c>
      <c r="AY145">
        <v>10</v>
      </c>
      <c r="AZ145" t="s">
        <v>1055</v>
      </c>
      <c r="BA145" t="s">
        <v>1679</v>
      </c>
      <c r="BB145">
        <v>7</v>
      </c>
      <c r="BC145" t="s">
        <v>1672</v>
      </c>
      <c r="BD145" s="16" t="s">
        <v>311</v>
      </c>
      <c r="BE145" t="s">
        <v>1880</v>
      </c>
      <c r="BF145">
        <v>46.386554621848703</v>
      </c>
      <c r="BG145">
        <v>13.445378151260499</v>
      </c>
      <c r="BH145">
        <v>0</v>
      </c>
      <c r="BI145">
        <v>0</v>
      </c>
      <c r="BJ145">
        <v>0.8</v>
      </c>
      <c r="BK145" t="s">
        <v>311</v>
      </c>
      <c r="BL145">
        <v>0.8</v>
      </c>
      <c r="BM145" t="s">
        <v>311</v>
      </c>
      <c r="BN145">
        <v>3</v>
      </c>
      <c r="BO145">
        <v>3</v>
      </c>
      <c r="BP145" t="s">
        <v>311</v>
      </c>
      <c r="BQ145" t="s">
        <v>311</v>
      </c>
      <c r="BR145" t="s">
        <v>311</v>
      </c>
      <c r="BS145" t="s">
        <v>311</v>
      </c>
      <c r="BT145" t="s">
        <v>311</v>
      </c>
      <c r="BU145" t="s">
        <v>311</v>
      </c>
      <c r="BV145" t="s">
        <v>311</v>
      </c>
      <c r="BW145" t="s">
        <v>311</v>
      </c>
      <c r="BX145" t="s">
        <v>1126</v>
      </c>
      <c r="BY145" t="s">
        <v>1204</v>
      </c>
      <c r="BZ145">
        <v>11</v>
      </c>
      <c r="CA145">
        <v>15</v>
      </c>
      <c r="CB145" t="s">
        <v>1209</v>
      </c>
      <c r="CC145" t="s">
        <v>1210</v>
      </c>
      <c r="CD145" t="s">
        <v>311</v>
      </c>
      <c r="CE145" t="s">
        <v>311</v>
      </c>
      <c r="CF145" t="s">
        <v>311</v>
      </c>
      <c r="CG145" t="s">
        <v>1348</v>
      </c>
      <c r="CH145" t="s">
        <v>311</v>
      </c>
      <c r="CI145">
        <v>0</v>
      </c>
      <c r="CJ145" s="39" t="s">
        <v>311</v>
      </c>
      <c r="CK145" s="39" t="s">
        <v>311</v>
      </c>
      <c r="CL145" s="39" t="s">
        <v>311</v>
      </c>
      <c r="CM145" s="39" t="s">
        <v>311</v>
      </c>
      <c r="CN145" s="39" t="s">
        <v>311</v>
      </c>
      <c r="CO145" s="39" t="s">
        <v>311</v>
      </c>
      <c r="CP145" s="39" t="s">
        <v>311</v>
      </c>
      <c r="CQ145" t="s">
        <v>1716</v>
      </c>
      <c r="CR145" t="s">
        <v>1347</v>
      </c>
    </row>
    <row r="146" spans="1:96">
      <c r="A146">
        <v>145</v>
      </c>
      <c r="B146">
        <v>22</v>
      </c>
      <c r="C146">
        <v>2</v>
      </c>
      <c r="D146" t="s">
        <v>126</v>
      </c>
      <c r="E146" t="s">
        <v>127</v>
      </c>
      <c r="F146" t="s">
        <v>128</v>
      </c>
      <c r="G146">
        <v>2008</v>
      </c>
      <c r="H146" t="s">
        <v>449</v>
      </c>
      <c r="I146" t="s">
        <v>450</v>
      </c>
      <c r="J146">
        <v>54.818859000000003</v>
      </c>
      <c r="K146">
        <v>9.9408399999999997</v>
      </c>
      <c r="L146" t="s">
        <v>396</v>
      </c>
      <c r="M146" t="s">
        <v>398</v>
      </c>
      <c r="N146" t="s">
        <v>600</v>
      </c>
      <c r="O146" t="s">
        <v>532</v>
      </c>
      <c r="P146" t="s">
        <v>693</v>
      </c>
      <c r="Q146" t="s">
        <v>333</v>
      </c>
      <c r="R146" t="s">
        <v>681</v>
      </c>
      <c r="S146" t="s">
        <v>682</v>
      </c>
      <c r="T146" t="s">
        <v>331</v>
      </c>
      <c r="U146">
        <v>1</v>
      </c>
      <c r="V146" t="s">
        <v>535</v>
      </c>
      <c r="W146">
        <v>2004</v>
      </c>
      <c r="X146" t="s">
        <v>292</v>
      </c>
      <c r="Y146" t="s">
        <v>536</v>
      </c>
      <c r="Z146" t="s">
        <v>537</v>
      </c>
      <c r="AA146" t="s">
        <v>538</v>
      </c>
      <c r="AB146" t="s">
        <v>539</v>
      </c>
      <c r="AC146" t="s">
        <v>540</v>
      </c>
      <c r="AD146" t="s">
        <v>292</v>
      </c>
      <c r="AE146" t="s">
        <v>618</v>
      </c>
      <c r="AF146" t="s">
        <v>552</v>
      </c>
      <c r="AH146" t="s">
        <v>555</v>
      </c>
      <c r="AI146" t="s">
        <v>619</v>
      </c>
      <c r="AJ146" t="s">
        <v>620</v>
      </c>
      <c r="AK146" t="s">
        <v>683</v>
      </c>
      <c r="AL146" t="s">
        <v>684</v>
      </c>
      <c r="AM146" t="s">
        <v>1059</v>
      </c>
      <c r="AN146" t="s">
        <v>1277</v>
      </c>
      <c r="AO146" t="s">
        <v>345</v>
      </c>
      <c r="AP146" t="s">
        <v>887</v>
      </c>
      <c r="AQ146" t="s">
        <v>887</v>
      </c>
      <c r="AR146">
        <v>452</v>
      </c>
      <c r="AS146">
        <v>65</v>
      </c>
      <c r="AT146" t="s">
        <v>311</v>
      </c>
      <c r="AU146">
        <v>8</v>
      </c>
      <c r="AV146">
        <v>413</v>
      </c>
      <c r="AW146">
        <v>28</v>
      </c>
      <c r="AX146" t="s">
        <v>311</v>
      </c>
      <c r="AY146">
        <v>8</v>
      </c>
      <c r="AZ146" t="s">
        <v>1677</v>
      </c>
      <c r="BA146" t="s">
        <v>1680</v>
      </c>
      <c r="BB146">
        <v>0</v>
      </c>
      <c r="BC146" t="s">
        <v>1672</v>
      </c>
      <c r="BD146" s="16" t="s">
        <v>311</v>
      </c>
      <c r="BE146" s="16" t="s">
        <v>1880</v>
      </c>
      <c r="BF146">
        <v>46.386554621848703</v>
      </c>
      <c r="BG146">
        <v>13.445378151260499</v>
      </c>
      <c r="BH146">
        <v>0</v>
      </c>
      <c r="BI146">
        <v>0</v>
      </c>
      <c r="BJ146">
        <v>0.8</v>
      </c>
      <c r="BK146" t="s">
        <v>311</v>
      </c>
      <c r="BL146">
        <v>0.8</v>
      </c>
      <c r="BM146" t="s">
        <v>311</v>
      </c>
      <c r="BN146">
        <v>3</v>
      </c>
      <c r="BO146">
        <v>3</v>
      </c>
      <c r="BP146" t="s">
        <v>311</v>
      </c>
      <c r="BQ146" t="s">
        <v>311</v>
      </c>
      <c r="BR146" t="s">
        <v>311</v>
      </c>
      <c r="BS146" t="s">
        <v>311</v>
      </c>
      <c r="BT146" t="s">
        <v>311</v>
      </c>
      <c r="BU146" t="s">
        <v>311</v>
      </c>
      <c r="BV146" t="s">
        <v>311</v>
      </c>
      <c r="BW146" t="s">
        <v>311</v>
      </c>
      <c r="BX146" t="s">
        <v>1126</v>
      </c>
      <c r="BY146" t="s">
        <v>1204</v>
      </c>
      <c r="BZ146">
        <v>11</v>
      </c>
      <c r="CA146">
        <v>15</v>
      </c>
      <c r="CB146" t="s">
        <v>1209</v>
      </c>
      <c r="CC146" t="s">
        <v>1210</v>
      </c>
      <c r="CD146" t="s">
        <v>311</v>
      </c>
      <c r="CE146" t="s">
        <v>311</v>
      </c>
      <c r="CF146" t="s">
        <v>311</v>
      </c>
      <c r="CG146" t="s">
        <v>1348</v>
      </c>
      <c r="CH146" t="s">
        <v>311</v>
      </c>
      <c r="CI146">
        <v>0</v>
      </c>
      <c r="CJ146" s="39" t="s">
        <v>311</v>
      </c>
      <c r="CK146" s="39" t="s">
        <v>311</v>
      </c>
      <c r="CL146" s="39" t="s">
        <v>311</v>
      </c>
      <c r="CM146" s="39" t="s">
        <v>311</v>
      </c>
      <c r="CN146" s="39" t="s">
        <v>311</v>
      </c>
      <c r="CO146" s="39" t="s">
        <v>311</v>
      </c>
      <c r="CP146" s="39" t="s">
        <v>311</v>
      </c>
      <c r="CQ146" t="s">
        <v>1811</v>
      </c>
      <c r="CR146" t="s">
        <v>1616</v>
      </c>
    </row>
    <row r="147" spans="1:96">
      <c r="A147">
        <v>146</v>
      </c>
      <c r="B147">
        <v>22</v>
      </c>
      <c r="C147">
        <v>3</v>
      </c>
      <c r="D147" t="s">
        <v>126</v>
      </c>
      <c r="E147" t="s">
        <v>127</v>
      </c>
      <c r="F147" t="s">
        <v>128</v>
      </c>
      <c r="G147">
        <v>2008</v>
      </c>
      <c r="H147" t="s">
        <v>449</v>
      </c>
      <c r="I147" t="s">
        <v>450</v>
      </c>
      <c r="J147">
        <v>54.818859000000003</v>
      </c>
      <c r="K147">
        <v>9.9408399999999997</v>
      </c>
      <c r="L147" t="s">
        <v>396</v>
      </c>
      <c r="M147" t="s">
        <v>398</v>
      </c>
      <c r="N147" t="s">
        <v>600</v>
      </c>
      <c r="O147" t="s">
        <v>532</v>
      </c>
      <c r="P147" t="s">
        <v>693</v>
      </c>
      <c r="Q147" t="s">
        <v>333</v>
      </c>
      <c r="R147" t="s">
        <v>681</v>
      </c>
      <c r="S147" t="s">
        <v>682</v>
      </c>
      <c r="T147" t="s">
        <v>331</v>
      </c>
      <c r="U147">
        <v>1</v>
      </c>
      <c r="V147" t="s">
        <v>535</v>
      </c>
      <c r="W147">
        <v>2004</v>
      </c>
      <c r="X147" t="s">
        <v>292</v>
      </c>
      <c r="Y147" t="s">
        <v>536</v>
      </c>
      <c r="Z147" t="s">
        <v>537</v>
      </c>
      <c r="AA147" t="s">
        <v>538</v>
      </c>
      <c r="AB147" t="s">
        <v>539</v>
      </c>
      <c r="AC147" t="s">
        <v>540</v>
      </c>
      <c r="AD147" t="s">
        <v>292</v>
      </c>
      <c r="AE147" t="s">
        <v>618</v>
      </c>
      <c r="AF147" t="s">
        <v>552</v>
      </c>
      <c r="AH147" t="s">
        <v>555</v>
      </c>
      <c r="AI147" t="s">
        <v>619</v>
      </c>
      <c r="AJ147" t="s">
        <v>620</v>
      </c>
      <c r="AK147" t="s">
        <v>683</v>
      </c>
      <c r="AL147" t="s">
        <v>684</v>
      </c>
      <c r="AM147" t="s">
        <v>1059</v>
      </c>
      <c r="AN147" t="s">
        <v>1277</v>
      </c>
      <c r="AO147" t="s">
        <v>1283</v>
      </c>
      <c r="AP147" t="s">
        <v>887</v>
      </c>
      <c r="AQ147" t="s">
        <v>887</v>
      </c>
      <c r="AR147">
        <v>49.4</v>
      </c>
      <c r="AS147">
        <v>1.3</v>
      </c>
      <c r="AT147" t="s">
        <v>311</v>
      </c>
      <c r="AU147">
        <v>30</v>
      </c>
      <c r="AV147">
        <v>58.2</v>
      </c>
      <c r="AW147">
        <v>1.5</v>
      </c>
      <c r="AX147" t="s">
        <v>311</v>
      </c>
      <c r="AY147">
        <v>30</v>
      </c>
      <c r="AZ147" t="s">
        <v>1055</v>
      </c>
      <c r="BA147" t="s">
        <v>1680</v>
      </c>
      <c r="BB147">
        <v>0</v>
      </c>
      <c r="BC147" t="s">
        <v>1672</v>
      </c>
      <c r="BD147" s="16" t="s">
        <v>311</v>
      </c>
      <c r="BE147" s="16" t="s">
        <v>1880</v>
      </c>
      <c r="BF147">
        <v>46.386554621848703</v>
      </c>
      <c r="BG147">
        <v>13.445378151260499</v>
      </c>
      <c r="BH147">
        <v>0</v>
      </c>
      <c r="BI147">
        <v>0</v>
      </c>
      <c r="BJ147">
        <v>0.8</v>
      </c>
      <c r="BK147" t="s">
        <v>311</v>
      </c>
      <c r="BL147">
        <v>0.8</v>
      </c>
      <c r="BM147" t="s">
        <v>311</v>
      </c>
      <c r="BN147">
        <v>3</v>
      </c>
      <c r="BO147">
        <v>3</v>
      </c>
      <c r="BP147" t="s">
        <v>311</v>
      </c>
      <c r="BQ147" t="s">
        <v>311</v>
      </c>
      <c r="BR147" t="s">
        <v>311</v>
      </c>
      <c r="BS147" t="s">
        <v>311</v>
      </c>
      <c r="BT147" t="s">
        <v>311</v>
      </c>
      <c r="BU147" t="s">
        <v>311</v>
      </c>
      <c r="BV147" t="s">
        <v>311</v>
      </c>
      <c r="BW147" t="s">
        <v>311</v>
      </c>
      <c r="BX147" t="s">
        <v>1126</v>
      </c>
      <c r="BY147" t="s">
        <v>1204</v>
      </c>
      <c r="BZ147">
        <v>11</v>
      </c>
      <c r="CA147">
        <v>15</v>
      </c>
      <c r="CB147" t="s">
        <v>1209</v>
      </c>
      <c r="CC147" t="s">
        <v>1210</v>
      </c>
      <c r="CD147" t="s">
        <v>311</v>
      </c>
      <c r="CE147" t="s">
        <v>311</v>
      </c>
      <c r="CF147" t="s">
        <v>311</v>
      </c>
      <c r="CG147" t="s">
        <v>1348</v>
      </c>
      <c r="CH147" t="s">
        <v>311</v>
      </c>
      <c r="CI147">
        <v>0</v>
      </c>
      <c r="CJ147" s="39" t="s">
        <v>311</v>
      </c>
      <c r="CK147" s="39" t="s">
        <v>311</v>
      </c>
      <c r="CL147" s="39" t="s">
        <v>311</v>
      </c>
      <c r="CM147" s="39" t="s">
        <v>311</v>
      </c>
      <c r="CN147" s="39" t="s">
        <v>311</v>
      </c>
      <c r="CO147" s="39" t="s">
        <v>311</v>
      </c>
      <c r="CP147" s="39" t="s">
        <v>311</v>
      </c>
      <c r="CQ147" t="s">
        <v>1717</v>
      </c>
      <c r="CR147" t="s">
        <v>1156</v>
      </c>
    </row>
    <row r="148" spans="1:96">
      <c r="A148">
        <v>147</v>
      </c>
      <c r="B148">
        <v>22</v>
      </c>
      <c r="C148">
        <v>4</v>
      </c>
      <c r="D148" t="s">
        <v>126</v>
      </c>
      <c r="E148" t="s">
        <v>127</v>
      </c>
      <c r="F148" t="s">
        <v>128</v>
      </c>
      <c r="G148">
        <v>2008</v>
      </c>
      <c r="H148" t="s">
        <v>449</v>
      </c>
      <c r="I148" t="s">
        <v>450</v>
      </c>
      <c r="J148">
        <v>54.818859000000003</v>
      </c>
      <c r="K148">
        <v>9.9408399999999997</v>
      </c>
      <c r="L148" t="s">
        <v>396</v>
      </c>
      <c r="M148" t="s">
        <v>398</v>
      </c>
      <c r="N148" t="s">
        <v>600</v>
      </c>
      <c r="O148" t="s">
        <v>532</v>
      </c>
      <c r="P148" t="s">
        <v>693</v>
      </c>
      <c r="Q148" t="s">
        <v>333</v>
      </c>
      <c r="R148" t="s">
        <v>681</v>
      </c>
      <c r="S148" t="s">
        <v>682</v>
      </c>
      <c r="T148" t="s">
        <v>331</v>
      </c>
      <c r="U148">
        <v>1</v>
      </c>
      <c r="V148" t="s">
        <v>535</v>
      </c>
      <c r="W148">
        <v>2004</v>
      </c>
      <c r="X148" t="s">
        <v>292</v>
      </c>
      <c r="Y148" t="s">
        <v>536</v>
      </c>
      <c r="Z148" t="s">
        <v>537</v>
      </c>
      <c r="AA148" t="s">
        <v>538</v>
      </c>
      <c r="AB148" t="s">
        <v>539</v>
      </c>
      <c r="AC148" t="s">
        <v>540</v>
      </c>
      <c r="AD148" t="s">
        <v>292</v>
      </c>
      <c r="AE148" t="s">
        <v>618</v>
      </c>
      <c r="AF148" t="s">
        <v>552</v>
      </c>
      <c r="AH148" t="s">
        <v>555</v>
      </c>
      <c r="AI148" t="s">
        <v>619</v>
      </c>
      <c r="AJ148" t="s">
        <v>620</v>
      </c>
      <c r="AK148" t="s">
        <v>683</v>
      </c>
      <c r="AL148" t="s">
        <v>684</v>
      </c>
      <c r="AM148" t="s">
        <v>1059</v>
      </c>
      <c r="AN148" t="s">
        <v>1281</v>
      </c>
      <c r="AO148" t="s">
        <v>1288</v>
      </c>
      <c r="AP148" t="s">
        <v>887</v>
      </c>
      <c r="AQ148" t="s">
        <v>887</v>
      </c>
      <c r="AR148">
        <v>5.0999999999999996</v>
      </c>
      <c r="AS148">
        <v>0.09</v>
      </c>
      <c r="AT148" t="s">
        <v>311</v>
      </c>
      <c r="AU148">
        <v>30</v>
      </c>
      <c r="AV148">
        <v>6.2</v>
      </c>
      <c r="AW148">
        <v>0.09</v>
      </c>
      <c r="AX148" t="s">
        <v>311</v>
      </c>
      <c r="AY148">
        <v>30</v>
      </c>
      <c r="AZ148" t="s">
        <v>1055</v>
      </c>
      <c r="BA148" t="s">
        <v>1680</v>
      </c>
      <c r="BB148">
        <v>0</v>
      </c>
      <c r="BC148" t="s">
        <v>1672</v>
      </c>
      <c r="BD148" s="16" t="s">
        <v>311</v>
      </c>
      <c r="BE148" s="16" t="s">
        <v>1880</v>
      </c>
      <c r="BF148">
        <v>46.386554621848703</v>
      </c>
      <c r="BG148">
        <v>13.445378151260499</v>
      </c>
      <c r="BH148">
        <v>0</v>
      </c>
      <c r="BI148">
        <v>0</v>
      </c>
      <c r="BJ148">
        <v>0.8</v>
      </c>
      <c r="BK148" t="s">
        <v>311</v>
      </c>
      <c r="BL148">
        <v>0.8</v>
      </c>
      <c r="BM148" t="s">
        <v>311</v>
      </c>
      <c r="BN148">
        <v>3</v>
      </c>
      <c r="BO148">
        <v>3</v>
      </c>
      <c r="BP148" t="s">
        <v>311</v>
      </c>
      <c r="BQ148" t="s">
        <v>311</v>
      </c>
      <c r="BR148" t="s">
        <v>311</v>
      </c>
      <c r="BS148" t="s">
        <v>311</v>
      </c>
      <c r="BT148" t="s">
        <v>311</v>
      </c>
      <c r="BU148" t="s">
        <v>311</v>
      </c>
      <c r="BV148" t="s">
        <v>311</v>
      </c>
      <c r="BW148" t="s">
        <v>311</v>
      </c>
      <c r="BX148" t="s">
        <v>1126</v>
      </c>
      <c r="BY148" t="s">
        <v>1204</v>
      </c>
      <c r="BZ148">
        <v>11</v>
      </c>
      <c r="CA148">
        <v>15</v>
      </c>
      <c r="CB148" t="s">
        <v>1209</v>
      </c>
      <c r="CC148" t="s">
        <v>1210</v>
      </c>
      <c r="CD148" t="s">
        <v>311</v>
      </c>
      <c r="CE148" t="s">
        <v>311</v>
      </c>
      <c r="CF148" t="s">
        <v>311</v>
      </c>
      <c r="CG148" t="s">
        <v>1348</v>
      </c>
      <c r="CH148" t="s">
        <v>311</v>
      </c>
      <c r="CI148">
        <v>0</v>
      </c>
      <c r="CJ148" s="39" t="s">
        <v>311</v>
      </c>
      <c r="CK148" s="39" t="s">
        <v>311</v>
      </c>
      <c r="CL148" s="39" t="s">
        <v>311</v>
      </c>
      <c r="CM148" s="39" t="s">
        <v>311</v>
      </c>
      <c r="CN148" s="39" t="s">
        <v>311</v>
      </c>
      <c r="CO148" s="39" t="s">
        <v>311</v>
      </c>
      <c r="CP148" s="39" t="s">
        <v>311</v>
      </c>
      <c r="CQ148" t="s">
        <v>1717</v>
      </c>
      <c r="CR148" t="s">
        <v>1157</v>
      </c>
    </row>
    <row r="149" spans="1:96">
      <c r="A149">
        <v>148</v>
      </c>
      <c r="B149">
        <v>22</v>
      </c>
      <c r="C149">
        <v>5</v>
      </c>
      <c r="D149" t="s">
        <v>126</v>
      </c>
      <c r="E149" t="s">
        <v>127</v>
      </c>
      <c r="F149" t="s">
        <v>128</v>
      </c>
      <c r="G149">
        <v>2008</v>
      </c>
      <c r="H149" t="s">
        <v>449</v>
      </c>
      <c r="I149" t="s">
        <v>450</v>
      </c>
      <c r="J149">
        <v>54.818859000000003</v>
      </c>
      <c r="K149">
        <v>9.9408399999999997</v>
      </c>
      <c r="L149" t="s">
        <v>396</v>
      </c>
      <c r="M149" t="s">
        <v>398</v>
      </c>
      <c r="N149" t="s">
        <v>600</v>
      </c>
      <c r="O149" t="s">
        <v>532</v>
      </c>
      <c r="P149" t="s">
        <v>693</v>
      </c>
      <c r="Q149" t="s">
        <v>333</v>
      </c>
      <c r="R149" t="s">
        <v>681</v>
      </c>
      <c r="S149" t="s">
        <v>682</v>
      </c>
      <c r="T149" t="s">
        <v>331</v>
      </c>
      <c r="U149">
        <v>1</v>
      </c>
      <c r="V149" t="s">
        <v>535</v>
      </c>
      <c r="W149">
        <v>2004</v>
      </c>
      <c r="X149" t="s">
        <v>292</v>
      </c>
      <c r="Y149" t="s">
        <v>536</v>
      </c>
      <c r="Z149" t="s">
        <v>537</v>
      </c>
      <c r="AA149" t="s">
        <v>538</v>
      </c>
      <c r="AB149" t="s">
        <v>539</v>
      </c>
      <c r="AC149" t="s">
        <v>540</v>
      </c>
      <c r="AD149" t="s">
        <v>292</v>
      </c>
      <c r="AE149" t="s">
        <v>618</v>
      </c>
      <c r="AF149" t="s">
        <v>552</v>
      </c>
      <c r="AH149" t="s">
        <v>555</v>
      </c>
      <c r="AI149" t="s">
        <v>619</v>
      </c>
      <c r="AJ149" t="s">
        <v>620</v>
      </c>
      <c r="AK149" t="s">
        <v>683</v>
      </c>
      <c r="AL149" t="s">
        <v>684</v>
      </c>
      <c r="AM149" t="s">
        <v>1059</v>
      </c>
      <c r="AN149" t="s">
        <v>1279</v>
      </c>
      <c r="AO149" t="s">
        <v>606</v>
      </c>
      <c r="AP149" t="s">
        <v>887</v>
      </c>
      <c r="AQ149" t="s">
        <v>887</v>
      </c>
      <c r="AR149">
        <v>596</v>
      </c>
      <c r="AS149">
        <v>49</v>
      </c>
      <c r="AT149" t="s">
        <v>311</v>
      </c>
      <c r="AU149">
        <v>3</v>
      </c>
      <c r="AV149">
        <v>655</v>
      </c>
      <c r="AW149">
        <v>53</v>
      </c>
      <c r="AX149" t="s">
        <v>311</v>
      </c>
      <c r="AY149">
        <v>3</v>
      </c>
      <c r="AZ149" t="s">
        <v>1677</v>
      </c>
      <c r="BA149" t="s">
        <v>1680</v>
      </c>
      <c r="BB149">
        <v>0</v>
      </c>
      <c r="BC149" t="s">
        <v>1672</v>
      </c>
      <c r="BD149" s="16" t="s">
        <v>311</v>
      </c>
      <c r="BE149" s="16" t="s">
        <v>1880</v>
      </c>
      <c r="BF149">
        <v>46.386554621848703</v>
      </c>
      <c r="BG149">
        <v>13.445378151260499</v>
      </c>
      <c r="BH149">
        <v>0</v>
      </c>
      <c r="BI149">
        <v>0</v>
      </c>
      <c r="BJ149">
        <v>0.8</v>
      </c>
      <c r="BK149" t="s">
        <v>311</v>
      </c>
      <c r="BL149">
        <v>0.8</v>
      </c>
      <c r="BM149" t="s">
        <v>311</v>
      </c>
      <c r="BN149">
        <v>3</v>
      </c>
      <c r="BO149">
        <v>3</v>
      </c>
      <c r="BP149" t="s">
        <v>311</v>
      </c>
      <c r="BQ149" t="s">
        <v>311</v>
      </c>
      <c r="BR149" t="s">
        <v>311</v>
      </c>
      <c r="BS149" t="s">
        <v>311</v>
      </c>
      <c r="BT149" t="s">
        <v>311</v>
      </c>
      <c r="BU149" t="s">
        <v>311</v>
      </c>
      <c r="BV149" t="s">
        <v>311</v>
      </c>
      <c r="BW149" t="s">
        <v>311</v>
      </c>
      <c r="BX149" t="s">
        <v>1126</v>
      </c>
      <c r="BY149" t="s">
        <v>1204</v>
      </c>
      <c r="BZ149">
        <v>11</v>
      </c>
      <c r="CA149">
        <v>15</v>
      </c>
      <c r="CB149" t="s">
        <v>1209</v>
      </c>
      <c r="CC149" t="s">
        <v>1210</v>
      </c>
      <c r="CD149" t="s">
        <v>311</v>
      </c>
      <c r="CE149" t="s">
        <v>311</v>
      </c>
      <c r="CF149" t="s">
        <v>311</v>
      </c>
      <c r="CG149" t="s">
        <v>1348</v>
      </c>
      <c r="CH149" t="s">
        <v>311</v>
      </c>
      <c r="CI149">
        <v>0</v>
      </c>
      <c r="CJ149" s="39" t="s">
        <v>311</v>
      </c>
      <c r="CK149" s="39" t="s">
        <v>311</v>
      </c>
      <c r="CL149" s="39" t="s">
        <v>311</v>
      </c>
      <c r="CM149" s="39" t="s">
        <v>311</v>
      </c>
      <c r="CN149" s="39" t="s">
        <v>311</v>
      </c>
      <c r="CO149" s="39" t="s">
        <v>311</v>
      </c>
      <c r="CP149" s="39" t="s">
        <v>311</v>
      </c>
      <c r="CQ149" t="s">
        <v>1717</v>
      </c>
      <c r="CR149" t="s">
        <v>1158</v>
      </c>
    </row>
    <row r="150" spans="1:96">
      <c r="A150">
        <v>149</v>
      </c>
      <c r="B150">
        <v>22</v>
      </c>
      <c r="C150">
        <v>6</v>
      </c>
      <c r="D150" t="s">
        <v>126</v>
      </c>
      <c r="E150" t="s">
        <v>127</v>
      </c>
      <c r="F150" t="s">
        <v>128</v>
      </c>
      <c r="G150">
        <v>2008</v>
      </c>
      <c r="H150" t="s">
        <v>449</v>
      </c>
      <c r="I150" t="s">
        <v>450</v>
      </c>
      <c r="J150">
        <v>54.818859000000003</v>
      </c>
      <c r="K150">
        <v>9.9408399999999997</v>
      </c>
      <c r="L150" t="s">
        <v>396</v>
      </c>
      <c r="M150" t="s">
        <v>398</v>
      </c>
      <c r="N150" t="s">
        <v>600</v>
      </c>
      <c r="O150" t="s">
        <v>532</v>
      </c>
      <c r="P150" t="s">
        <v>693</v>
      </c>
      <c r="Q150" t="s">
        <v>333</v>
      </c>
      <c r="R150" t="s">
        <v>681</v>
      </c>
      <c r="S150" t="s">
        <v>682</v>
      </c>
      <c r="T150" t="s">
        <v>331</v>
      </c>
      <c r="U150">
        <v>1</v>
      </c>
      <c r="V150" t="s">
        <v>535</v>
      </c>
      <c r="W150">
        <v>2004</v>
      </c>
      <c r="X150" t="s">
        <v>292</v>
      </c>
      <c r="Y150" t="s">
        <v>536</v>
      </c>
      <c r="Z150" t="s">
        <v>537</v>
      </c>
      <c r="AA150" t="s">
        <v>538</v>
      </c>
      <c r="AB150" t="s">
        <v>539</v>
      </c>
      <c r="AC150" t="s">
        <v>540</v>
      </c>
      <c r="AD150" t="s">
        <v>292</v>
      </c>
      <c r="AE150" t="s">
        <v>678</v>
      </c>
      <c r="AF150" t="s">
        <v>567</v>
      </c>
      <c r="AG150" s="16" t="s">
        <v>1904</v>
      </c>
      <c r="AH150" t="s">
        <v>343</v>
      </c>
      <c r="AI150" t="s">
        <v>677</v>
      </c>
      <c r="AJ150" t="s">
        <v>676</v>
      </c>
      <c r="AK150" t="s">
        <v>674</v>
      </c>
      <c r="AL150" t="s">
        <v>357</v>
      </c>
      <c r="AM150" t="s">
        <v>1059</v>
      </c>
      <c r="AN150" t="s">
        <v>584</v>
      </c>
      <c r="AO150" t="s">
        <v>606</v>
      </c>
      <c r="AP150" t="s">
        <v>887</v>
      </c>
      <c r="AQ150" t="s">
        <v>887</v>
      </c>
      <c r="AR150">
        <v>0.269349845201238</v>
      </c>
      <c r="AS150">
        <v>3.4055727554179016E-2</v>
      </c>
      <c r="AT150" t="s">
        <v>311</v>
      </c>
      <c r="AU150">
        <v>3</v>
      </c>
      <c r="AV150">
        <v>0.13622291021671801</v>
      </c>
      <c r="AW150">
        <v>9.2879256965939794E-3</v>
      </c>
      <c r="AX150" t="s">
        <v>311</v>
      </c>
      <c r="AY150">
        <v>3</v>
      </c>
      <c r="AZ150" t="s">
        <v>1055</v>
      </c>
      <c r="BA150" t="s">
        <v>1680</v>
      </c>
      <c r="BB150">
        <v>0</v>
      </c>
      <c r="BC150" t="s">
        <v>1672</v>
      </c>
      <c r="BD150" s="16" t="s">
        <v>311</v>
      </c>
      <c r="BE150" s="16" t="s">
        <v>1880</v>
      </c>
      <c r="BF150">
        <v>46.386554621848703</v>
      </c>
      <c r="BG150">
        <v>13.445378151260499</v>
      </c>
      <c r="BH150">
        <v>0</v>
      </c>
      <c r="BI150">
        <v>0</v>
      </c>
      <c r="BJ150">
        <v>0.8</v>
      </c>
      <c r="BK150" t="s">
        <v>311</v>
      </c>
      <c r="BL150">
        <v>0.8</v>
      </c>
      <c r="BM150" t="s">
        <v>311</v>
      </c>
      <c r="BN150">
        <v>3</v>
      </c>
      <c r="BO150">
        <v>3</v>
      </c>
      <c r="BP150" t="s">
        <v>311</v>
      </c>
      <c r="BQ150" t="s">
        <v>311</v>
      </c>
      <c r="BR150" t="s">
        <v>311</v>
      </c>
      <c r="BS150" t="s">
        <v>311</v>
      </c>
      <c r="BT150" t="s">
        <v>311</v>
      </c>
      <c r="BU150" t="s">
        <v>311</v>
      </c>
      <c r="BV150" t="s">
        <v>311</v>
      </c>
      <c r="BW150" t="s">
        <v>311</v>
      </c>
      <c r="BX150" t="s">
        <v>1126</v>
      </c>
      <c r="BY150" t="s">
        <v>1204</v>
      </c>
      <c r="BZ150">
        <v>11</v>
      </c>
      <c r="CA150">
        <v>15</v>
      </c>
      <c r="CB150" t="s">
        <v>1209</v>
      </c>
      <c r="CC150" t="s">
        <v>1210</v>
      </c>
      <c r="CD150" t="s">
        <v>311</v>
      </c>
      <c r="CE150" t="s">
        <v>311</v>
      </c>
      <c r="CF150" t="s">
        <v>311</v>
      </c>
      <c r="CG150" t="s">
        <v>1348</v>
      </c>
      <c r="CH150" t="s">
        <v>311</v>
      </c>
      <c r="CI150">
        <v>0</v>
      </c>
      <c r="CJ150" s="39" t="s">
        <v>311</v>
      </c>
      <c r="CK150" s="39" t="s">
        <v>311</v>
      </c>
      <c r="CL150" s="39" t="s">
        <v>311</v>
      </c>
      <c r="CM150" s="39" t="s">
        <v>311</v>
      </c>
      <c r="CN150" s="39" t="s">
        <v>311</v>
      </c>
      <c r="CO150" s="39" t="s">
        <v>311</v>
      </c>
      <c r="CP150" s="39" t="s">
        <v>311</v>
      </c>
      <c r="CQ150" t="s">
        <v>1717</v>
      </c>
      <c r="CR150" t="s">
        <v>1159</v>
      </c>
    </row>
    <row r="151" spans="1:96">
      <c r="A151">
        <v>150</v>
      </c>
      <c r="B151">
        <v>22</v>
      </c>
      <c r="C151">
        <v>7</v>
      </c>
      <c r="D151" t="s">
        <v>126</v>
      </c>
      <c r="E151" t="s">
        <v>127</v>
      </c>
      <c r="F151" t="s">
        <v>128</v>
      </c>
      <c r="G151">
        <v>2008</v>
      </c>
      <c r="H151" t="s">
        <v>449</v>
      </c>
      <c r="I151" t="s">
        <v>450</v>
      </c>
      <c r="J151">
        <v>54.818859000000003</v>
      </c>
      <c r="K151">
        <v>9.9408399999999997</v>
      </c>
      <c r="L151" t="s">
        <v>396</v>
      </c>
      <c r="M151" t="s">
        <v>398</v>
      </c>
      <c r="N151" t="s">
        <v>600</v>
      </c>
      <c r="O151" t="s">
        <v>532</v>
      </c>
      <c r="P151" t="s">
        <v>693</v>
      </c>
      <c r="Q151" t="s">
        <v>333</v>
      </c>
      <c r="R151" t="s">
        <v>681</v>
      </c>
      <c r="S151" t="s">
        <v>682</v>
      </c>
      <c r="T151" t="s">
        <v>331</v>
      </c>
      <c r="U151">
        <v>1</v>
      </c>
      <c r="V151" t="s">
        <v>535</v>
      </c>
      <c r="W151">
        <v>2004</v>
      </c>
      <c r="X151" t="s">
        <v>292</v>
      </c>
      <c r="Y151" t="s">
        <v>536</v>
      </c>
      <c r="Z151" t="s">
        <v>537</v>
      </c>
      <c r="AA151" t="s">
        <v>538</v>
      </c>
      <c r="AB151" t="s">
        <v>539</v>
      </c>
      <c r="AC151" t="s">
        <v>540</v>
      </c>
      <c r="AD151" t="s">
        <v>292</v>
      </c>
      <c r="AE151" t="s">
        <v>618</v>
      </c>
      <c r="AF151" t="s">
        <v>552</v>
      </c>
      <c r="AH151" t="s">
        <v>555</v>
      </c>
      <c r="AI151" t="s">
        <v>619</v>
      </c>
      <c r="AJ151" t="s">
        <v>620</v>
      </c>
      <c r="AK151" t="s">
        <v>683</v>
      </c>
      <c r="AL151" t="s">
        <v>684</v>
      </c>
      <c r="AM151" t="s">
        <v>1059</v>
      </c>
      <c r="AN151" t="s">
        <v>1281</v>
      </c>
      <c r="AO151" t="s">
        <v>1283</v>
      </c>
      <c r="AP151" t="s">
        <v>614</v>
      </c>
      <c r="AQ151" t="s">
        <v>887</v>
      </c>
      <c r="AR151">
        <v>0.18</v>
      </c>
      <c r="AS151">
        <v>0.02</v>
      </c>
      <c r="AT151" t="s">
        <v>311</v>
      </c>
      <c r="AU151">
        <v>10</v>
      </c>
      <c r="AV151">
        <v>0.22</v>
      </c>
      <c r="AW151">
        <v>0.01</v>
      </c>
      <c r="AX151" t="s">
        <v>311</v>
      </c>
      <c r="AY151">
        <v>10</v>
      </c>
      <c r="AZ151" t="s">
        <v>1055</v>
      </c>
      <c r="BA151" t="s">
        <v>1679</v>
      </c>
      <c r="BB151">
        <v>7</v>
      </c>
      <c r="BC151" t="s">
        <v>1672</v>
      </c>
      <c r="BD151" s="16" t="s">
        <v>311</v>
      </c>
      <c r="BE151" t="s">
        <v>1880</v>
      </c>
      <c r="BF151">
        <v>68.235294117647001</v>
      </c>
      <c r="BG151">
        <v>31.932773109243001</v>
      </c>
      <c r="BH151">
        <v>7.3949579831932803</v>
      </c>
      <c r="BI151">
        <v>15.462184873949521</v>
      </c>
      <c r="BJ151">
        <v>0.8</v>
      </c>
      <c r="BK151" t="s">
        <v>311</v>
      </c>
      <c r="BL151">
        <v>0.8</v>
      </c>
      <c r="BM151" t="s">
        <v>311</v>
      </c>
      <c r="BN151">
        <v>3</v>
      </c>
      <c r="BO151">
        <v>3</v>
      </c>
      <c r="BP151" t="s">
        <v>311</v>
      </c>
      <c r="BQ151" t="s">
        <v>311</v>
      </c>
      <c r="BR151" t="s">
        <v>311</v>
      </c>
      <c r="BS151" t="s">
        <v>311</v>
      </c>
      <c r="BT151" t="s">
        <v>311</v>
      </c>
      <c r="BU151" t="s">
        <v>311</v>
      </c>
      <c r="BV151" t="s">
        <v>311</v>
      </c>
      <c r="BW151" t="s">
        <v>311</v>
      </c>
      <c r="BX151" t="s">
        <v>1126</v>
      </c>
      <c r="BY151" t="s">
        <v>1204</v>
      </c>
      <c r="BZ151">
        <v>11</v>
      </c>
      <c r="CA151">
        <v>15</v>
      </c>
      <c r="CB151" t="s">
        <v>1209</v>
      </c>
      <c r="CC151" t="s">
        <v>1210</v>
      </c>
      <c r="CD151" t="s">
        <v>311</v>
      </c>
      <c r="CE151" t="s">
        <v>311</v>
      </c>
      <c r="CF151" t="s">
        <v>311</v>
      </c>
      <c r="CG151" t="s">
        <v>1348</v>
      </c>
      <c r="CH151" t="s">
        <v>311</v>
      </c>
      <c r="CI151">
        <v>0</v>
      </c>
      <c r="CJ151" s="39" t="s">
        <v>311</v>
      </c>
      <c r="CK151" s="39" t="s">
        <v>311</v>
      </c>
      <c r="CL151" s="39" t="s">
        <v>311</v>
      </c>
      <c r="CM151" s="39" t="s">
        <v>311</v>
      </c>
      <c r="CN151" s="39" t="s">
        <v>311</v>
      </c>
      <c r="CO151" s="39" t="s">
        <v>311</v>
      </c>
      <c r="CP151" s="39" t="s">
        <v>311</v>
      </c>
      <c r="CQ151" t="s">
        <v>1716</v>
      </c>
      <c r="CR151" t="s">
        <v>1160</v>
      </c>
    </row>
    <row r="152" spans="1:96">
      <c r="A152">
        <v>151</v>
      </c>
      <c r="B152">
        <v>22</v>
      </c>
      <c r="C152">
        <v>8</v>
      </c>
      <c r="D152" t="s">
        <v>126</v>
      </c>
      <c r="E152" t="s">
        <v>127</v>
      </c>
      <c r="F152" t="s">
        <v>128</v>
      </c>
      <c r="G152">
        <v>2008</v>
      </c>
      <c r="H152" t="s">
        <v>449</v>
      </c>
      <c r="I152" t="s">
        <v>450</v>
      </c>
      <c r="J152">
        <v>54.818859000000003</v>
      </c>
      <c r="K152">
        <v>9.9408399999999997</v>
      </c>
      <c r="L152" t="s">
        <v>396</v>
      </c>
      <c r="M152" t="s">
        <v>398</v>
      </c>
      <c r="N152" t="s">
        <v>600</v>
      </c>
      <c r="O152" t="s">
        <v>532</v>
      </c>
      <c r="P152" t="s">
        <v>693</v>
      </c>
      <c r="Q152" t="s">
        <v>333</v>
      </c>
      <c r="R152" t="s">
        <v>681</v>
      </c>
      <c r="S152" t="s">
        <v>682</v>
      </c>
      <c r="T152" t="s">
        <v>331</v>
      </c>
      <c r="U152">
        <v>1</v>
      </c>
      <c r="V152" t="s">
        <v>535</v>
      </c>
      <c r="W152">
        <v>2004</v>
      </c>
      <c r="X152" t="s">
        <v>292</v>
      </c>
      <c r="Y152" t="s">
        <v>536</v>
      </c>
      <c r="Z152" t="s">
        <v>537</v>
      </c>
      <c r="AA152" t="s">
        <v>538</v>
      </c>
      <c r="AB152" t="s">
        <v>539</v>
      </c>
      <c r="AC152" t="s">
        <v>540</v>
      </c>
      <c r="AD152" t="s">
        <v>292</v>
      </c>
      <c r="AE152" t="s">
        <v>618</v>
      </c>
      <c r="AF152" t="s">
        <v>552</v>
      </c>
      <c r="AH152" t="s">
        <v>555</v>
      </c>
      <c r="AI152" t="s">
        <v>619</v>
      </c>
      <c r="AJ152" t="s">
        <v>620</v>
      </c>
      <c r="AK152" t="s">
        <v>683</v>
      </c>
      <c r="AL152" t="s">
        <v>684</v>
      </c>
      <c r="AM152" t="s">
        <v>1059</v>
      </c>
      <c r="AN152" t="s">
        <v>1277</v>
      </c>
      <c r="AO152" t="s">
        <v>345</v>
      </c>
      <c r="AP152" t="s">
        <v>887</v>
      </c>
      <c r="AQ152" t="s">
        <v>887</v>
      </c>
      <c r="AR152">
        <v>442</v>
      </c>
      <c r="AS152">
        <v>30</v>
      </c>
      <c r="AT152" t="s">
        <v>311</v>
      </c>
      <c r="AU152">
        <v>8</v>
      </c>
      <c r="AV152">
        <v>531</v>
      </c>
      <c r="AW152">
        <v>54</v>
      </c>
      <c r="AX152" t="s">
        <v>311</v>
      </c>
      <c r="AY152">
        <v>8</v>
      </c>
      <c r="AZ152" t="s">
        <v>1677</v>
      </c>
      <c r="BA152" t="s">
        <v>1680</v>
      </c>
      <c r="BB152">
        <v>0</v>
      </c>
      <c r="BC152" t="s">
        <v>1672</v>
      </c>
      <c r="BD152" s="16" t="s">
        <v>311</v>
      </c>
      <c r="BE152" s="16" t="s">
        <v>1880</v>
      </c>
      <c r="BF152">
        <v>68.235294117647001</v>
      </c>
      <c r="BG152">
        <v>31.932773109243001</v>
      </c>
      <c r="BH152">
        <v>7.3949579831932803</v>
      </c>
      <c r="BI152">
        <v>15.462184873949521</v>
      </c>
      <c r="BJ152">
        <v>0.8</v>
      </c>
      <c r="BK152" t="s">
        <v>311</v>
      </c>
      <c r="BL152">
        <v>0.8</v>
      </c>
      <c r="BM152" t="s">
        <v>311</v>
      </c>
      <c r="BN152">
        <v>3</v>
      </c>
      <c r="BO152">
        <v>3</v>
      </c>
      <c r="BP152" t="s">
        <v>311</v>
      </c>
      <c r="BQ152" t="s">
        <v>311</v>
      </c>
      <c r="BR152" t="s">
        <v>311</v>
      </c>
      <c r="BS152" t="s">
        <v>311</v>
      </c>
      <c r="BT152" t="s">
        <v>311</v>
      </c>
      <c r="BU152" t="s">
        <v>311</v>
      </c>
      <c r="BV152" t="s">
        <v>311</v>
      </c>
      <c r="BW152" t="s">
        <v>311</v>
      </c>
      <c r="BX152" t="s">
        <v>1126</v>
      </c>
      <c r="BY152" t="s">
        <v>1204</v>
      </c>
      <c r="BZ152">
        <v>11</v>
      </c>
      <c r="CA152">
        <v>15</v>
      </c>
      <c r="CB152" t="s">
        <v>1209</v>
      </c>
      <c r="CC152" t="s">
        <v>1210</v>
      </c>
      <c r="CD152" t="s">
        <v>311</v>
      </c>
      <c r="CE152" t="s">
        <v>311</v>
      </c>
      <c r="CF152" t="s">
        <v>311</v>
      </c>
      <c r="CG152" t="s">
        <v>1348</v>
      </c>
      <c r="CH152" t="s">
        <v>311</v>
      </c>
      <c r="CI152">
        <v>0</v>
      </c>
      <c r="CJ152" s="39" t="s">
        <v>311</v>
      </c>
      <c r="CK152" s="39" t="s">
        <v>311</v>
      </c>
      <c r="CL152" s="39" t="s">
        <v>311</v>
      </c>
      <c r="CM152" s="39" t="s">
        <v>311</v>
      </c>
      <c r="CN152" s="39" t="s">
        <v>311</v>
      </c>
      <c r="CO152" s="39" t="s">
        <v>311</v>
      </c>
      <c r="CP152" s="39" t="s">
        <v>311</v>
      </c>
      <c r="CQ152" t="s">
        <v>1717</v>
      </c>
      <c r="CR152" t="s">
        <v>1161</v>
      </c>
    </row>
    <row r="153" spans="1:96">
      <c r="A153">
        <v>152</v>
      </c>
      <c r="B153">
        <v>22</v>
      </c>
      <c r="C153">
        <v>9</v>
      </c>
      <c r="D153" t="s">
        <v>126</v>
      </c>
      <c r="E153" t="s">
        <v>127</v>
      </c>
      <c r="F153" t="s">
        <v>128</v>
      </c>
      <c r="G153">
        <v>2008</v>
      </c>
      <c r="H153" t="s">
        <v>449</v>
      </c>
      <c r="I153" t="s">
        <v>450</v>
      </c>
      <c r="J153">
        <v>54.818859000000003</v>
      </c>
      <c r="K153">
        <v>9.9408399999999997</v>
      </c>
      <c r="L153" t="s">
        <v>396</v>
      </c>
      <c r="M153" t="s">
        <v>398</v>
      </c>
      <c r="N153" t="s">
        <v>600</v>
      </c>
      <c r="O153" t="s">
        <v>532</v>
      </c>
      <c r="P153" t="s">
        <v>693</v>
      </c>
      <c r="Q153" t="s">
        <v>333</v>
      </c>
      <c r="R153" t="s">
        <v>681</v>
      </c>
      <c r="S153" t="s">
        <v>682</v>
      </c>
      <c r="T153" t="s">
        <v>331</v>
      </c>
      <c r="U153">
        <v>1</v>
      </c>
      <c r="V153" t="s">
        <v>535</v>
      </c>
      <c r="W153">
        <v>2004</v>
      </c>
      <c r="X153" t="s">
        <v>292</v>
      </c>
      <c r="Y153" t="s">
        <v>536</v>
      </c>
      <c r="Z153" t="s">
        <v>537</v>
      </c>
      <c r="AA153" t="s">
        <v>538</v>
      </c>
      <c r="AB153" t="s">
        <v>539</v>
      </c>
      <c r="AC153" t="s">
        <v>540</v>
      </c>
      <c r="AD153" t="s">
        <v>292</v>
      </c>
      <c r="AE153" t="s">
        <v>618</v>
      </c>
      <c r="AF153" t="s">
        <v>552</v>
      </c>
      <c r="AH153" t="s">
        <v>555</v>
      </c>
      <c r="AI153" t="s">
        <v>619</v>
      </c>
      <c r="AJ153" t="s">
        <v>620</v>
      </c>
      <c r="AK153" t="s">
        <v>683</v>
      </c>
      <c r="AL153" t="s">
        <v>684</v>
      </c>
      <c r="AM153" t="s">
        <v>1059</v>
      </c>
      <c r="AN153" t="s">
        <v>1277</v>
      </c>
      <c r="AO153" t="s">
        <v>1283</v>
      </c>
      <c r="AP153" t="s">
        <v>887</v>
      </c>
      <c r="AQ153" t="s">
        <v>887</v>
      </c>
      <c r="AR153">
        <v>52.4</v>
      </c>
      <c r="AS153">
        <v>1.5</v>
      </c>
      <c r="AT153" t="s">
        <v>311</v>
      </c>
      <c r="AU153">
        <v>30</v>
      </c>
      <c r="AV153">
        <v>56.1</v>
      </c>
      <c r="AW153">
        <v>0.9</v>
      </c>
      <c r="AX153" t="s">
        <v>311</v>
      </c>
      <c r="AY153">
        <v>30</v>
      </c>
      <c r="AZ153" t="s">
        <v>1055</v>
      </c>
      <c r="BA153" t="s">
        <v>1680</v>
      </c>
      <c r="BB153">
        <v>0</v>
      </c>
      <c r="BC153" t="s">
        <v>1672</v>
      </c>
      <c r="BD153" s="16" t="s">
        <v>311</v>
      </c>
      <c r="BE153" s="16" t="s">
        <v>1880</v>
      </c>
      <c r="BF153">
        <v>68.235294117647001</v>
      </c>
      <c r="BG153">
        <v>31.932773109243001</v>
      </c>
      <c r="BH153">
        <v>7.3949579831932803</v>
      </c>
      <c r="BI153">
        <v>15.462184873949521</v>
      </c>
      <c r="BJ153">
        <v>0.8</v>
      </c>
      <c r="BK153" t="s">
        <v>311</v>
      </c>
      <c r="BL153">
        <v>0.8</v>
      </c>
      <c r="BM153" t="s">
        <v>311</v>
      </c>
      <c r="BN153">
        <v>3</v>
      </c>
      <c r="BO153">
        <v>3</v>
      </c>
      <c r="BP153" t="s">
        <v>311</v>
      </c>
      <c r="BQ153" t="s">
        <v>311</v>
      </c>
      <c r="BR153" t="s">
        <v>311</v>
      </c>
      <c r="BS153" t="s">
        <v>311</v>
      </c>
      <c r="BT153" t="s">
        <v>311</v>
      </c>
      <c r="BU153" t="s">
        <v>311</v>
      </c>
      <c r="BV153" t="s">
        <v>311</v>
      </c>
      <c r="BW153" t="s">
        <v>311</v>
      </c>
      <c r="BX153" t="s">
        <v>1126</v>
      </c>
      <c r="BY153" t="s">
        <v>1204</v>
      </c>
      <c r="BZ153">
        <v>11</v>
      </c>
      <c r="CA153">
        <v>15</v>
      </c>
      <c r="CB153" t="s">
        <v>1209</v>
      </c>
      <c r="CC153" t="s">
        <v>1210</v>
      </c>
      <c r="CD153" t="s">
        <v>311</v>
      </c>
      <c r="CE153" t="s">
        <v>311</v>
      </c>
      <c r="CF153" t="s">
        <v>311</v>
      </c>
      <c r="CG153" t="s">
        <v>1348</v>
      </c>
      <c r="CH153" t="s">
        <v>311</v>
      </c>
      <c r="CI153">
        <v>0</v>
      </c>
      <c r="CJ153" s="39" t="s">
        <v>311</v>
      </c>
      <c r="CK153" s="39" t="s">
        <v>311</v>
      </c>
      <c r="CL153" s="39" t="s">
        <v>311</v>
      </c>
      <c r="CM153" s="39" t="s">
        <v>311</v>
      </c>
      <c r="CN153" s="39" t="s">
        <v>311</v>
      </c>
      <c r="CO153" s="39" t="s">
        <v>311</v>
      </c>
      <c r="CP153" s="39" t="s">
        <v>311</v>
      </c>
      <c r="CQ153" t="s">
        <v>1717</v>
      </c>
      <c r="CR153" t="s">
        <v>1162</v>
      </c>
    </row>
    <row r="154" spans="1:96">
      <c r="A154">
        <v>153</v>
      </c>
      <c r="B154">
        <v>22</v>
      </c>
      <c r="C154">
        <v>10</v>
      </c>
      <c r="D154" t="s">
        <v>126</v>
      </c>
      <c r="E154" t="s">
        <v>127</v>
      </c>
      <c r="F154" t="s">
        <v>128</v>
      </c>
      <c r="G154">
        <v>2008</v>
      </c>
      <c r="H154" t="s">
        <v>449</v>
      </c>
      <c r="I154" t="s">
        <v>450</v>
      </c>
      <c r="J154">
        <v>54.818859000000003</v>
      </c>
      <c r="K154">
        <v>9.9408399999999997</v>
      </c>
      <c r="L154" t="s">
        <v>396</v>
      </c>
      <c r="M154" t="s">
        <v>398</v>
      </c>
      <c r="N154" t="s">
        <v>600</v>
      </c>
      <c r="O154" t="s">
        <v>532</v>
      </c>
      <c r="P154" t="s">
        <v>693</v>
      </c>
      <c r="Q154" t="s">
        <v>333</v>
      </c>
      <c r="R154" t="s">
        <v>681</v>
      </c>
      <c r="S154" t="s">
        <v>682</v>
      </c>
      <c r="T154" t="s">
        <v>331</v>
      </c>
      <c r="U154">
        <v>1</v>
      </c>
      <c r="V154" t="s">
        <v>535</v>
      </c>
      <c r="W154">
        <v>2004</v>
      </c>
      <c r="X154" t="s">
        <v>292</v>
      </c>
      <c r="Y154" t="s">
        <v>536</v>
      </c>
      <c r="Z154" t="s">
        <v>537</v>
      </c>
      <c r="AA154" t="s">
        <v>538</v>
      </c>
      <c r="AB154" t="s">
        <v>539</v>
      </c>
      <c r="AC154" t="s">
        <v>540</v>
      </c>
      <c r="AD154" t="s">
        <v>292</v>
      </c>
      <c r="AE154" t="s">
        <v>618</v>
      </c>
      <c r="AF154" t="s">
        <v>552</v>
      </c>
      <c r="AH154" t="s">
        <v>555</v>
      </c>
      <c r="AI154" t="s">
        <v>619</v>
      </c>
      <c r="AJ154" t="s">
        <v>620</v>
      </c>
      <c r="AK154" t="s">
        <v>683</v>
      </c>
      <c r="AL154" t="s">
        <v>684</v>
      </c>
      <c r="AM154" t="s">
        <v>1059</v>
      </c>
      <c r="AN154" t="s">
        <v>1281</v>
      </c>
      <c r="AO154" t="s">
        <v>1288</v>
      </c>
      <c r="AP154" t="s">
        <v>887</v>
      </c>
      <c r="AQ154" t="s">
        <v>887</v>
      </c>
      <c r="AR154">
        <v>5.0999999999999996</v>
      </c>
      <c r="AS154">
        <v>0.03</v>
      </c>
      <c r="AT154" t="s">
        <v>311</v>
      </c>
      <c r="AU154">
        <v>30</v>
      </c>
      <c r="AV154">
        <v>4.5999999999999996</v>
      </c>
      <c r="AW154">
        <v>0.05</v>
      </c>
      <c r="AX154" t="s">
        <v>311</v>
      </c>
      <c r="AY154">
        <v>30</v>
      </c>
      <c r="AZ154" t="s">
        <v>1055</v>
      </c>
      <c r="BA154" t="s">
        <v>1680</v>
      </c>
      <c r="BB154">
        <v>0</v>
      </c>
      <c r="BC154" t="s">
        <v>1672</v>
      </c>
      <c r="BD154" s="16" t="s">
        <v>311</v>
      </c>
      <c r="BE154" s="16" t="s">
        <v>1880</v>
      </c>
      <c r="BF154">
        <v>68.235294117647001</v>
      </c>
      <c r="BG154">
        <v>31.932773109243001</v>
      </c>
      <c r="BH154">
        <v>7.3949579831932803</v>
      </c>
      <c r="BI154">
        <v>15.462184873949521</v>
      </c>
      <c r="BJ154">
        <v>0.8</v>
      </c>
      <c r="BK154" t="s">
        <v>311</v>
      </c>
      <c r="BL154">
        <v>0.8</v>
      </c>
      <c r="BM154" t="s">
        <v>311</v>
      </c>
      <c r="BN154">
        <v>3</v>
      </c>
      <c r="BO154">
        <v>3</v>
      </c>
      <c r="BP154" t="s">
        <v>311</v>
      </c>
      <c r="BQ154" t="s">
        <v>311</v>
      </c>
      <c r="BR154" t="s">
        <v>311</v>
      </c>
      <c r="BS154" t="s">
        <v>311</v>
      </c>
      <c r="BT154" t="s">
        <v>311</v>
      </c>
      <c r="BU154" t="s">
        <v>311</v>
      </c>
      <c r="BV154" t="s">
        <v>311</v>
      </c>
      <c r="BW154" t="s">
        <v>311</v>
      </c>
      <c r="BX154" t="s">
        <v>1126</v>
      </c>
      <c r="BY154" t="s">
        <v>1204</v>
      </c>
      <c r="BZ154">
        <v>11</v>
      </c>
      <c r="CA154">
        <v>15</v>
      </c>
      <c r="CB154" t="s">
        <v>1209</v>
      </c>
      <c r="CC154" t="s">
        <v>1210</v>
      </c>
      <c r="CD154" t="s">
        <v>311</v>
      </c>
      <c r="CE154" t="s">
        <v>311</v>
      </c>
      <c r="CF154" t="s">
        <v>311</v>
      </c>
      <c r="CG154" t="s">
        <v>1348</v>
      </c>
      <c r="CH154" t="s">
        <v>311</v>
      </c>
      <c r="CI154">
        <v>0</v>
      </c>
      <c r="CJ154" s="39" t="s">
        <v>311</v>
      </c>
      <c r="CK154" s="39" t="s">
        <v>311</v>
      </c>
      <c r="CL154" s="39" t="s">
        <v>311</v>
      </c>
      <c r="CM154" s="39" t="s">
        <v>311</v>
      </c>
      <c r="CN154" s="39" t="s">
        <v>311</v>
      </c>
      <c r="CO154" s="39" t="s">
        <v>311</v>
      </c>
      <c r="CP154" s="39" t="s">
        <v>311</v>
      </c>
      <c r="CQ154" t="s">
        <v>1717</v>
      </c>
      <c r="CR154" t="s">
        <v>1163</v>
      </c>
    </row>
    <row r="155" spans="1:96">
      <c r="A155">
        <v>154</v>
      </c>
      <c r="B155">
        <v>22</v>
      </c>
      <c r="C155">
        <v>11</v>
      </c>
      <c r="D155" t="s">
        <v>126</v>
      </c>
      <c r="E155" t="s">
        <v>127</v>
      </c>
      <c r="F155" t="s">
        <v>128</v>
      </c>
      <c r="G155">
        <v>2008</v>
      </c>
      <c r="H155" t="s">
        <v>449</v>
      </c>
      <c r="I155" t="s">
        <v>450</v>
      </c>
      <c r="J155">
        <v>54.818859000000003</v>
      </c>
      <c r="K155">
        <v>9.9408399999999997</v>
      </c>
      <c r="L155" t="s">
        <v>396</v>
      </c>
      <c r="M155" t="s">
        <v>398</v>
      </c>
      <c r="N155" t="s">
        <v>600</v>
      </c>
      <c r="O155" t="s">
        <v>532</v>
      </c>
      <c r="P155" t="s">
        <v>693</v>
      </c>
      <c r="Q155" t="s">
        <v>333</v>
      </c>
      <c r="R155" t="s">
        <v>681</v>
      </c>
      <c r="S155" t="s">
        <v>682</v>
      </c>
      <c r="T155" t="s">
        <v>331</v>
      </c>
      <c r="U155">
        <v>1</v>
      </c>
      <c r="V155" t="s">
        <v>535</v>
      </c>
      <c r="W155">
        <v>2004</v>
      </c>
      <c r="X155" t="s">
        <v>292</v>
      </c>
      <c r="Y155" t="s">
        <v>536</v>
      </c>
      <c r="Z155" t="s">
        <v>537</v>
      </c>
      <c r="AA155" t="s">
        <v>538</v>
      </c>
      <c r="AB155" t="s">
        <v>539</v>
      </c>
      <c r="AC155" t="s">
        <v>540</v>
      </c>
      <c r="AD155" t="s">
        <v>292</v>
      </c>
      <c r="AE155" t="s">
        <v>618</v>
      </c>
      <c r="AF155" t="s">
        <v>552</v>
      </c>
      <c r="AH155" t="s">
        <v>555</v>
      </c>
      <c r="AI155" t="s">
        <v>619</v>
      </c>
      <c r="AJ155" t="s">
        <v>620</v>
      </c>
      <c r="AK155" t="s">
        <v>683</v>
      </c>
      <c r="AL155" t="s">
        <v>684</v>
      </c>
      <c r="AM155" t="s">
        <v>1059</v>
      </c>
      <c r="AN155" t="s">
        <v>1279</v>
      </c>
      <c r="AO155" t="s">
        <v>606</v>
      </c>
      <c r="AP155" t="s">
        <v>887</v>
      </c>
      <c r="AQ155" t="s">
        <v>887</v>
      </c>
      <c r="AR155">
        <v>487</v>
      </c>
      <c r="AS155">
        <v>87</v>
      </c>
      <c r="AT155" t="s">
        <v>311</v>
      </c>
      <c r="AU155">
        <v>3</v>
      </c>
      <c r="AV155">
        <v>465</v>
      </c>
      <c r="AW155">
        <v>38</v>
      </c>
      <c r="AX155" t="s">
        <v>311</v>
      </c>
      <c r="AY155">
        <v>3</v>
      </c>
      <c r="AZ155" t="s">
        <v>1677</v>
      </c>
      <c r="BA155" t="s">
        <v>1680</v>
      </c>
      <c r="BB155">
        <v>0</v>
      </c>
      <c r="BC155" t="s">
        <v>1672</v>
      </c>
      <c r="BD155" s="16" t="s">
        <v>311</v>
      </c>
      <c r="BE155" s="16" t="s">
        <v>1880</v>
      </c>
      <c r="BF155">
        <v>68.235294117647001</v>
      </c>
      <c r="BG155">
        <v>31.932773109243001</v>
      </c>
      <c r="BH155">
        <v>7.3949579831932803</v>
      </c>
      <c r="BI155">
        <v>15.462184873949521</v>
      </c>
      <c r="BJ155">
        <v>0.8</v>
      </c>
      <c r="BK155" t="s">
        <v>311</v>
      </c>
      <c r="BL155">
        <v>0.8</v>
      </c>
      <c r="BM155" t="s">
        <v>311</v>
      </c>
      <c r="BN155">
        <v>3</v>
      </c>
      <c r="BO155">
        <v>3</v>
      </c>
      <c r="BP155" t="s">
        <v>311</v>
      </c>
      <c r="BQ155" t="s">
        <v>311</v>
      </c>
      <c r="BR155" t="s">
        <v>311</v>
      </c>
      <c r="BS155" t="s">
        <v>311</v>
      </c>
      <c r="BT155" t="s">
        <v>311</v>
      </c>
      <c r="BU155" t="s">
        <v>311</v>
      </c>
      <c r="BV155" t="s">
        <v>311</v>
      </c>
      <c r="BW155" t="s">
        <v>311</v>
      </c>
      <c r="BX155" t="s">
        <v>1126</v>
      </c>
      <c r="BY155" t="s">
        <v>1204</v>
      </c>
      <c r="BZ155">
        <v>11</v>
      </c>
      <c r="CA155">
        <v>15</v>
      </c>
      <c r="CB155" t="s">
        <v>1209</v>
      </c>
      <c r="CC155" t="s">
        <v>1210</v>
      </c>
      <c r="CD155" t="s">
        <v>311</v>
      </c>
      <c r="CE155" t="s">
        <v>311</v>
      </c>
      <c r="CF155" t="s">
        <v>311</v>
      </c>
      <c r="CG155" t="s">
        <v>1348</v>
      </c>
      <c r="CH155" t="s">
        <v>311</v>
      </c>
      <c r="CI155">
        <v>0</v>
      </c>
      <c r="CJ155" s="39" t="s">
        <v>311</v>
      </c>
      <c r="CK155" s="39" t="s">
        <v>311</v>
      </c>
      <c r="CL155" s="39" t="s">
        <v>311</v>
      </c>
      <c r="CM155" s="39" t="s">
        <v>311</v>
      </c>
      <c r="CN155" s="39" t="s">
        <v>311</v>
      </c>
      <c r="CO155" s="39" t="s">
        <v>311</v>
      </c>
      <c r="CP155" s="39" t="s">
        <v>311</v>
      </c>
      <c r="CQ155" t="s">
        <v>1717</v>
      </c>
      <c r="CR155" t="s">
        <v>1164</v>
      </c>
    </row>
    <row r="156" spans="1:96">
      <c r="A156">
        <v>155</v>
      </c>
      <c r="B156">
        <v>22</v>
      </c>
      <c r="C156">
        <v>12</v>
      </c>
      <c r="D156" t="s">
        <v>126</v>
      </c>
      <c r="E156" t="s">
        <v>127</v>
      </c>
      <c r="F156" t="s">
        <v>128</v>
      </c>
      <c r="G156">
        <v>2008</v>
      </c>
      <c r="H156" t="s">
        <v>449</v>
      </c>
      <c r="I156" t="s">
        <v>450</v>
      </c>
      <c r="J156">
        <v>54.818859000000003</v>
      </c>
      <c r="K156">
        <v>9.9408399999999997</v>
      </c>
      <c r="L156" t="s">
        <v>396</v>
      </c>
      <c r="M156" t="s">
        <v>398</v>
      </c>
      <c r="N156" t="s">
        <v>600</v>
      </c>
      <c r="O156" t="s">
        <v>532</v>
      </c>
      <c r="P156" t="s">
        <v>693</v>
      </c>
      <c r="Q156" t="s">
        <v>333</v>
      </c>
      <c r="R156" t="s">
        <v>681</v>
      </c>
      <c r="S156" t="s">
        <v>682</v>
      </c>
      <c r="T156" t="s">
        <v>331</v>
      </c>
      <c r="U156">
        <v>1</v>
      </c>
      <c r="V156" t="s">
        <v>535</v>
      </c>
      <c r="W156">
        <v>2004</v>
      </c>
      <c r="X156" t="s">
        <v>292</v>
      </c>
      <c r="Y156" t="s">
        <v>536</v>
      </c>
      <c r="Z156" t="s">
        <v>537</v>
      </c>
      <c r="AA156" t="s">
        <v>538</v>
      </c>
      <c r="AB156" t="s">
        <v>539</v>
      </c>
      <c r="AC156" t="s">
        <v>540</v>
      </c>
      <c r="AD156" t="s">
        <v>292</v>
      </c>
      <c r="AE156" t="s">
        <v>678</v>
      </c>
      <c r="AF156" t="s">
        <v>567</v>
      </c>
      <c r="AG156" s="16" t="s">
        <v>1904</v>
      </c>
      <c r="AH156" t="s">
        <v>343</v>
      </c>
      <c r="AI156" t="s">
        <v>677</v>
      </c>
      <c r="AJ156" t="s">
        <v>676</v>
      </c>
      <c r="AK156" t="s">
        <v>674</v>
      </c>
      <c r="AL156" t="s">
        <v>357</v>
      </c>
      <c r="AM156" t="s">
        <v>1059</v>
      </c>
      <c r="AN156" t="s">
        <v>584</v>
      </c>
      <c r="AO156" t="s">
        <v>606</v>
      </c>
      <c r="AP156" t="s">
        <v>887</v>
      </c>
      <c r="AQ156" t="s">
        <v>887</v>
      </c>
      <c r="AR156">
        <v>0.44272445820433398</v>
      </c>
      <c r="AS156">
        <v>6.1919504643963064E-2</v>
      </c>
      <c r="AT156" t="s">
        <v>311</v>
      </c>
      <c r="AU156">
        <v>3</v>
      </c>
      <c r="AV156">
        <v>0.24458204334365299</v>
      </c>
      <c r="AW156">
        <v>2.1671826625386997E-2</v>
      </c>
      <c r="AX156" t="s">
        <v>311</v>
      </c>
      <c r="AY156">
        <v>3</v>
      </c>
      <c r="AZ156" t="s">
        <v>1055</v>
      </c>
      <c r="BA156" t="s">
        <v>1680</v>
      </c>
      <c r="BB156">
        <v>0</v>
      </c>
      <c r="BC156" t="s">
        <v>1672</v>
      </c>
      <c r="BD156" s="16" t="s">
        <v>311</v>
      </c>
      <c r="BE156" s="16" t="s">
        <v>1880</v>
      </c>
      <c r="BF156">
        <v>68.235294117647001</v>
      </c>
      <c r="BG156">
        <v>31.932773109243001</v>
      </c>
      <c r="BH156">
        <v>7.3949579831932803</v>
      </c>
      <c r="BI156">
        <v>15.462184873949521</v>
      </c>
      <c r="BJ156">
        <v>0.8</v>
      </c>
      <c r="BK156" t="s">
        <v>311</v>
      </c>
      <c r="BL156">
        <v>0.8</v>
      </c>
      <c r="BM156" t="s">
        <v>311</v>
      </c>
      <c r="BN156">
        <v>3</v>
      </c>
      <c r="BO156">
        <v>3</v>
      </c>
      <c r="BP156" t="s">
        <v>311</v>
      </c>
      <c r="BQ156" t="s">
        <v>311</v>
      </c>
      <c r="BR156" t="s">
        <v>311</v>
      </c>
      <c r="BS156" t="s">
        <v>311</v>
      </c>
      <c r="BT156" t="s">
        <v>311</v>
      </c>
      <c r="BU156" t="s">
        <v>311</v>
      </c>
      <c r="BV156" t="s">
        <v>311</v>
      </c>
      <c r="BW156" t="s">
        <v>311</v>
      </c>
      <c r="BX156" t="s">
        <v>1126</v>
      </c>
      <c r="BY156" t="s">
        <v>1204</v>
      </c>
      <c r="BZ156">
        <v>11</v>
      </c>
      <c r="CA156">
        <v>15</v>
      </c>
      <c r="CB156" t="s">
        <v>1209</v>
      </c>
      <c r="CC156" t="s">
        <v>1210</v>
      </c>
      <c r="CD156" t="s">
        <v>311</v>
      </c>
      <c r="CE156" t="s">
        <v>311</v>
      </c>
      <c r="CF156" t="s">
        <v>311</v>
      </c>
      <c r="CG156" t="s">
        <v>1348</v>
      </c>
      <c r="CH156" t="s">
        <v>311</v>
      </c>
      <c r="CI156">
        <v>0</v>
      </c>
      <c r="CJ156" s="39" t="s">
        <v>311</v>
      </c>
      <c r="CK156" s="39" t="s">
        <v>311</v>
      </c>
      <c r="CL156" s="39" t="s">
        <v>311</v>
      </c>
      <c r="CM156" s="39" t="s">
        <v>311</v>
      </c>
      <c r="CN156" s="39" t="s">
        <v>311</v>
      </c>
      <c r="CO156" s="39" t="s">
        <v>311</v>
      </c>
      <c r="CP156" s="39" t="s">
        <v>311</v>
      </c>
      <c r="CQ156" t="s">
        <v>1717</v>
      </c>
      <c r="CR156" t="s">
        <v>1165</v>
      </c>
    </row>
    <row r="157" spans="1:96">
      <c r="A157">
        <v>156</v>
      </c>
      <c r="B157">
        <v>22</v>
      </c>
      <c r="C157">
        <v>13</v>
      </c>
      <c r="D157" t="s">
        <v>126</v>
      </c>
      <c r="E157" t="s">
        <v>127</v>
      </c>
      <c r="F157" t="s">
        <v>128</v>
      </c>
      <c r="G157">
        <v>2008</v>
      </c>
      <c r="H157" t="s">
        <v>449</v>
      </c>
      <c r="I157" t="s">
        <v>450</v>
      </c>
      <c r="J157">
        <v>54.818859000000003</v>
      </c>
      <c r="K157">
        <v>9.9408399999999997</v>
      </c>
      <c r="L157" t="s">
        <v>396</v>
      </c>
      <c r="M157" t="s">
        <v>398</v>
      </c>
      <c r="N157" t="s">
        <v>600</v>
      </c>
      <c r="O157" t="s">
        <v>532</v>
      </c>
      <c r="P157" t="s">
        <v>693</v>
      </c>
      <c r="Q157" t="s">
        <v>333</v>
      </c>
      <c r="R157" t="s">
        <v>681</v>
      </c>
      <c r="S157" t="s">
        <v>682</v>
      </c>
      <c r="T157" t="s">
        <v>331</v>
      </c>
      <c r="U157">
        <v>1</v>
      </c>
      <c r="V157" t="s">
        <v>559</v>
      </c>
      <c r="W157">
        <v>2005</v>
      </c>
      <c r="X157" t="s">
        <v>292</v>
      </c>
      <c r="Y157" t="s">
        <v>536</v>
      </c>
      <c r="Z157" t="s">
        <v>537</v>
      </c>
      <c r="AA157" t="s">
        <v>538</v>
      </c>
      <c r="AB157" t="s">
        <v>539</v>
      </c>
      <c r="AC157" t="s">
        <v>540</v>
      </c>
      <c r="AD157" t="s">
        <v>292</v>
      </c>
      <c r="AE157" t="s">
        <v>618</v>
      </c>
      <c r="AF157" t="s">
        <v>552</v>
      </c>
      <c r="AH157" t="s">
        <v>555</v>
      </c>
      <c r="AI157" t="s">
        <v>619</v>
      </c>
      <c r="AJ157" t="s">
        <v>620</v>
      </c>
      <c r="AK157" t="s">
        <v>683</v>
      </c>
      <c r="AL157" t="s">
        <v>684</v>
      </c>
      <c r="AM157" t="s">
        <v>1059</v>
      </c>
      <c r="AN157" t="s">
        <v>1281</v>
      </c>
      <c r="AO157" t="s">
        <v>1283</v>
      </c>
      <c r="AP157" t="s">
        <v>614</v>
      </c>
      <c r="AQ157" t="s">
        <v>887</v>
      </c>
      <c r="AR157">
        <v>0</v>
      </c>
      <c r="AS157">
        <v>0</v>
      </c>
      <c r="AT157" t="s">
        <v>311</v>
      </c>
      <c r="AU157">
        <v>10</v>
      </c>
      <c r="AV157">
        <v>0.04</v>
      </c>
      <c r="AW157">
        <v>3.0000000000000001E-3</v>
      </c>
      <c r="AX157" t="s">
        <v>311</v>
      </c>
      <c r="AY157">
        <v>10</v>
      </c>
      <c r="AZ157" t="s">
        <v>1055</v>
      </c>
      <c r="BA157" t="s">
        <v>1679</v>
      </c>
      <c r="BB157">
        <v>7</v>
      </c>
      <c r="BC157" t="s">
        <v>1672</v>
      </c>
      <c r="BD157" s="16" t="s">
        <v>311</v>
      </c>
      <c r="BE157" t="s">
        <v>1880</v>
      </c>
      <c r="BF157">
        <v>23.5</v>
      </c>
      <c r="BG157">
        <v>18.516806722688997</v>
      </c>
      <c r="BH157">
        <v>0</v>
      </c>
      <c r="BI157">
        <v>4.7058823529411802</v>
      </c>
      <c r="BJ157">
        <v>0.8</v>
      </c>
      <c r="BK157" t="s">
        <v>311</v>
      </c>
      <c r="BL157">
        <v>0.8</v>
      </c>
      <c r="BM157" t="s">
        <v>311</v>
      </c>
      <c r="BN157">
        <v>3</v>
      </c>
      <c r="BO157">
        <v>3</v>
      </c>
      <c r="BP157" t="s">
        <v>311</v>
      </c>
      <c r="BQ157" t="s">
        <v>311</v>
      </c>
      <c r="BR157" t="s">
        <v>311</v>
      </c>
      <c r="BS157" t="s">
        <v>311</v>
      </c>
      <c r="BT157" t="s">
        <v>311</v>
      </c>
      <c r="BU157" t="s">
        <v>311</v>
      </c>
      <c r="BV157" t="s">
        <v>311</v>
      </c>
      <c r="BW157" t="s">
        <v>311</v>
      </c>
      <c r="BX157" t="s">
        <v>1126</v>
      </c>
      <c r="BY157" t="s">
        <v>1204</v>
      </c>
      <c r="BZ157">
        <v>11</v>
      </c>
      <c r="CA157">
        <v>15</v>
      </c>
      <c r="CB157" t="s">
        <v>1209</v>
      </c>
      <c r="CC157" t="s">
        <v>1210</v>
      </c>
      <c r="CD157" t="s">
        <v>311</v>
      </c>
      <c r="CE157" t="s">
        <v>311</v>
      </c>
      <c r="CF157" t="s">
        <v>311</v>
      </c>
      <c r="CG157" t="s">
        <v>1348</v>
      </c>
      <c r="CH157" t="s">
        <v>311</v>
      </c>
      <c r="CI157">
        <v>0</v>
      </c>
      <c r="CJ157" s="39" t="s">
        <v>311</v>
      </c>
      <c r="CK157" s="39" t="s">
        <v>311</v>
      </c>
      <c r="CL157" s="39" t="s">
        <v>311</v>
      </c>
      <c r="CM157" s="39" t="s">
        <v>311</v>
      </c>
      <c r="CN157" s="39" t="s">
        <v>311</v>
      </c>
      <c r="CO157" s="39" t="s">
        <v>311</v>
      </c>
      <c r="CP157" s="39" t="s">
        <v>311</v>
      </c>
      <c r="CQ157" t="s">
        <v>1716</v>
      </c>
      <c r="CR157" t="s">
        <v>1166</v>
      </c>
    </row>
    <row r="158" spans="1:96">
      <c r="A158">
        <v>157</v>
      </c>
      <c r="B158">
        <v>22</v>
      </c>
      <c r="C158">
        <v>14</v>
      </c>
      <c r="D158" t="s">
        <v>126</v>
      </c>
      <c r="E158" t="s">
        <v>127</v>
      </c>
      <c r="F158" t="s">
        <v>128</v>
      </c>
      <c r="G158">
        <v>2008</v>
      </c>
      <c r="H158" t="s">
        <v>449</v>
      </c>
      <c r="I158" t="s">
        <v>450</v>
      </c>
      <c r="J158">
        <v>54.818859000000003</v>
      </c>
      <c r="K158">
        <v>9.9408399999999997</v>
      </c>
      <c r="L158" t="s">
        <v>396</v>
      </c>
      <c r="M158" t="s">
        <v>398</v>
      </c>
      <c r="N158" t="s">
        <v>600</v>
      </c>
      <c r="O158" t="s">
        <v>532</v>
      </c>
      <c r="P158" t="s">
        <v>693</v>
      </c>
      <c r="Q158" t="s">
        <v>333</v>
      </c>
      <c r="R158" t="s">
        <v>681</v>
      </c>
      <c r="S158" t="s">
        <v>682</v>
      </c>
      <c r="T158" t="s">
        <v>331</v>
      </c>
      <c r="U158">
        <v>1</v>
      </c>
      <c r="V158" t="s">
        <v>559</v>
      </c>
      <c r="W158">
        <v>2005</v>
      </c>
      <c r="X158" t="s">
        <v>292</v>
      </c>
      <c r="Y158" t="s">
        <v>536</v>
      </c>
      <c r="Z158" t="s">
        <v>537</v>
      </c>
      <c r="AA158" t="s">
        <v>538</v>
      </c>
      <c r="AB158" t="s">
        <v>539</v>
      </c>
      <c r="AC158" t="s">
        <v>540</v>
      </c>
      <c r="AD158" t="s">
        <v>292</v>
      </c>
      <c r="AE158" t="s">
        <v>618</v>
      </c>
      <c r="AF158" t="s">
        <v>552</v>
      </c>
      <c r="AH158" t="s">
        <v>555</v>
      </c>
      <c r="AI158" t="s">
        <v>619</v>
      </c>
      <c r="AJ158" t="s">
        <v>620</v>
      </c>
      <c r="AK158" t="s">
        <v>683</v>
      </c>
      <c r="AL158" t="s">
        <v>684</v>
      </c>
      <c r="AM158" t="s">
        <v>1059</v>
      </c>
      <c r="AN158" t="s">
        <v>1277</v>
      </c>
      <c r="AO158" t="s">
        <v>345</v>
      </c>
      <c r="AP158" t="s">
        <v>887</v>
      </c>
      <c r="AQ158" t="s">
        <v>887</v>
      </c>
      <c r="AR158">
        <v>331</v>
      </c>
      <c r="AS158">
        <v>38</v>
      </c>
      <c r="AT158" t="s">
        <v>311</v>
      </c>
      <c r="AU158">
        <v>8</v>
      </c>
      <c r="AV158">
        <v>337</v>
      </c>
      <c r="AW158">
        <v>34</v>
      </c>
      <c r="AX158" t="s">
        <v>311</v>
      </c>
      <c r="AY158">
        <v>8</v>
      </c>
      <c r="AZ158" t="s">
        <v>1677</v>
      </c>
      <c r="BA158" t="s">
        <v>1680</v>
      </c>
      <c r="BB158">
        <v>0</v>
      </c>
      <c r="BC158" t="s">
        <v>1672</v>
      </c>
      <c r="BD158" s="16" t="s">
        <v>311</v>
      </c>
      <c r="BE158" s="16" t="s">
        <v>1880</v>
      </c>
      <c r="BF158">
        <v>23.5</v>
      </c>
      <c r="BG158">
        <v>18.516806722688997</v>
      </c>
      <c r="BH158">
        <v>0</v>
      </c>
      <c r="BI158">
        <v>4.7058823529411802</v>
      </c>
      <c r="BJ158">
        <v>0.8</v>
      </c>
      <c r="BK158" t="s">
        <v>311</v>
      </c>
      <c r="BL158">
        <v>0.8</v>
      </c>
      <c r="BM158" t="s">
        <v>311</v>
      </c>
      <c r="BN158">
        <v>3</v>
      </c>
      <c r="BO158">
        <v>3</v>
      </c>
      <c r="BP158" t="s">
        <v>311</v>
      </c>
      <c r="BQ158" t="s">
        <v>311</v>
      </c>
      <c r="BR158" t="s">
        <v>311</v>
      </c>
      <c r="BS158" t="s">
        <v>311</v>
      </c>
      <c r="BT158" t="s">
        <v>311</v>
      </c>
      <c r="BU158" t="s">
        <v>311</v>
      </c>
      <c r="BV158" t="s">
        <v>311</v>
      </c>
      <c r="BW158" t="s">
        <v>311</v>
      </c>
      <c r="BX158" t="s">
        <v>1126</v>
      </c>
      <c r="BY158" t="s">
        <v>1204</v>
      </c>
      <c r="BZ158">
        <v>11</v>
      </c>
      <c r="CA158">
        <v>15</v>
      </c>
      <c r="CB158" t="s">
        <v>1209</v>
      </c>
      <c r="CC158" t="s">
        <v>1210</v>
      </c>
      <c r="CD158" t="s">
        <v>311</v>
      </c>
      <c r="CE158" t="s">
        <v>311</v>
      </c>
      <c r="CF158" t="s">
        <v>311</v>
      </c>
      <c r="CG158" t="s">
        <v>1348</v>
      </c>
      <c r="CH158" t="s">
        <v>311</v>
      </c>
      <c r="CI158">
        <v>0</v>
      </c>
      <c r="CJ158" s="39" t="s">
        <v>311</v>
      </c>
      <c r="CK158" s="39" t="s">
        <v>311</v>
      </c>
      <c r="CL158" s="39" t="s">
        <v>311</v>
      </c>
      <c r="CM158" s="39" t="s">
        <v>311</v>
      </c>
      <c r="CN158" s="39" t="s">
        <v>311</v>
      </c>
      <c r="CO158" s="39" t="s">
        <v>311</v>
      </c>
      <c r="CP158" s="39" t="s">
        <v>311</v>
      </c>
      <c r="CQ158" t="s">
        <v>1717</v>
      </c>
      <c r="CR158" t="s">
        <v>1167</v>
      </c>
    </row>
    <row r="159" spans="1:96">
      <c r="A159">
        <v>158</v>
      </c>
      <c r="B159">
        <v>22</v>
      </c>
      <c r="C159">
        <v>15</v>
      </c>
      <c r="D159" t="s">
        <v>126</v>
      </c>
      <c r="E159" t="s">
        <v>127</v>
      </c>
      <c r="F159" t="s">
        <v>128</v>
      </c>
      <c r="G159">
        <v>2008</v>
      </c>
      <c r="H159" t="s">
        <v>449</v>
      </c>
      <c r="I159" t="s">
        <v>450</v>
      </c>
      <c r="J159">
        <v>54.818859000000003</v>
      </c>
      <c r="K159">
        <v>9.9408399999999997</v>
      </c>
      <c r="L159" t="s">
        <v>396</v>
      </c>
      <c r="M159" t="s">
        <v>398</v>
      </c>
      <c r="N159" t="s">
        <v>600</v>
      </c>
      <c r="O159" t="s">
        <v>532</v>
      </c>
      <c r="P159" t="s">
        <v>693</v>
      </c>
      <c r="Q159" t="s">
        <v>333</v>
      </c>
      <c r="R159" t="s">
        <v>681</v>
      </c>
      <c r="S159" t="s">
        <v>682</v>
      </c>
      <c r="T159" t="s">
        <v>331</v>
      </c>
      <c r="U159">
        <v>1</v>
      </c>
      <c r="V159" t="s">
        <v>559</v>
      </c>
      <c r="W159">
        <v>2005</v>
      </c>
      <c r="X159" t="s">
        <v>292</v>
      </c>
      <c r="Y159" t="s">
        <v>536</v>
      </c>
      <c r="Z159" t="s">
        <v>537</v>
      </c>
      <c r="AA159" t="s">
        <v>538</v>
      </c>
      <c r="AB159" t="s">
        <v>539</v>
      </c>
      <c r="AC159" t="s">
        <v>540</v>
      </c>
      <c r="AD159" t="s">
        <v>292</v>
      </c>
      <c r="AE159" t="s">
        <v>618</v>
      </c>
      <c r="AF159" t="s">
        <v>552</v>
      </c>
      <c r="AH159" t="s">
        <v>555</v>
      </c>
      <c r="AI159" t="s">
        <v>619</v>
      </c>
      <c r="AJ159" t="s">
        <v>620</v>
      </c>
      <c r="AK159" t="s">
        <v>683</v>
      </c>
      <c r="AL159" t="s">
        <v>684</v>
      </c>
      <c r="AM159" t="s">
        <v>1059</v>
      </c>
      <c r="AN159" t="s">
        <v>1277</v>
      </c>
      <c r="AO159" t="s">
        <v>1283</v>
      </c>
      <c r="AP159" t="s">
        <v>887</v>
      </c>
      <c r="AQ159" t="s">
        <v>887</v>
      </c>
      <c r="AR159">
        <v>27.4</v>
      </c>
      <c r="AS159">
        <v>0.6</v>
      </c>
      <c r="AT159" t="s">
        <v>311</v>
      </c>
      <c r="AU159">
        <v>30</v>
      </c>
      <c r="AV159">
        <v>24</v>
      </c>
      <c r="AW159">
        <v>0.8</v>
      </c>
      <c r="AX159" t="s">
        <v>311</v>
      </c>
      <c r="AY159">
        <v>30</v>
      </c>
      <c r="AZ159" t="s">
        <v>1055</v>
      </c>
      <c r="BA159" t="s">
        <v>1680</v>
      </c>
      <c r="BB159">
        <v>0</v>
      </c>
      <c r="BC159" t="s">
        <v>1672</v>
      </c>
      <c r="BD159" s="16" t="s">
        <v>311</v>
      </c>
      <c r="BE159" s="16" t="s">
        <v>1880</v>
      </c>
      <c r="BF159">
        <v>23.5</v>
      </c>
      <c r="BG159">
        <v>18.516806722688997</v>
      </c>
      <c r="BH159">
        <v>0</v>
      </c>
      <c r="BI159">
        <v>4.7058823529411802</v>
      </c>
      <c r="BJ159">
        <v>0.8</v>
      </c>
      <c r="BK159" t="s">
        <v>311</v>
      </c>
      <c r="BL159">
        <v>0.8</v>
      </c>
      <c r="BM159" t="s">
        <v>311</v>
      </c>
      <c r="BN159">
        <v>3</v>
      </c>
      <c r="BO159">
        <v>3</v>
      </c>
      <c r="BP159" t="s">
        <v>311</v>
      </c>
      <c r="BQ159" t="s">
        <v>311</v>
      </c>
      <c r="BR159" t="s">
        <v>311</v>
      </c>
      <c r="BS159" t="s">
        <v>311</v>
      </c>
      <c r="BT159" t="s">
        <v>311</v>
      </c>
      <c r="BU159" t="s">
        <v>311</v>
      </c>
      <c r="BV159" t="s">
        <v>311</v>
      </c>
      <c r="BW159" t="s">
        <v>311</v>
      </c>
      <c r="BX159" t="s">
        <v>1126</v>
      </c>
      <c r="BY159" t="s">
        <v>1204</v>
      </c>
      <c r="BZ159">
        <v>11</v>
      </c>
      <c r="CA159">
        <v>15</v>
      </c>
      <c r="CB159" t="s">
        <v>1209</v>
      </c>
      <c r="CC159" t="s">
        <v>1210</v>
      </c>
      <c r="CD159" t="s">
        <v>311</v>
      </c>
      <c r="CE159" t="s">
        <v>311</v>
      </c>
      <c r="CF159" t="s">
        <v>311</v>
      </c>
      <c r="CG159" t="s">
        <v>1348</v>
      </c>
      <c r="CH159" t="s">
        <v>311</v>
      </c>
      <c r="CI159">
        <v>0</v>
      </c>
      <c r="CJ159" s="39" t="s">
        <v>311</v>
      </c>
      <c r="CK159" s="39" t="s">
        <v>311</v>
      </c>
      <c r="CL159" s="39" t="s">
        <v>311</v>
      </c>
      <c r="CM159" s="39" t="s">
        <v>311</v>
      </c>
      <c r="CN159" s="39" t="s">
        <v>311</v>
      </c>
      <c r="CO159" s="39" t="s">
        <v>311</v>
      </c>
      <c r="CP159" s="39" t="s">
        <v>311</v>
      </c>
      <c r="CQ159" t="s">
        <v>1717</v>
      </c>
      <c r="CR159" t="s">
        <v>1166</v>
      </c>
    </row>
    <row r="160" spans="1:96">
      <c r="A160">
        <v>159</v>
      </c>
      <c r="B160">
        <v>22</v>
      </c>
      <c r="C160">
        <v>16</v>
      </c>
      <c r="D160" t="s">
        <v>126</v>
      </c>
      <c r="E160" t="s">
        <v>127</v>
      </c>
      <c r="F160" t="s">
        <v>128</v>
      </c>
      <c r="G160">
        <v>2008</v>
      </c>
      <c r="H160" t="s">
        <v>449</v>
      </c>
      <c r="I160" t="s">
        <v>450</v>
      </c>
      <c r="J160">
        <v>54.818859000000003</v>
      </c>
      <c r="K160">
        <v>9.9408399999999997</v>
      </c>
      <c r="L160" t="s">
        <v>396</v>
      </c>
      <c r="M160" t="s">
        <v>398</v>
      </c>
      <c r="N160" t="s">
        <v>600</v>
      </c>
      <c r="O160" t="s">
        <v>532</v>
      </c>
      <c r="P160" t="s">
        <v>693</v>
      </c>
      <c r="Q160" t="s">
        <v>333</v>
      </c>
      <c r="R160" t="s">
        <v>681</v>
      </c>
      <c r="S160" t="s">
        <v>682</v>
      </c>
      <c r="T160" t="s">
        <v>331</v>
      </c>
      <c r="U160">
        <v>1</v>
      </c>
      <c r="V160" t="s">
        <v>559</v>
      </c>
      <c r="W160">
        <v>2005</v>
      </c>
      <c r="X160" t="s">
        <v>292</v>
      </c>
      <c r="Y160" t="s">
        <v>536</v>
      </c>
      <c r="Z160" t="s">
        <v>537</v>
      </c>
      <c r="AA160" t="s">
        <v>538</v>
      </c>
      <c r="AB160" t="s">
        <v>539</v>
      </c>
      <c r="AC160" t="s">
        <v>540</v>
      </c>
      <c r="AD160" t="s">
        <v>292</v>
      </c>
      <c r="AE160" t="s">
        <v>618</v>
      </c>
      <c r="AF160" t="s">
        <v>552</v>
      </c>
      <c r="AH160" t="s">
        <v>555</v>
      </c>
      <c r="AI160" t="s">
        <v>619</v>
      </c>
      <c r="AJ160" t="s">
        <v>620</v>
      </c>
      <c r="AK160" t="s">
        <v>683</v>
      </c>
      <c r="AL160" t="s">
        <v>684</v>
      </c>
      <c r="AM160" t="s">
        <v>1059</v>
      </c>
      <c r="AN160" t="s">
        <v>1281</v>
      </c>
      <c r="AO160" t="s">
        <v>1288</v>
      </c>
      <c r="AP160" t="s">
        <v>887</v>
      </c>
      <c r="AQ160" t="s">
        <v>887</v>
      </c>
      <c r="AR160">
        <v>3.2</v>
      </c>
      <c r="AS160">
        <v>0.06</v>
      </c>
      <c r="AT160" t="s">
        <v>311</v>
      </c>
      <c r="AU160">
        <v>30</v>
      </c>
      <c r="AV160">
        <v>3.6</v>
      </c>
      <c r="AW160">
        <v>0.02</v>
      </c>
      <c r="AX160" t="s">
        <v>311</v>
      </c>
      <c r="AY160">
        <v>30</v>
      </c>
      <c r="AZ160" t="s">
        <v>1055</v>
      </c>
      <c r="BA160" t="s">
        <v>1680</v>
      </c>
      <c r="BB160">
        <v>0</v>
      </c>
      <c r="BC160" t="s">
        <v>1672</v>
      </c>
      <c r="BD160" s="16" t="s">
        <v>311</v>
      </c>
      <c r="BE160" s="16" t="s">
        <v>1880</v>
      </c>
      <c r="BF160">
        <v>23.5</v>
      </c>
      <c r="BG160">
        <v>18.516806722688997</v>
      </c>
      <c r="BH160">
        <v>0</v>
      </c>
      <c r="BI160">
        <v>4.7058823529411802</v>
      </c>
      <c r="BJ160">
        <v>0.8</v>
      </c>
      <c r="BK160" t="s">
        <v>311</v>
      </c>
      <c r="BL160">
        <v>0.8</v>
      </c>
      <c r="BM160" t="s">
        <v>311</v>
      </c>
      <c r="BN160">
        <v>3</v>
      </c>
      <c r="BO160">
        <v>3</v>
      </c>
      <c r="BP160" t="s">
        <v>311</v>
      </c>
      <c r="BQ160" t="s">
        <v>311</v>
      </c>
      <c r="BR160" t="s">
        <v>311</v>
      </c>
      <c r="BS160" t="s">
        <v>311</v>
      </c>
      <c r="BT160" t="s">
        <v>311</v>
      </c>
      <c r="BU160" t="s">
        <v>311</v>
      </c>
      <c r="BV160" t="s">
        <v>311</v>
      </c>
      <c r="BW160" t="s">
        <v>311</v>
      </c>
      <c r="BX160" t="s">
        <v>1126</v>
      </c>
      <c r="BY160" t="s">
        <v>1204</v>
      </c>
      <c r="BZ160">
        <v>11</v>
      </c>
      <c r="CA160">
        <v>15</v>
      </c>
      <c r="CB160" t="s">
        <v>1209</v>
      </c>
      <c r="CC160" t="s">
        <v>1210</v>
      </c>
      <c r="CD160" t="s">
        <v>311</v>
      </c>
      <c r="CE160" t="s">
        <v>311</v>
      </c>
      <c r="CF160" t="s">
        <v>311</v>
      </c>
      <c r="CG160" t="s">
        <v>1348</v>
      </c>
      <c r="CH160" t="s">
        <v>311</v>
      </c>
      <c r="CI160">
        <v>0</v>
      </c>
      <c r="CJ160" s="39" t="s">
        <v>311</v>
      </c>
      <c r="CK160" s="39" t="s">
        <v>311</v>
      </c>
      <c r="CL160" s="39" t="s">
        <v>311</v>
      </c>
      <c r="CM160" s="39" t="s">
        <v>311</v>
      </c>
      <c r="CN160" s="39" t="s">
        <v>311</v>
      </c>
      <c r="CO160" s="39" t="s">
        <v>311</v>
      </c>
      <c r="CP160" s="39" t="s">
        <v>311</v>
      </c>
      <c r="CQ160" t="s">
        <v>1717</v>
      </c>
      <c r="CR160" t="s">
        <v>1168</v>
      </c>
    </row>
    <row r="161" spans="1:96">
      <c r="A161">
        <v>160</v>
      </c>
      <c r="B161">
        <v>22</v>
      </c>
      <c r="C161">
        <v>17</v>
      </c>
      <c r="D161" t="s">
        <v>126</v>
      </c>
      <c r="E161" t="s">
        <v>127</v>
      </c>
      <c r="F161" t="s">
        <v>128</v>
      </c>
      <c r="G161">
        <v>2008</v>
      </c>
      <c r="H161" t="s">
        <v>449</v>
      </c>
      <c r="I161" t="s">
        <v>450</v>
      </c>
      <c r="J161">
        <v>54.818859000000003</v>
      </c>
      <c r="K161">
        <v>9.9408399999999997</v>
      </c>
      <c r="L161" t="s">
        <v>396</v>
      </c>
      <c r="M161" t="s">
        <v>398</v>
      </c>
      <c r="N161" t="s">
        <v>600</v>
      </c>
      <c r="O161" t="s">
        <v>532</v>
      </c>
      <c r="P161" t="s">
        <v>693</v>
      </c>
      <c r="Q161" t="s">
        <v>333</v>
      </c>
      <c r="R161" t="s">
        <v>681</v>
      </c>
      <c r="S161" t="s">
        <v>682</v>
      </c>
      <c r="T161" t="s">
        <v>331</v>
      </c>
      <c r="U161">
        <v>1</v>
      </c>
      <c r="V161" t="s">
        <v>559</v>
      </c>
      <c r="W161">
        <v>2005</v>
      </c>
      <c r="X161" t="s">
        <v>292</v>
      </c>
      <c r="Y161" t="s">
        <v>536</v>
      </c>
      <c r="Z161" t="s">
        <v>537</v>
      </c>
      <c r="AA161" t="s">
        <v>538</v>
      </c>
      <c r="AB161" t="s">
        <v>539</v>
      </c>
      <c r="AC161" t="s">
        <v>540</v>
      </c>
      <c r="AD161" t="s">
        <v>292</v>
      </c>
      <c r="AE161" t="s">
        <v>618</v>
      </c>
      <c r="AF161" t="s">
        <v>552</v>
      </c>
      <c r="AH161" t="s">
        <v>555</v>
      </c>
      <c r="AI161" t="s">
        <v>619</v>
      </c>
      <c r="AJ161" t="s">
        <v>620</v>
      </c>
      <c r="AK161" t="s">
        <v>683</v>
      </c>
      <c r="AL161" t="s">
        <v>684</v>
      </c>
      <c r="AM161" t="s">
        <v>1059</v>
      </c>
      <c r="AN161" t="s">
        <v>1279</v>
      </c>
      <c r="AO161" t="s">
        <v>606</v>
      </c>
      <c r="AP161" t="s">
        <v>887</v>
      </c>
      <c r="AQ161" t="s">
        <v>887</v>
      </c>
      <c r="AR161">
        <v>125</v>
      </c>
      <c r="AS161">
        <v>26</v>
      </c>
      <c r="AT161" t="s">
        <v>311</v>
      </c>
      <c r="AU161">
        <v>3</v>
      </c>
      <c r="AV161">
        <v>150</v>
      </c>
      <c r="AW161">
        <v>30</v>
      </c>
      <c r="AX161" t="s">
        <v>311</v>
      </c>
      <c r="AY161">
        <v>3</v>
      </c>
      <c r="AZ161" t="s">
        <v>1677</v>
      </c>
      <c r="BA161" t="s">
        <v>1680</v>
      </c>
      <c r="BB161">
        <v>0</v>
      </c>
      <c r="BC161" t="s">
        <v>1672</v>
      </c>
      <c r="BD161" s="16" t="s">
        <v>311</v>
      </c>
      <c r="BE161" s="16" t="s">
        <v>1880</v>
      </c>
      <c r="BF161">
        <v>23.5</v>
      </c>
      <c r="BG161">
        <v>18.516806722688997</v>
      </c>
      <c r="BH161">
        <v>0</v>
      </c>
      <c r="BI161">
        <v>4.7058823529411802</v>
      </c>
      <c r="BJ161">
        <v>0.8</v>
      </c>
      <c r="BK161" t="s">
        <v>311</v>
      </c>
      <c r="BL161">
        <v>0.8</v>
      </c>
      <c r="BM161" t="s">
        <v>311</v>
      </c>
      <c r="BN161">
        <v>3</v>
      </c>
      <c r="BO161">
        <v>3</v>
      </c>
      <c r="BP161" t="s">
        <v>311</v>
      </c>
      <c r="BQ161" t="s">
        <v>311</v>
      </c>
      <c r="BR161" t="s">
        <v>311</v>
      </c>
      <c r="BS161" t="s">
        <v>311</v>
      </c>
      <c r="BT161" t="s">
        <v>311</v>
      </c>
      <c r="BU161" t="s">
        <v>311</v>
      </c>
      <c r="BV161" t="s">
        <v>311</v>
      </c>
      <c r="BW161" t="s">
        <v>311</v>
      </c>
      <c r="BX161" t="s">
        <v>1126</v>
      </c>
      <c r="BY161" t="s">
        <v>1204</v>
      </c>
      <c r="BZ161">
        <v>11</v>
      </c>
      <c r="CA161">
        <v>15</v>
      </c>
      <c r="CB161" t="s">
        <v>1209</v>
      </c>
      <c r="CC161" t="s">
        <v>1210</v>
      </c>
      <c r="CD161" t="s">
        <v>311</v>
      </c>
      <c r="CE161" t="s">
        <v>311</v>
      </c>
      <c r="CF161" t="s">
        <v>311</v>
      </c>
      <c r="CG161" t="s">
        <v>1348</v>
      </c>
      <c r="CH161" t="s">
        <v>311</v>
      </c>
      <c r="CI161">
        <v>0</v>
      </c>
      <c r="CJ161" s="39" t="s">
        <v>311</v>
      </c>
      <c r="CK161" s="39" t="s">
        <v>311</v>
      </c>
      <c r="CL161" s="39" t="s">
        <v>311</v>
      </c>
      <c r="CM161" s="39" t="s">
        <v>311</v>
      </c>
      <c r="CN161" s="39" t="s">
        <v>311</v>
      </c>
      <c r="CO161" s="39" t="s">
        <v>311</v>
      </c>
      <c r="CP161" s="39" t="s">
        <v>311</v>
      </c>
      <c r="CQ161" t="s">
        <v>1717</v>
      </c>
      <c r="CR161" t="s">
        <v>1169</v>
      </c>
    </row>
    <row r="162" spans="1:96">
      <c r="A162">
        <v>161</v>
      </c>
      <c r="B162">
        <v>22</v>
      </c>
      <c r="C162">
        <v>18</v>
      </c>
      <c r="D162" t="s">
        <v>126</v>
      </c>
      <c r="E162" t="s">
        <v>127</v>
      </c>
      <c r="F162" t="s">
        <v>128</v>
      </c>
      <c r="G162">
        <v>2008</v>
      </c>
      <c r="H162" t="s">
        <v>449</v>
      </c>
      <c r="I162" t="s">
        <v>450</v>
      </c>
      <c r="J162">
        <v>54.818859000000003</v>
      </c>
      <c r="K162">
        <v>9.9408399999999997</v>
      </c>
      <c r="L162" t="s">
        <v>396</v>
      </c>
      <c r="M162" t="s">
        <v>398</v>
      </c>
      <c r="N162" t="s">
        <v>600</v>
      </c>
      <c r="O162" t="s">
        <v>532</v>
      </c>
      <c r="P162" t="s">
        <v>693</v>
      </c>
      <c r="Q162" t="s">
        <v>333</v>
      </c>
      <c r="R162" t="s">
        <v>681</v>
      </c>
      <c r="S162" t="s">
        <v>682</v>
      </c>
      <c r="T162" t="s">
        <v>331</v>
      </c>
      <c r="U162">
        <v>1</v>
      </c>
      <c r="V162" t="s">
        <v>559</v>
      </c>
      <c r="W162">
        <v>2005</v>
      </c>
      <c r="X162" t="s">
        <v>292</v>
      </c>
      <c r="Y162" t="s">
        <v>536</v>
      </c>
      <c r="Z162" t="s">
        <v>537</v>
      </c>
      <c r="AA162" t="s">
        <v>538</v>
      </c>
      <c r="AB162" t="s">
        <v>539</v>
      </c>
      <c r="AC162" t="s">
        <v>540</v>
      </c>
      <c r="AD162" t="s">
        <v>292</v>
      </c>
      <c r="AE162" t="s">
        <v>678</v>
      </c>
      <c r="AF162" t="s">
        <v>567</v>
      </c>
      <c r="AG162" s="16" t="s">
        <v>1904</v>
      </c>
      <c r="AH162" t="s">
        <v>343</v>
      </c>
      <c r="AI162" t="s">
        <v>677</v>
      </c>
      <c r="AJ162" t="s">
        <v>676</v>
      </c>
      <c r="AK162" t="s">
        <v>674</v>
      </c>
      <c r="AL162" t="s">
        <v>357</v>
      </c>
      <c r="AM162" t="s">
        <v>1059</v>
      </c>
      <c r="AN162" t="s">
        <v>584</v>
      </c>
      <c r="AO162" t="s">
        <v>606</v>
      </c>
      <c r="AP162" t="s">
        <v>887</v>
      </c>
      <c r="AQ162" t="s">
        <v>887</v>
      </c>
      <c r="AR162">
        <v>0.43034055727554099</v>
      </c>
      <c r="AS162">
        <v>3.4055727554180015E-2</v>
      </c>
      <c r="AT162" t="s">
        <v>311</v>
      </c>
      <c r="AU162">
        <v>3</v>
      </c>
      <c r="AV162">
        <v>0.87925696594427205</v>
      </c>
      <c r="AW162">
        <v>8.6687306501547989E-2</v>
      </c>
      <c r="AX162" t="s">
        <v>311</v>
      </c>
      <c r="AY162">
        <v>3</v>
      </c>
      <c r="AZ162" t="s">
        <v>1055</v>
      </c>
      <c r="BA162" t="s">
        <v>1680</v>
      </c>
      <c r="BB162">
        <v>0</v>
      </c>
      <c r="BC162" t="s">
        <v>1672</v>
      </c>
      <c r="BD162" s="16" t="s">
        <v>311</v>
      </c>
      <c r="BE162" s="16" t="s">
        <v>1880</v>
      </c>
      <c r="BF162">
        <v>23.5</v>
      </c>
      <c r="BG162">
        <v>18.516806722688997</v>
      </c>
      <c r="BH162">
        <v>0</v>
      </c>
      <c r="BI162">
        <v>4.7058823529411802</v>
      </c>
      <c r="BJ162">
        <v>0.8</v>
      </c>
      <c r="BK162" t="s">
        <v>311</v>
      </c>
      <c r="BL162">
        <v>0.8</v>
      </c>
      <c r="BM162" t="s">
        <v>311</v>
      </c>
      <c r="BN162">
        <v>3</v>
      </c>
      <c r="BO162">
        <v>3</v>
      </c>
      <c r="BP162" t="s">
        <v>311</v>
      </c>
      <c r="BQ162" t="s">
        <v>311</v>
      </c>
      <c r="BR162" t="s">
        <v>311</v>
      </c>
      <c r="BS162" t="s">
        <v>311</v>
      </c>
      <c r="BT162" t="s">
        <v>311</v>
      </c>
      <c r="BU162" t="s">
        <v>311</v>
      </c>
      <c r="BV162" t="s">
        <v>311</v>
      </c>
      <c r="BW162" t="s">
        <v>311</v>
      </c>
      <c r="BX162" t="s">
        <v>1126</v>
      </c>
      <c r="BY162" t="s">
        <v>1204</v>
      </c>
      <c r="BZ162">
        <v>11</v>
      </c>
      <c r="CA162">
        <v>15</v>
      </c>
      <c r="CB162" t="s">
        <v>1209</v>
      </c>
      <c r="CC162" t="s">
        <v>1210</v>
      </c>
      <c r="CD162" t="s">
        <v>311</v>
      </c>
      <c r="CE162" t="s">
        <v>311</v>
      </c>
      <c r="CF162" t="s">
        <v>311</v>
      </c>
      <c r="CG162" t="s">
        <v>1348</v>
      </c>
      <c r="CH162" t="s">
        <v>311</v>
      </c>
      <c r="CI162">
        <v>0</v>
      </c>
      <c r="CJ162" s="39" t="s">
        <v>311</v>
      </c>
      <c r="CK162" s="39" t="s">
        <v>311</v>
      </c>
      <c r="CL162" s="39" t="s">
        <v>311</v>
      </c>
      <c r="CM162" s="39" t="s">
        <v>311</v>
      </c>
      <c r="CN162" s="39" t="s">
        <v>311</v>
      </c>
      <c r="CO162" s="39" t="s">
        <v>311</v>
      </c>
      <c r="CP162" s="39" t="s">
        <v>311</v>
      </c>
      <c r="CQ162" t="s">
        <v>1717</v>
      </c>
      <c r="CR162" t="s">
        <v>1170</v>
      </c>
    </row>
    <row r="163" spans="1:96">
      <c r="A163">
        <v>162</v>
      </c>
      <c r="B163">
        <v>22</v>
      </c>
      <c r="C163">
        <v>19</v>
      </c>
      <c r="D163" t="s">
        <v>126</v>
      </c>
      <c r="E163" t="s">
        <v>127</v>
      </c>
      <c r="F163" t="s">
        <v>128</v>
      </c>
      <c r="G163">
        <v>2008</v>
      </c>
      <c r="H163" t="s">
        <v>449</v>
      </c>
      <c r="I163" t="s">
        <v>450</v>
      </c>
      <c r="J163">
        <v>54.818859000000003</v>
      </c>
      <c r="K163">
        <v>9.9408399999999997</v>
      </c>
      <c r="L163" t="s">
        <v>396</v>
      </c>
      <c r="M163" t="s">
        <v>398</v>
      </c>
      <c r="N163" t="s">
        <v>600</v>
      </c>
      <c r="O163" t="s">
        <v>532</v>
      </c>
      <c r="P163" t="s">
        <v>693</v>
      </c>
      <c r="Q163" t="s">
        <v>333</v>
      </c>
      <c r="R163" t="s">
        <v>681</v>
      </c>
      <c r="S163" t="s">
        <v>682</v>
      </c>
      <c r="T163" t="s">
        <v>331</v>
      </c>
      <c r="U163">
        <v>1</v>
      </c>
      <c r="V163" t="s">
        <v>535</v>
      </c>
      <c r="W163">
        <v>2005</v>
      </c>
      <c r="X163" t="s">
        <v>292</v>
      </c>
      <c r="Y163" t="s">
        <v>536</v>
      </c>
      <c r="Z163" t="s">
        <v>537</v>
      </c>
      <c r="AA163" t="s">
        <v>538</v>
      </c>
      <c r="AB163" t="s">
        <v>539</v>
      </c>
      <c r="AC163" t="s">
        <v>540</v>
      </c>
      <c r="AD163" t="s">
        <v>292</v>
      </c>
      <c r="AE163" t="s">
        <v>678</v>
      </c>
      <c r="AF163" t="s">
        <v>567</v>
      </c>
      <c r="AG163" s="16" t="s">
        <v>1904</v>
      </c>
      <c r="AH163" t="s">
        <v>343</v>
      </c>
      <c r="AI163" t="s">
        <v>677</v>
      </c>
      <c r="AJ163" t="s">
        <v>676</v>
      </c>
      <c r="AK163" t="s">
        <v>674</v>
      </c>
      <c r="AL163" t="s">
        <v>357</v>
      </c>
      <c r="AM163" t="s">
        <v>1059</v>
      </c>
      <c r="AN163" t="s">
        <v>584</v>
      </c>
      <c r="AO163" t="s">
        <v>606</v>
      </c>
      <c r="AP163" t="s">
        <v>887</v>
      </c>
      <c r="AQ163" t="s">
        <v>887</v>
      </c>
      <c r="AR163">
        <v>0.72445820433436503</v>
      </c>
      <c r="AS163">
        <v>2.1671826625387025E-2</v>
      </c>
      <c r="AT163" t="s">
        <v>311</v>
      </c>
      <c r="AU163">
        <v>3</v>
      </c>
      <c r="AV163">
        <v>0</v>
      </c>
      <c r="AW163">
        <v>0</v>
      </c>
      <c r="AX163" t="s">
        <v>311</v>
      </c>
      <c r="AY163">
        <v>3</v>
      </c>
      <c r="AZ163" t="s">
        <v>1055</v>
      </c>
      <c r="BA163" t="s">
        <v>1680</v>
      </c>
      <c r="BB163">
        <v>0</v>
      </c>
      <c r="BC163" t="s">
        <v>1672</v>
      </c>
      <c r="BD163" s="16" t="s">
        <v>311</v>
      </c>
      <c r="BE163" s="16" t="s">
        <v>1880</v>
      </c>
      <c r="BF163" t="s">
        <v>311</v>
      </c>
      <c r="BG163" t="s">
        <v>311</v>
      </c>
      <c r="BH163" t="s">
        <v>311</v>
      </c>
      <c r="BI163" t="s">
        <v>311</v>
      </c>
      <c r="BJ163">
        <v>0.8</v>
      </c>
      <c r="BK163" t="s">
        <v>311</v>
      </c>
      <c r="BL163">
        <v>0.8</v>
      </c>
      <c r="BM163" t="s">
        <v>311</v>
      </c>
      <c r="BN163">
        <v>3</v>
      </c>
      <c r="BO163">
        <v>3</v>
      </c>
      <c r="BP163" t="s">
        <v>311</v>
      </c>
      <c r="BQ163" t="s">
        <v>311</v>
      </c>
      <c r="BR163" t="s">
        <v>311</v>
      </c>
      <c r="BS163" t="s">
        <v>311</v>
      </c>
      <c r="BT163" t="s">
        <v>311</v>
      </c>
      <c r="BU163" t="s">
        <v>311</v>
      </c>
      <c r="BV163" t="s">
        <v>311</v>
      </c>
      <c r="BW163" t="s">
        <v>311</v>
      </c>
      <c r="BX163" t="s">
        <v>1126</v>
      </c>
      <c r="BY163" t="s">
        <v>1204</v>
      </c>
      <c r="BZ163">
        <v>11</v>
      </c>
      <c r="CA163">
        <v>15</v>
      </c>
      <c r="CB163" t="s">
        <v>1209</v>
      </c>
      <c r="CC163" t="s">
        <v>1210</v>
      </c>
      <c r="CD163" t="s">
        <v>311</v>
      </c>
      <c r="CE163" t="s">
        <v>311</v>
      </c>
      <c r="CF163" t="s">
        <v>311</v>
      </c>
      <c r="CG163" t="s">
        <v>1348</v>
      </c>
      <c r="CH163" t="s">
        <v>311</v>
      </c>
      <c r="CI163">
        <v>0</v>
      </c>
      <c r="CJ163" s="39" t="s">
        <v>311</v>
      </c>
      <c r="CK163" s="39" t="s">
        <v>311</v>
      </c>
      <c r="CL163" s="39" t="s">
        <v>311</v>
      </c>
      <c r="CM163" s="39" t="s">
        <v>311</v>
      </c>
      <c r="CN163" s="39" t="s">
        <v>311</v>
      </c>
      <c r="CO163" s="39" t="s">
        <v>311</v>
      </c>
      <c r="CP163" s="39" t="s">
        <v>311</v>
      </c>
      <c r="CQ163" t="s">
        <v>1717</v>
      </c>
      <c r="CR163" t="s">
        <v>1171</v>
      </c>
    </row>
    <row r="164" spans="1:96" s="27" customFormat="1">
      <c r="A164">
        <v>163</v>
      </c>
      <c r="B164" s="27">
        <v>23</v>
      </c>
      <c r="C164" s="27">
        <v>1</v>
      </c>
      <c r="D164" s="27" t="s">
        <v>145</v>
      </c>
      <c r="E164" s="27" t="s">
        <v>146</v>
      </c>
      <c r="F164" s="27" t="s">
        <v>147</v>
      </c>
      <c r="G164" s="27">
        <v>2005</v>
      </c>
      <c r="H164" s="27" t="s">
        <v>457</v>
      </c>
      <c r="I164" s="27" t="s">
        <v>458</v>
      </c>
      <c r="J164" s="27">
        <v>29.344007999999999</v>
      </c>
      <c r="K164" s="27">
        <v>34.862664000000002</v>
      </c>
      <c r="L164" s="27" t="s">
        <v>407</v>
      </c>
      <c r="M164" s="27" t="s">
        <v>406</v>
      </c>
      <c r="N164" s="27" t="s">
        <v>593</v>
      </c>
      <c r="O164" s="27" t="s">
        <v>556</v>
      </c>
      <c r="P164" s="27" t="s">
        <v>693</v>
      </c>
      <c r="Q164" s="27" t="s">
        <v>419</v>
      </c>
      <c r="R164" s="27" t="s">
        <v>558</v>
      </c>
      <c r="S164" s="27" t="s">
        <v>717</v>
      </c>
      <c r="T164" s="27" t="s">
        <v>330</v>
      </c>
      <c r="U164" s="27">
        <v>5</v>
      </c>
      <c r="V164" s="27" t="s">
        <v>559</v>
      </c>
      <c r="W164" s="27">
        <v>2002</v>
      </c>
      <c r="X164" s="27" t="s">
        <v>292</v>
      </c>
      <c r="Y164" s="27" t="s">
        <v>696</v>
      </c>
      <c r="Z164" s="27" t="s">
        <v>302</v>
      </c>
      <c r="AA164" s="27" t="s">
        <v>303</v>
      </c>
      <c r="AB164" s="27" t="s">
        <v>694</v>
      </c>
      <c r="AC164" s="27" t="s">
        <v>695</v>
      </c>
      <c r="AD164" s="27" t="s">
        <v>292</v>
      </c>
      <c r="AE164" s="27" t="s">
        <v>699</v>
      </c>
      <c r="AF164" s="27" t="s">
        <v>609</v>
      </c>
      <c r="AH164" s="27" t="s">
        <v>305</v>
      </c>
      <c r="AI164" s="27" t="s">
        <v>697</v>
      </c>
      <c r="AJ164" s="27" t="s">
        <v>698</v>
      </c>
      <c r="AK164" s="27" t="s">
        <v>700</v>
      </c>
      <c r="AL164" s="27" t="s">
        <v>357</v>
      </c>
      <c r="AM164" s="27" t="s">
        <v>1059</v>
      </c>
      <c r="AN164" s="27" t="s">
        <v>1289</v>
      </c>
      <c r="AO164" s="27" t="s">
        <v>870</v>
      </c>
      <c r="AP164" s="27" t="s">
        <v>614</v>
      </c>
      <c r="AQ164" s="27" t="s">
        <v>887</v>
      </c>
      <c r="AR164" s="27">
        <v>2.4067796610169401</v>
      </c>
      <c r="AS164" s="27" t="s">
        <v>311</v>
      </c>
      <c r="AT164" s="27">
        <v>0.42372881355932979</v>
      </c>
      <c r="AU164" s="27">
        <v>4</v>
      </c>
      <c r="AV164" s="27">
        <v>1.49152542372881</v>
      </c>
      <c r="AW164" s="27" t="s">
        <v>311</v>
      </c>
      <c r="AX164" s="27">
        <v>0.45762711900000003</v>
      </c>
      <c r="AY164" s="27">
        <v>4</v>
      </c>
      <c r="AZ164" s="27" t="s">
        <v>1055</v>
      </c>
      <c r="BA164" s="27" t="s">
        <v>1679</v>
      </c>
      <c r="BB164">
        <v>56</v>
      </c>
      <c r="BC164" s="27" t="s">
        <v>1672</v>
      </c>
      <c r="BD164" s="37" t="s">
        <v>311</v>
      </c>
      <c r="BE164" s="37" t="s">
        <v>1880</v>
      </c>
      <c r="BF164" s="27">
        <v>1.944</v>
      </c>
      <c r="BG164" s="27" t="s">
        <v>311</v>
      </c>
      <c r="BH164" s="27">
        <v>0</v>
      </c>
      <c r="BI164" s="27" t="s">
        <v>311</v>
      </c>
      <c r="BJ164" s="27" t="s">
        <v>311</v>
      </c>
      <c r="BK164" s="27" t="s">
        <v>311</v>
      </c>
      <c r="BL164" s="27" t="s">
        <v>311</v>
      </c>
      <c r="BM164" s="27" t="s">
        <v>311</v>
      </c>
      <c r="BN164" s="27" t="s">
        <v>311</v>
      </c>
      <c r="BO164" s="27" t="s">
        <v>311</v>
      </c>
      <c r="BP164" s="27" t="s">
        <v>311</v>
      </c>
      <c r="BQ164" s="27" t="s">
        <v>311</v>
      </c>
      <c r="BR164" s="27" t="s">
        <v>311</v>
      </c>
      <c r="BS164" s="27" t="s">
        <v>311</v>
      </c>
      <c r="BT164" s="27" t="s">
        <v>311</v>
      </c>
      <c r="BU164" s="27" t="s">
        <v>311</v>
      </c>
      <c r="BV164" s="27" t="s">
        <v>311</v>
      </c>
      <c r="BW164" s="27" t="s">
        <v>311</v>
      </c>
      <c r="BX164" s="27" t="s">
        <v>1126</v>
      </c>
      <c r="BY164" s="27" t="s">
        <v>1203</v>
      </c>
      <c r="BZ164" s="27">
        <v>0.1</v>
      </c>
      <c r="CA164" s="27">
        <v>23</v>
      </c>
      <c r="CB164" s="27" t="s">
        <v>1210</v>
      </c>
      <c r="CC164" s="27" t="s">
        <v>1209</v>
      </c>
      <c r="CD164" s="27" t="s">
        <v>1314</v>
      </c>
      <c r="CE164" s="27" t="s">
        <v>1313</v>
      </c>
      <c r="CF164" s="27">
        <v>0</v>
      </c>
      <c r="CG164" s="27" t="s">
        <v>311</v>
      </c>
      <c r="CH164" s="27" t="s">
        <v>311</v>
      </c>
      <c r="CI164" s="27" t="s">
        <v>311</v>
      </c>
      <c r="CJ164" s="39" t="s">
        <v>311</v>
      </c>
      <c r="CK164" s="39" t="s">
        <v>311</v>
      </c>
      <c r="CL164" s="39" t="s">
        <v>311</v>
      </c>
      <c r="CM164" s="39" t="s">
        <v>311</v>
      </c>
      <c r="CN164" s="39" t="s">
        <v>311</v>
      </c>
      <c r="CO164" s="39" t="s">
        <v>311</v>
      </c>
      <c r="CP164" s="39" t="s">
        <v>311</v>
      </c>
      <c r="CQ164" s="27" t="s">
        <v>1814</v>
      </c>
      <c r="CR164" s="27" t="s">
        <v>1617</v>
      </c>
    </row>
    <row r="165" spans="1:96" s="30" customFormat="1">
      <c r="A165">
        <v>164</v>
      </c>
      <c r="B165" s="30">
        <v>23</v>
      </c>
      <c r="C165" s="30">
        <v>2</v>
      </c>
      <c r="D165" s="30" t="s">
        <v>145</v>
      </c>
      <c r="E165" s="30" t="s">
        <v>146</v>
      </c>
      <c r="F165" s="30" t="s">
        <v>147</v>
      </c>
      <c r="G165" s="30">
        <v>2005</v>
      </c>
      <c r="H165" s="30" t="s">
        <v>457</v>
      </c>
      <c r="I165" s="30" t="s">
        <v>458</v>
      </c>
      <c r="J165" s="30">
        <v>29.344007999999999</v>
      </c>
      <c r="K165" s="30">
        <v>34.862664000000002</v>
      </c>
      <c r="L165" s="30" t="s">
        <v>407</v>
      </c>
      <c r="M165" s="30" t="s">
        <v>406</v>
      </c>
      <c r="N165" s="30" t="s">
        <v>593</v>
      </c>
      <c r="O165" s="30" t="s">
        <v>556</v>
      </c>
      <c r="P165" s="30" t="s">
        <v>693</v>
      </c>
      <c r="Q165" s="30" t="s">
        <v>419</v>
      </c>
      <c r="R165" s="30" t="s">
        <v>558</v>
      </c>
      <c r="S165" s="30" t="s">
        <v>717</v>
      </c>
      <c r="T165" s="30" t="s">
        <v>330</v>
      </c>
      <c r="U165" s="30">
        <v>5</v>
      </c>
      <c r="V165" s="30" t="s">
        <v>559</v>
      </c>
      <c r="W165" s="30">
        <v>2002</v>
      </c>
      <c r="X165" s="30" t="s">
        <v>292</v>
      </c>
      <c r="Y165" s="30" t="s">
        <v>696</v>
      </c>
      <c r="Z165" s="30" t="s">
        <v>302</v>
      </c>
      <c r="AA165" s="30" t="s">
        <v>303</v>
      </c>
      <c r="AB165" s="30" t="s">
        <v>694</v>
      </c>
      <c r="AC165" s="30" t="s">
        <v>695</v>
      </c>
      <c r="AD165" s="30" t="s">
        <v>340</v>
      </c>
      <c r="AE165" s="30" t="s">
        <v>311</v>
      </c>
      <c r="AF165" s="30" t="s">
        <v>802</v>
      </c>
      <c r="AH165" s="30" t="s">
        <v>820</v>
      </c>
      <c r="AI165" s="30" t="s">
        <v>311</v>
      </c>
      <c r="AJ165" s="30" t="s">
        <v>311</v>
      </c>
      <c r="AK165" s="30" t="s">
        <v>674</v>
      </c>
      <c r="AL165" s="30" t="s">
        <v>357</v>
      </c>
      <c r="AM165" s="30" t="s">
        <v>1059</v>
      </c>
      <c r="AN165" s="30" t="s">
        <v>584</v>
      </c>
      <c r="AO165" s="30" t="s">
        <v>345</v>
      </c>
      <c r="AP165" s="30" t="s">
        <v>614</v>
      </c>
      <c r="AQ165" s="30" t="s">
        <v>614</v>
      </c>
      <c r="AR165" s="31">
        <v>1.0205011389521599</v>
      </c>
      <c r="AS165" s="31">
        <v>0.65863612138725969</v>
      </c>
      <c r="AT165" s="30" t="s">
        <v>311</v>
      </c>
      <c r="AU165" s="30">
        <v>4</v>
      </c>
      <c r="AV165" s="31">
        <v>-0.30068337129841027</v>
      </c>
      <c r="AW165" s="31">
        <v>0.42292204268706812</v>
      </c>
      <c r="AX165" s="30" t="s">
        <v>311</v>
      </c>
      <c r="AY165" s="30">
        <v>4</v>
      </c>
      <c r="AZ165" s="30" t="s">
        <v>1677</v>
      </c>
      <c r="BA165" s="30" t="s">
        <v>1679</v>
      </c>
      <c r="BB165">
        <v>56</v>
      </c>
      <c r="BC165" s="30" t="s">
        <v>1673</v>
      </c>
      <c r="BD165" s="30" t="s">
        <v>311</v>
      </c>
      <c r="BE165" s="30" t="s">
        <v>1881</v>
      </c>
      <c r="BF165" s="30">
        <v>1.944</v>
      </c>
      <c r="BG165" s="30" t="s">
        <v>311</v>
      </c>
      <c r="BH165" s="30">
        <v>0</v>
      </c>
      <c r="BI165" s="30" t="s">
        <v>311</v>
      </c>
      <c r="BJ165" s="30" t="s">
        <v>311</v>
      </c>
      <c r="BK165" s="30" t="s">
        <v>311</v>
      </c>
      <c r="BL165" s="30" t="s">
        <v>311</v>
      </c>
      <c r="BM165" s="30" t="s">
        <v>311</v>
      </c>
      <c r="BN165" s="30" t="s">
        <v>311</v>
      </c>
      <c r="BO165" s="30" t="s">
        <v>311</v>
      </c>
      <c r="BP165" s="30" t="s">
        <v>311</v>
      </c>
      <c r="BQ165" s="30" t="s">
        <v>311</v>
      </c>
      <c r="BR165" s="30" t="s">
        <v>311</v>
      </c>
      <c r="BS165" s="30" t="s">
        <v>311</v>
      </c>
      <c r="BT165" s="30" t="s">
        <v>311</v>
      </c>
      <c r="BU165" s="30" t="s">
        <v>311</v>
      </c>
      <c r="BV165" s="30" t="s">
        <v>311</v>
      </c>
      <c r="BW165" s="30" t="s">
        <v>311</v>
      </c>
      <c r="BX165" s="30" t="s">
        <v>1126</v>
      </c>
      <c r="BY165" s="30" t="s">
        <v>1203</v>
      </c>
      <c r="BZ165" s="30">
        <v>0.1</v>
      </c>
      <c r="CA165" s="30">
        <v>23</v>
      </c>
      <c r="CB165" s="30" t="s">
        <v>1210</v>
      </c>
      <c r="CC165" s="30" t="s">
        <v>1209</v>
      </c>
      <c r="CD165" s="30" t="s">
        <v>1314</v>
      </c>
      <c r="CE165" s="30" t="s">
        <v>1313</v>
      </c>
      <c r="CF165" s="30">
        <v>0</v>
      </c>
      <c r="CG165" s="30" t="s">
        <v>311</v>
      </c>
      <c r="CH165" s="30" t="s">
        <v>311</v>
      </c>
      <c r="CI165" s="30" t="s">
        <v>311</v>
      </c>
      <c r="CJ165" s="39" t="s">
        <v>311</v>
      </c>
      <c r="CK165" s="39" t="s">
        <v>311</v>
      </c>
      <c r="CL165" s="39" t="s">
        <v>311</v>
      </c>
      <c r="CM165" s="39" t="s">
        <v>311</v>
      </c>
      <c r="CN165" s="39" t="s">
        <v>311</v>
      </c>
      <c r="CO165" s="39" t="s">
        <v>311</v>
      </c>
      <c r="CP165" s="39" t="s">
        <v>311</v>
      </c>
      <c r="CQ165" s="30" t="s">
        <v>1813</v>
      </c>
      <c r="CR165" s="30" t="s">
        <v>1618</v>
      </c>
    </row>
    <row r="166" spans="1:96">
      <c r="A166">
        <v>165</v>
      </c>
      <c r="B166">
        <v>23</v>
      </c>
      <c r="C166">
        <v>3</v>
      </c>
      <c r="D166" t="s">
        <v>145</v>
      </c>
      <c r="E166" t="s">
        <v>146</v>
      </c>
      <c r="F166" t="s">
        <v>147</v>
      </c>
      <c r="G166">
        <v>2005</v>
      </c>
      <c r="H166" t="s">
        <v>457</v>
      </c>
      <c r="I166" t="s">
        <v>458</v>
      </c>
      <c r="J166">
        <v>29.344007999999999</v>
      </c>
      <c r="K166">
        <v>34.862664000000002</v>
      </c>
      <c r="L166" t="s">
        <v>407</v>
      </c>
      <c r="M166" t="s">
        <v>406</v>
      </c>
      <c r="N166" t="s">
        <v>593</v>
      </c>
      <c r="O166" t="s">
        <v>556</v>
      </c>
      <c r="P166" t="s">
        <v>693</v>
      </c>
      <c r="Q166" t="s">
        <v>419</v>
      </c>
      <c r="R166" t="s">
        <v>558</v>
      </c>
      <c r="S166" t="s">
        <v>717</v>
      </c>
      <c r="T166" t="s">
        <v>330</v>
      </c>
      <c r="U166">
        <v>5</v>
      </c>
      <c r="V166" t="s">
        <v>559</v>
      </c>
      <c r="W166">
        <v>2002</v>
      </c>
      <c r="X166" t="s">
        <v>292</v>
      </c>
      <c r="Y166" t="s">
        <v>696</v>
      </c>
      <c r="Z166" t="s">
        <v>302</v>
      </c>
      <c r="AA166" t="s">
        <v>303</v>
      </c>
      <c r="AB166" t="s">
        <v>694</v>
      </c>
      <c r="AC166" t="s">
        <v>695</v>
      </c>
      <c r="AD166" t="s">
        <v>340</v>
      </c>
      <c r="AE166" t="s">
        <v>311</v>
      </c>
      <c r="AF166" t="s">
        <v>802</v>
      </c>
      <c r="AH166" t="s">
        <v>820</v>
      </c>
      <c r="AI166" t="s">
        <v>311</v>
      </c>
      <c r="AJ166" t="s">
        <v>311</v>
      </c>
      <c r="AK166" t="s">
        <v>674</v>
      </c>
      <c r="AL166" t="s">
        <v>357</v>
      </c>
      <c r="AM166" t="s">
        <v>1059</v>
      </c>
      <c r="AN166" t="s">
        <v>584</v>
      </c>
      <c r="AO166" t="s">
        <v>345</v>
      </c>
      <c r="AP166" t="s">
        <v>887</v>
      </c>
      <c r="AQ166" t="s">
        <v>614</v>
      </c>
      <c r="AR166">
        <v>2.6374269005847899</v>
      </c>
      <c r="AS166" t="s">
        <v>311</v>
      </c>
      <c r="AT166">
        <v>0.86549707602339021</v>
      </c>
      <c r="AU166">
        <v>6</v>
      </c>
      <c r="AV166">
        <v>1.68615984405458</v>
      </c>
      <c r="AW166" t="s">
        <v>311</v>
      </c>
      <c r="AX166">
        <v>0.45224171539961011</v>
      </c>
      <c r="AY166">
        <v>6</v>
      </c>
      <c r="AZ166" t="s">
        <v>1677</v>
      </c>
      <c r="BA166" t="s">
        <v>1679</v>
      </c>
      <c r="BB166">
        <v>14</v>
      </c>
      <c r="BC166" t="s">
        <v>1672</v>
      </c>
      <c r="BD166" s="16" t="s">
        <v>1764</v>
      </c>
      <c r="BE166" s="16" t="s">
        <v>1881</v>
      </c>
      <c r="BF166">
        <v>1.944</v>
      </c>
      <c r="BG166" t="s">
        <v>311</v>
      </c>
      <c r="BH166">
        <v>0</v>
      </c>
      <c r="BI166" t="s">
        <v>311</v>
      </c>
      <c r="BJ166" t="s">
        <v>311</v>
      </c>
      <c r="BK166" t="s">
        <v>311</v>
      </c>
      <c r="BL166" t="s">
        <v>311</v>
      </c>
      <c r="BM166" t="s">
        <v>311</v>
      </c>
      <c r="BN166" t="s">
        <v>311</v>
      </c>
      <c r="BO166" t="s">
        <v>311</v>
      </c>
      <c r="BP166" t="s">
        <v>311</v>
      </c>
      <c r="BQ166" t="s">
        <v>311</v>
      </c>
      <c r="BR166" t="s">
        <v>311</v>
      </c>
      <c r="BS166" t="s">
        <v>311</v>
      </c>
      <c r="BT166" t="s">
        <v>311</v>
      </c>
      <c r="BU166" t="s">
        <v>311</v>
      </c>
      <c r="BV166" t="s">
        <v>311</v>
      </c>
      <c r="BW166" t="s">
        <v>311</v>
      </c>
      <c r="BX166" t="s">
        <v>1126</v>
      </c>
      <c r="BY166" t="s">
        <v>1203</v>
      </c>
      <c r="BZ166">
        <v>0.1</v>
      </c>
      <c r="CA166">
        <v>23</v>
      </c>
      <c r="CB166" t="s">
        <v>1210</v>
      </c>
      <c r="CC166" t="s">
        <v>1209</v>
      </c>
      <c r="CD166" t="s">
        <v>1314</v>
      </c>
      <c r="CE166" t="s">
        <v>1313</v>
      </c>
      <c r="CF166">
        <v>0</v>
      </c>
      <c r="CG166" t="s">
        <v>311</v>
      </c>
      <c r="CH166" t="s">
        <v>311</v>
      </c>
      <c r="CI166" t="s">
        <v>311</v>
      </c>
      <c r="CJ166" s="39" t="s">
        <v>311</v>
      </c>
      <c r="CK166" s="39" t="s">
        <v>311</v>
      </c>
      <c r="CL166" s="39" t="s">
        <v>311</v>
      </c>
      <c r="CM166" s="39" t="s">
        <v>311</v>
      </c>
      <c r="CN166" s="39" t="s">
        <v>311</v>
      </c>
      <c r="CO166" s="39" t="s">
        <v>311</v>
      </c>
      <c r="CP166" s="39" t="s">
        <v>311</v>
      </c>
      <c r="CQ166" t="s">
        <v>1718</v>
      </c>
      <c r="CR166" t="s">
        <v>1618</v>
      </c>
    </row>
    <row r="167" spans="1:96">
      <c r="A167">
        <v>166</v>
      </c>
      <c r="B167">
        <v>23</v>
      </c>
      <c r="C167">
        <v>4</v>
      </c>
      <c r="D167" t="s">
        <v>145</v>
      </c>
      <c r="E167" t="s">
        <v>146</v>
      </c>
      <c r="F167" t="s">
        <v>147</v>
      </c>
      <c r="G167">
        <v>2005</v>
      </c>
      <c r="H167" t="s">
        <v>457</v>
      </c>
      <c r="I167" t="s">
        <v>458</v>
      </c>
      <c r="J167">
        <v>29.344007999999999</v>
      </c>
      <c r="K167">
        <v>34.862664000000002</v>
      </c>
      <c r="L167" t="s">
        <v>407</v>
      </c>
      <c r="M167" t="s">
        <v>406</v>
      </c>
      <c r="N167" t="s">
        <v>593</v>
      </c>
      <c r="O167" t="s">
        <v>556</v>
      </c>
      <c r="P167" t="s">
        <v>693</v>
      </c>
      <c r="Q167" t="s">
        <v>419</v>
      </c>
      <c r="R167" t="s">
        <v>558</v>
      </c>
      <c r="S167" t="s">
        <v>717</v>
      </c>
      <c r="T167" t="s">
        <v>330</v>
      </c>
      <c r="U167">
        <v>5</v>
      </c>
      <c r="V167" t="s">
        <v>559</v>
      </c>
      <c r="W167">
        <v>2002</v>
      </c>
      <c r="X167" t="s">
        <v>292</v>
      </c>
      <c r="Y167" t="s">
        <v>696</v>
      </c>
      <c r="Z167" t="s">
        <v>302</v>
      </c>
      <c r="AA167" t="s">
        <v>303</v>
      </c>
      <c r="AB167" t="s">
        <v>694</v>
      </c>
      <c r="AC167" t="s">
        <v>695</v>
      </c>
      <c r="AD167" t="s">
        <v>340</v>
      </c>
      <c r="AE167" t="s">
        <v>311</v>
      </c>
      <c r="AF167" t="s">
        <v>802</v>
      </c>
      <c r="AH167" t="s">
        <v>820</v>
      </c>
      <c r="AI167" t="s">
        <v>311</v>
      </c>
      <c r="AJ167" t="s">
        <v>311</v>
      </c>
      <c r="AK167" t="s">
        <v>674</v>
      </c>
      <c r="AL167" t="s">
        <v>357</v>
      </c>
      <c r="AM167" t="s">
        <v>1059</v>
      </c>
      <c r="AN167" t="s">
        <v>584</v>
      </c>
      <c r="AO167" t="s">
        <v>345</v>
      </c>
      <c r="AP167" t="s">
        <v>887</v>
      </c>
      <c r="AQ167" t="s">
        <v>614</v>
      </c>
      <c r="AR167">
        <v>3.0584795321637399</v>
      </c>
      <c r="AS167" t="s">
        <v>311</v>
      </c>
      <c r="AT167">
        <v>0.66276803118908001</v>
      </c>
      <c r="AU167">
        <v>4</v>
      </c>
      <c r="AV167">
        <v>1.98245614035087</v>
      </c>
      <c r="AW167" t="s">
        <v>311</v>
      </c>
      <c r="AX167">
        <v>0.74853801169590994</v>
      </c>
      <c r="AY167">
        <v>4</v>
      </c>
      <c r="AZ167" t="s">
        <v>1677</v>
      </c>
      <c r="BA167" t="s">
        <v>1679</v>
      </c>
      <c r="BB167">
        <v>28</v>
      </c>
      <c r="BC167" t="s">
        <v>1672</v>
      </c>
      <c r="BD167" s="16" t="s">
        <v>1764</v>
      </c>
      <c r="BE167" s="16" t="s">
        <v>1881</v>
      </c>
      <c r="BF167">
        <v>1.944</v>
      </c>
      <c r="BG167" t="s">
        <v>311</v>
      </c>
      <c r="BH167">
        <v>0</v>
      </c>
      <c r="BI167" t="s">
        <v>311</v>
      </c>
      <c r="BJ167" t="s">
        <v>311</v>
      </c>
      <c r="BK167" t="s">
        <v>311</v>
      </c>
      <c r="BL167" t="s">
        <v>311</v>
      </c>
      <c r="BM167" t="s">
        <v>311</v>
      </c>
      <c r="BN167" t="s">
        <v>311</v>
      </c>
      <c r="BO167" t="s">
        <v>311</v>
      </c>
      <c r="BP167" t="s">
        <v>311</v>
      </c>
      <c r="BQ167" t="s">
        <v>311</v>
      </c>
      <c r="BR167" t="s">
        <v>311</v>
      </c>
      <c r="BS167" t="s">
        <v>311</v>
      </c>
      <c r="BT167" t="s">
        <v>311</v>
      </c>
      <c r="BU167" t="s">
        <v>311</v>
      </c>
      <c r="BV167" t="s">
        <v>311</v>
      </c>
      <c r="BW167" t="s">
        <v>311</v>
      </c>
      <c r="BX167" t="s">
        <v>1126</v>
      </c>
      <c r="BY167" t="s">
        <v>1203</v>
      </c>
      <c r="BZ167">
        <v>0.1</v>
      </c>
      <c r="CA167">
        <v>23</v>
      </c>
      <c r="CB167" t="s">
        <v>1210</v>
      </c>
      <c r="CC167" t="s">
        <v>1209</v>
      </c>
      <c r="CD167" t="s">
        <v>1314</v>
      </c>
      <c r="CE167" t="s">
        <v>1313</v>
      </c>
      <c r="CF167">
        <v>0</v>
      </c>
      <c r="CG167" t="s">
        <v>311</v>
      </c>
      <c r="CH167" t="s">
        <v>311</v>
      </c>
      <c r="CI167" t="s">
        <v>311</v>
      </c>
      <c r="CJ167" s="39" t="s">
        <v>311</v>
      </c>
      <c r="CK167" s="39" t="s">
        <v>311</v>
      </c>
      <c r="CL167" s="39" t="s">
        <v>311</v>
      </c>
      <c r="CM167" s="39" t="s">
        <v>311</v>
      </c>
      <c r="CN167" s="39" t="s">
        <v>311</v>
      </c>
      <c r="CO167" s="39" t="s">
        <v>311</v>
      </c>
      <c r="CP167" s="39" t="s">
        <v>311</v>
      </c>
      <c r="CQ167" t="s">
        <v>1719</v>
      </c>
      <c r="CR167" t="s">
        <v>1619</v>
      </c>
    </row>
    <row r="168" spans="1:96">
      <c r="A168">
        <v>167</v>
      </c>
      <c r="B168">
        <v>23</v>
      </c>
      <c r="C168">
        <v>5</v>
      </c>
      <c r="D168" t="s">
        <v>145</v>
      </c>
      <c r="E168" t="s">
        <v>146</v>
      </c>
      <c r="F168" t="s">
        <v>147</v>
      </c>
      <c r="G168">
        <v>2005</v>
      </c>
      <c r="H168" t="s">
        <v>457</v>
      </c>
      <c r="I168" t="s">
        <v>458</v>
      </c>
      <c r="J168">
        <v>29.344007999999999</v>
      </c>
      <c r="K168">
        <v>34.862664000000002</v>
      </c>
      <c r="L168" t="s">
        <v>407</v>
      </c>
      <c r="M168" t="s">
        <v>406</v>
      </c>
      <c r="N168" t="s">
        <v>593</v>
      </c>
      <c r="O168" t="s">
        <v>556</v>
      </c>
      <c r="P168" t="s">
        <v>693</v>
      </c>
      <c r="Q168" t="s">
        <v>419</v>
      </c>
      <c r="R168" t="s">
        <v>558</v>
      </c>
      <c r="S168" t="s">
        <v>717</v>
      </c>
      <c r="T168" t="s">
        <v>330</v>
      </c>
      <c r="U168">
        <v>5</v>
      </c>
      <c r="V168" t="s">
        <v>559</v>
      </c>
      <c r="W168">
        <v>2002</v>
      </c>
      <c r="X168" t="s">
        <v>292</v>
      </c>
      <c r="Y168" t="s">
        <v>696</v>
      </c>
      <c r="Z168" t="s">
        <v>302</v>
      </c>
      <c r="AA168" t="s">
        <v>303</v>
      </c>
      <c r="AB168" t="s">
        <v>694</v>
      </c>
      <c r="AC168" t="s">
        <v>695</v>
      </c>
      <c r="AD168" t="s">
        <v>340</v>
      </c>
      <c r="AE168" t="s">
        <v>311</v>
      </c>
      <c r="AF168" t="s">
        <v>802</v>
      </c>
      <c r="AH168" t="s">
        <v>820</v>
      </c>
      <c r="AI168" t="s">
        <v>311</v>
      </c>
      <c r="AJ168" t="s">
        <v>311</v>
      </c>
      <c r="AK168" t="s">
        <v>674</v>
      </c>
      <c r="AL168" t="s">
        <v>357</v>
      </c>
      <c r="AM168" t="s">
        <v>1059</v>
      </c>
      <c r="AN168" t="s">
        <v>584</v>
      </c>
      <c r="AO168" t="s">
        <v>345</v>
      </c>
      <c r="AP168" t="s">
        <v>887</v>
      </c>
      <c r="AQ168" t="s">
        <v>614</v>
      </c>
      <c r="AR168">
        <v>3.4795321637426899</v>
      </c>
      <c r="AS168" t="s">
        <v>311</v>
      </c>
      <c r="AT168">
        <v>0.85769980506821986</v>
      </c>
      <c r="AU168">
        <v>4</v>
      </c>
      <c r="AV168">
        <v>2.36452241715399</v>
      </c>
      <c r="AW168" t="s">
        <v>311</v>
      </c>
      <c r="AX168">
        <v>0.77192982456140991</v>
      </c>
      <c r="AY168">
        <v>4</v>
      </c>
      <c r="AZ168" t="s">
        <v>1677</v>
      </c>
      <c r="BA168" t="s">
        <v>1679</v>
      </c>
      <c r="BB168">
        <v>42</v>
      </c>
      <c r="BC168" t="s">
        <v>1672</v>
      </c>
      <c r="BD168" s="16" t="s">
        <v>1764</v>
      </c>
      <c r="BE168" s="16" t="s">
        <v>1881</v>
      </c>
      <c r="BF168">
        <v>1.944</v>
      </c>
      <c r="BG168" t="s">
        <v>311</v>
      </c>
      <c r="BH168">
        <v>0</v>
      </c>
      <c r="BI168" t="s">
        <v>311</v>
      </c>
      <c r="BJ168" t="s">
        <v>311</v>
      </c>
      <c r="BK168" t="s">
        <v>311</v>
      </c>
      <c r="BL168" t="s">
        <v>311</v>
      </c>
      <c r="BM168" t="s">
        <v>311</v>
      </c>
      <c r="BN168" t="s">
        <v>311</v>
      </c>
      <c r="BO168" t="s">
        <v>311</v>
      </c>
      <c r="BP168" t="s">
        <v>311</v>
      </c>
      <c r="BQ168" t="s">
        <v>311</v>
      </c>
      <c r="BR168" t="s">
        <v>311</v>
      </c>
      <c r="BS168" t="s">
        <v>311</v>
      </c>
      <c r="BT168" t="s">
        <v>311</v>
      </c>
      <c r="BU168" t="s">
        <v>311</v>
      </c>
      <c r="BV168" t="s">
        <v>311</v>
      </c>
      <c r="BW168" t="s">
        <v>311</v>
      </c>
      <c r="BX168" t="s">
        <v>1126</v>
      </c>
      <c r="BY168" t="s">
        <v>1203</v>
      </c>
      <c r="BZ168">
        <v>0.1</v>
      </c>
      <c r="CA168">
        <v>23</v>
      </c>
      <c r="CB168" t="s">
        <v>1210</v>
      </c>
      <c r="CC168" t="s">
        <v>1209</v>
      </c>
      <c r="CD168" t="s">
        <v>1314</v>
      </c>
      <c r="CE168" t="s">
        <v>1313</v>
      </c>
      <c r="CF168">
        <v>0</v>
      </c>
      <c r="CG168" t="s">
        <v>311</v>
      </c>
      <c r="CH168" t="s">
        <v>311</v>
      </c>
      <c r="CI168" t="s">
        <v>311</v>
      </c>
      <c r="CJ168" s="39" t="s">
        <v>311</v>
      </c>
      <c r="CK168" s="39" t="s">
        <v>311</v>
      </c>
      <c r="CL168" s="39" t="s">
        <v>311</v>
      </c>
      <c r="CM168" s="39" t="s">
        <v>311</v>
      </c>
      <c r="CN168" s="39" t="s">
        <v>311</v>
      </c>
      <c r="CO168" s="39" t="s">
        <v>311</v>
      </c>
      <c r="CP168" s="39" t="s">
        <v>311</v>
      </c>
      <c r="CQ168" t="s">
        <v>1720</v>
      </c>
      <c r="CR168" t="s">
        <v>1620</v>
      </c>
    </row>
    <row r="169" spans="1:96">
      <c r="A169">
        <v>168</v>
      </c>
      <c r="B169">
        <v>23</v>
      </c>
      <c r="C169">
        <v>6</v>
      </c>
      <c r="D169" t="s">
        <v>145</v>
      </c>
      <c r="E169" t="s">
        <v>146</v>
      </c>
      <c r="F169" t="s">
        <v>147</v>
      </c>
      <c r="G169">
        <v>2005</v>
      </c>
      <c r="H169" t="s">
        <v>457</v>
      </c>
      <c r="I169" t="s">
        <v>458</v>
      </c>
      <c r="J169">
        <v>29.344007999999999</v>
      </c>
      <c r="K169">
        <v>34.862664000000002</v>
      </c>
      <c r="L169" t="s">
        <v>407</v>
      </c>
      <c r="M169" t="s">
        <v>406</v>
      </c>
      <c r="N169" t="s">
        <v>593</v>
      </c>
      <c r="O169" t="s">
        <v>556</v>
      </c>
      <c r="P169" t="s">
        <v>693</v>
      </c>
      <c r="Q169" t="s">
        <v>419</v>
      </c>
      <c r="R169" t="s">
        <v>558</v>
      </c>
      <c r="S169" t="s">
        <v>717</v>
      </c>
      <c r="T169" t="s">
        <v>330</v>
      </c>
      <c r="U169">
        <v>5</v>
      </c>
      <c r="V169" t="s">
        <v>559</v>
      </c>
      <c r="W169">
        <v>2002</v>
      </c>
      <c r="X169" t="s">
        <v>292</v>
      </c>
      <c r="Y169" t="s">
        <v>696</v>
      </c>
      <c r="Z169" t="s">
        <v>302</v>
      </c>
      <c r="AA169" t="s">
        <v>303</v>
      </c>
      <c r="AB169" t="s">
        <v>694</v>
      </c>
      <c r="AC169" t="s">
        <v>695</v>
      </c>
      <c r="AD169" t="s">
        <v>340</v>
      </c>
      <c r="AE169" t="s">
        <v>311</v>
      </c>
      <c r="AF169" t="s">
        <v>802</v>
      </c>
      <c r="AH169" t="s">
        <v>820</v>
      </c>
      <c r="AI169" t="s">
        <v>311</v>
      </c>
      <c r="AJ169" t="s">
        <v>311</v>
      </c>
      <c r="AK169" t="s">
        <v>674</v>
      </c>
      <c r="AL169" t="s">
        <v>357</v>
      </c>
      <c r="AM169" t="s">
        <v>1059</v>
      </c>
      <c r="AN169" t="s">
        <v>584</v>
      </c>
      <c r="AO169" t="s">
        <v>345</v>
      </c>
      <c r="AP169" t="s">
        <v>887</v>
      </c>
      <c r="AQ169" t="s">
        <v>614</v>
      </c>
      <c r="AR169">
        <v>3.2923976608187102</v>
      </c>
      <c r="AS169" t="s">
        <v>311</v>
      </c>
      <c r="AT169">
        <v>1.1150097465886901</v>
      </c>
      <c r="AU169">
        <v>4</v>
      </c>
      <c r="AV169">
        <v>1.9746588693957099</v>
      </c>
      <c r="AW169" t="s">
        <v>311</v>
      </c>
      <c r="AX169">
        <v>0.46003898635477025</v>
      </c>
      <c r="AY169">
        <v>4</v>
      </c>
      <c r="AZ169" t="s">
        <v>1677</v>
      </c>
      <c r="BA169" t="s">
        <v>1679</v>
      </c>
      <c r="BB169">
        <v>56</v>
      </c>
      <c r="BC169" t="s">
        <v>1672</v>
      </c>
      <c r="BD169" t="s">
        <v>1763</v>
      </c>
      <c r="BE169" s="16" t="s">
        <v>1881</v>
      </c>
      <c r="BF169">
        <v>1.944</v>
      </c>
      <c r="BG169" t="s">
        <v>311</v>
      </c>
      <c r="BH169">
        <v>0</v>
      </c>
      <c r="BI169" t="s">
        <v>311</v>
      </c>
      <c r="BJ169" t="s">
        <v>311</v>
      </c>
      <c r="BK169" t="s">
        <v>311</v>
      </c>
      <c r="BL169" t="s">
        <v>311</v>
      </c>
      <c r="BM169" t="s">
        <v>311</v>
      </c>
      <c r="BN169" t="s">
        <v>311</v>
      </c>
      <c r="BO169" t="s">
        <v>311</v>
      </c>
      <c r="BP169" t="s">
        <v>311</v>
      </c>
      <c r="BQ169" t="s">
        <v>311</v>
      </c>
      <c r="BR169" t="s">
        <v>311</v>
      </c>
      <c r="BS169" t="s">
        <v>311</v>
      </c>
      <c r="BT169" t="s">
        <v>311</v>
      </c>
      <c r="BU169" t="s">
        <v>311</v>
      </c>
      <c r="BV169" t="s">
        <v>311</v>
      </c>
      <c r="BW169" t="s">
        <v>311</v>
      </c>
      <c r="BX169" t="s">
        <v>1126</v>
      </c>
      <c r="BY169" t="s">
        <v>1203</v>
      </c>
      <c r="BZ169">
        <v>0.1</v>
      </c>
      <c r="CA169">
        <v>23</v>
      </c>
      <c r="CB169" t="s">
        <v>1210</v>
      </c>
      <c r="CC169" t="s">
        <v>1209</v>
      </c>
      <c r="CD169" t="s">
        <v>1314</v>
      </c>
      <c r="CE169" t="s">
        <v>1313</v>
      </c>
      <c r="CF169">
        <v>0</v>
      </c>
      <c r="CG169" t="s">
        <v>311</v>
      </c>
      <c r="CH169" t="s">
        <v>311</v>
      </c>
      <c r="CI169" t="s">
        <v>311</v>
      </c>
      <c r="CJ169" s="39" t="s">
        <v>311</v>
      </c>
      <c r="CK169" s="39" t="s">
        <v>311</v>
      </c>
      <c r="CL169" s="39" t="s">
        <v>311</v>
      </c>
      <c r="CM169" s="39" t="s">
        <v>311</v>
      </c>
      <c r="CN169" s="39" t="s">
        <v>311</v>
      </c>
      <c r="CO169" s="39" t="s">
        <v>311</v>
      </c>
      <c r="CP169" s="39" t="s">
        <v>311</v>
      </c>
      <c r="CQ169" t="s">
        <v>1721</v>
      </c>
      <c r="CR169" t="s">
        <v>1621</v>
      </c>
    </row>
    <row r="170" spans="1:96">
      <c r="A170">
        <v>169</v>
      </c>
      <c r="B170">
        <v>24</v>
      </c>
      <c r="C170">
        <v>1</v>
      </c>
      <c r="D170" t="s">
        <v>148</v>
      </c>
      <c r="E170" t="s">
        <v>149</v>
      </c>
      <c r="F170" t="s">
        <v>53</v>
      </c>
      <c r="G170">
        <v>2005</v>
      </c>
      <c r="H170" t="s">
        <v>1315</v>
      </c>
      <c r="I170" t="s">
        <v>1316</v>
      </c>
      <c r="J170">
        <v>-45.784306000000001</v>
      </c>
      <c r="K170">
        <v>170.722972</v>
      </c>
      <c r="L170" t="s">
        <v>366</v>
      </c>
      <c r="M170" t="s">
        <v>383</v>
      </c>
      <c r="N170" t="s">
        <v>594</v>
      </c>
      <c r="O170" t="s">
        <v>288</v>
      </c>
      <c r="P170" t="s">
        <v>289</v>
      </c>
      <c r="Q170" t="s">
        <v>273</v>
      </c>
      <c r="R170" t="s">
        <v>703</v>
      </c>
      <c r="S170" t="s">
        <v>754</v>
      </c>
      <c r="T170" t="s">
        <v>331</v>
      </c>
      <c r="U170">
        <v>1</v>
      </c>
      <c r="V170" t="s">
        <v>535</v>
      </c>
      <c r="W170" t="s">
        <v>1140</v>
      </c>
      <c r="X170" t="s">
        <v>292</v>
      </c>
      <c r="Y170" t="s">
        <v>709</v>
      </c>
      <c r="Z170" t="s">
        <v>1094</v>
      </c>
      <c r="AA170" t="s">
        <v>305</v>
      </c>
      <c r="AB170" t="s">
        <v>707</v>
      </c>
      <c r="AC170" t="s">
        <v>708</v>
      </c>
      <c r="AD170" t="s">
        <v>292</v>
      </c>
      <c r="AE170" t="s">
        <v>706</v>
      </c>
      <c r="AF170" t="s">
        <v>567</v>
      </c>
      <c r="AG170" t="s">
        <v>1901</v>
      </c>
      <c r="AH170" t="s">
        <v>343</v>
      </c>
      <c r="AI170" t="s">
        <v>704</v>
      </c>
      <c r="AJ170" t="s">
        <v>705</v>
      </c>
      <c r="AK170" t="s">
        <v>702</v>
      </c>
      <c r="AL170" t="s">
        <v>357</v>
      </c>
      <c r="AM170" t="s">
        <v>1059</v>
      </c>
      <c r="AN170" t="s">
        <v>1282</v>
      </c>
      <c r="AO170" t="s">
        <v>1288</v>
      </c>
      <c r="AP170" t="s">
        <v>614</v>
      </c>
      <c r="AQ170" t="s">
        <v>887</v>
      </c>
      <c r="AR170">
        <v>1.6425316455696131</v>
      </c>
      <c r="AS170" t="s">
        <v>311</v>
      </c>
      <c r="AT170">
        <v>0.15347285636685873</v>
      </c>
      <c r="AU170">
        <v>3</v>
      </c>
      <c r="AV170">
        <v>0.45873417721518933</v>
      </c>
      <c r="AW170" t="s">
        <v>311</v>
      </c>
      <c r="AX170">
        <v>0.13505611360283881</v>
      </c>
      <c r="AY170">
        <v>3</v>
      </c>
      <c r="AZ170" t="s">
        <v>1055</v>
      </c>
      <c r="BA170" t="s">
        <v>1679</v>
      </c>
      <c r="BB170">
        <v>14</v>
      </c>
      <c r="BC170" t="s">
        <v>1672</v>
      </c>
      <c r="BD170" s="16" t="s">
        <v>311</v>
      </c>
      <c r="BE170" t="s">
        <v>1880</v>
      </c>
      <c r="BF170">
        <v>17.412935323383049</v>
      </c>
      <c r="BG170" t="s">
        <v>311</v>
      </c>
      <c r="BH170">
        <v>0</v>
      </c>
      <c r="BI170" t="s">
        <v>311</v>
      </c>
      <c r="BJ170">
        <v>2.0993975903614448</v>
      </c>
      <c r="BK170" t="s">
        <v>311</v>
      </c>
      <c r="BL170">
        <v>2.0993975903614448</v>
      </c>
      <c r="BM170" t="s">
        <v>311</v>
      </c>
      <c r="BN170" t="s">
        <v>311</v>
      </c>
      <c r="BO170" t="s">
        <v>311</v>
      </c>
      <c r="BP170" t="s">
        <v>311</v>
      </c>
      <c r="BQ170" t="s">
        <v>311</v>
      </c>
      <c r="BR170" t="s">
        <v>311</v>
      </c>
      <c r="BS170" t="s">
        <v>311</v>
      </c>
      <c r="BT170" t="s">
        <v>311</v>
      </c>
      <c r="BU170" t="s">
        <v>311</v>
      </c>
      <c r="BV170" t="s">
        <v>311</v>
      </c>
      <c r="BW170" t="s">
        <v>311</v>
      </c>
      <c r="BX170" t="s">
        <v>764</v>
      </c>
      <c r="BY170" t="s">
        <v>1205</v>
      </c>
      <c r="BZ170">
        <v>4.2570551847295004</v>
      </c>
      <c r="CA170">
        <v>12.5</v>
      </c>
      <c r="CB170" t="s">
        <v>1210</v>
      </c>
      <c r="CC170" t="s">
        <v>1209</v>
      </c>
      <c r="CD170" t="s">
        <v>1317</v>
      </c>
      <c r="CE170" t="s">
        <v>1318</v>
      </c>
      <c r="CF170">
        <v>0</v>
      </c>
      <c r="CG170" t="s">
        <v>311</v>
      </c>
      <c r="CH170" t="s">
        <v>311</v>
      </c>
      <c r="CI170" t="s">
        <v>311</v>
      </c>
      <c r="CJ170" s="39" t="s">
        <v>311</v>
      </c>
      <c r="CK170" s="39" t="s">
        <v>311</v>
      </c>
      <c r="CL170" s="39" t="s">
        <v>311</v>
      </c>
      <c r="CM170" s="39" t="s">
        <v>311</v>
      </c>
      <c r="CN170" s="39" t="s">
        <v>311</v>
      </c>
      <c r="CO170" s="39" t="s">
        <v>311</v>
      </c>
      <c r="CP170" s="39" t="s">
        <v>311</v>
      </c>
      <c r="CQ170" t="s">
        <v>1722</v>
      </c>
      <c r="CR170" t="s">
        <v>1563</v>
      </c>
    </row>
    <row r="171" spans="1:96" s="27" customFormat="1">
      <c r="A171">
        <v>170</v>
      </c>
      <c r="B171" s="27">
        <v>25</v>
      </c>
      <c r="C171" s="27">
        <v>1</v>
      </c>
      <c r="D171" s="27" t="s">
        <v>150</v>
      </c>
      <c r="E171" s="27" t="s">
        <v>151</v>
      </c>
      <c r="F171" s="27" t="s">
        <v>152</v>
      </c>
      <c r="G171" s="27">
        <v>2004</v>
      </c>
      <c r="H171" s="27" t="s">
        <v>1319</v>
      </c>
      <c r="I171" s="27" t="s">
        <v>1320</v>
      </c>
      <c r="J171" s="27">
        <v>44.261389000000001</v>
      </c>
      <c r="K171" s="27">
        <v>-124.065833</v>
      </c>
      <c r="L171" s="27" t="s">
        <v>361</v>
      </c>
      <c r="M171" s="27" t="s">
        <v>405</v>
      </c>
      <c r="N171" s="27" t="s">
        <v>531</v>
      </c>
      <c r="O171" s="27" t="s">
        <v>288</v>
      </c>
      <c r="P171" s="27" t="s">
        <v>693</v>
      </c>
      <c r="Q171" s="27" t="s">
        <v>333</v>
      </c>
      <c r="R171" s="27" t="s">
        <v>710</v>
      </c>
      <c r="S171" s="27" t="s">
        <v>1141</v>
      </c>
      <c r="T171" s="27" t="s">
        <v>330</v>
      </c>
      <c r="U171" s="27">
        <v>5</v>
      </c>
      <c r="V171" s="27" t="s">
        <v>559</v>
      </c>
      <c r="W171" s="27">
        <v>2002</v>
      </c>
      <c r="X171" s="27" t="s">
        <v>292</v>
      </c>
      <c r="Y171" s="27" t="s">
        <v>536</v>
      </c>
      <c r="Z171" s="27" t="s">
        <v>537</v>
      </c>
      <c r="AA171" s="27" t="s">
        <v>538</v>
      </c>
      <c r="AB171" s="27" t="s">
        <v>539</v>
      </c>
      <c r="AC171" s="27" t="s">
        <v>673</v>
      </c>
      <c r="AD171" s="27" t="s">
        <v>292</v>
      </c>
      <c r="AE171" s="27" t="s">
        <v>713</v>
      </c>
      <c r="AF171" s="27" t="s">
        <v>567</v>
      </c>
      <c r="AG171" s="27" t="s">
        <v>1901</v>
      </c>
      <c r="AH171" s="27" t="s">
        <v>591</v>
      </c>
      <c r="AI171" s="27" t="s">
        <v>711</v>
      </c>
      <c r="AJ171" s="27" t="s">
        <v>712</v>
      </c>
      <c r="AK171" s="27" t="s">
        <v>679</v>
      </c>
      <c r="AL171" s="27" t="s">
        <v>357</v>
      </c>
      <c r="AM171" s="27" t="s">
        <v>1059</v>
      </c>
      <c r="AN171" s="27" t="s">
        <v>584</v>
      </c>
      <c r="AO171" s="27" t="s">
        <v>606</v>
      </c>
      <c r="AP171" s="27" t="s">
        <v>614</v>
      </c>
      <c r="AQ171" s="27" t="s">
        <v>887</v>
      </c>
      <c r="AR171" s="27">
        <v>74.328358208955194</v>
      </c>
      <c r="AS171" s="27">
        <v>10.74626865671641</v>
      </c>
      <c r="AT171" s="27" t="s">
        <v>311</v>
      </c>
      <c r="AU171" s="27">
        <v>16</v>
      </c>
      <c r="AV171" s="27">
        <v>30.447761194029798</v>
      </c>
      <c r="AW171" s="27">
        <v>7.1641791044776006</v>
      </c>
      <c r="AX171" s="27" t="s">
        <v>311</v>
      </c>
      <c r="AY171" s="27">
        <v>16</v>
      </c>
      <c r="AZ171" s="27" t="s">
        <v>1055</v>
      </c>
      <c r="BA171" s="27" t="s">
        <v>1679</v>
      </c>
      <c r="BB171">
        <v>24</v>
      </c>
      <c r="BC171" s="27" t="s">
        <v>1672</v>
      </c>
      <c r="BD171" s="37" t="s">
        <v>311</v>
      </c>
      <c r="BE171" s="37" t="s">
        <v>1880</v>
      </c>
      <c r="BF171" s="27">
        <v>3.96</v>
      </c>
      <c r="BG171" s="27">
        <v>44</v>
      </c>
      <c r="BH171" s="27">
        <v>0</v>
      </c>
      <c r="BI171" s="27">
        <v>0</v>
      </c>
      <c r="BJ171" s="27">
        <v>1</v>
      </c>
      <c r="BK171" s="27" t="s">
        <v>311</v>
      </c>
      <c r="BL171" s="27">
        <v>1</v>
      </c>
      <c r="BM171" s="27" t="s">
        <v>311</v>
      </c>
      <c r="BN171" s="27" t="s">
        <v>311</v>
      </c>
      <c r="BO171" s="27" t="s">
        <v>311</v>
      </c>
      <c r="BP171" s="27" t="s">
        <v>311</v>
      </c>
      <c r="BQ171" s="27" t="s">
        <v>311</v>
      </c>
      <c r="BR171" s="27" t="s">
        <v>311</v>
      </c>
      <c r="BS171" s="27" t="s">
        <v>311</v>
      </c>
      <c r="BT171" s="27" t="s">
        <v>311</v>
      </c>
      <c r="BU171" s="27" t="s">
        <v>311</v>
      </c>
      <c r="BV171" s="27" t="s">
        <v>311</v>
      </c>
      <c r="BW171" s="27" t="s">
        <v>311</v>
      </c>
      <c r="BX171" s="27" t="s">
        <v>1126</v>
      </c>
      <c r="BY171" s="27" t="s">
        <v>1203</v>
      </c>
      <c r="BZ171" s="27">
        <v>1.8</v>
      </c>
      <c r="CA171" s="27">
        <v>12</v>
      </c>
      <c r="CB171" s="27" t="s">
        <v>1210</v>
      </c>
      <c r="CC171" s="27" t="s">
        <v>1209</v>
      </c>
      <c r="CD171" s="27" t="s">
        <v>1311</v>
      </c>
      <c r="CE171" s="27" t="s">
        <v>1312</v>
      </c>
      <c r="CF171" s="27">
        <v>600</v>
      </c>
      <c r="CG171" s="27" t="s">
        <v>311</v>
      </c>
      <c r="CH171" s="27" t="s">
        <v>311</v>
      </c>
      <c r="CI171" s="27" t="s">
        <v>311</v>
      </c>
      <c r="CJ171" s="39" t="s">
        <v>311</v>
      </c>
      <c r="CK171" s="39" t="s">
        <v>311</v>
      </c>
      <c r="CL171" s="39" t="s">
        <v>311</v>
      </c>
      <c r="CM171" s="39" t="s">
        <v>311</v>
      </c>
      <c r="CN171" s="39" t="s">
        <v>311</v>
      </c>
      <c r="CO171" s="39" t="s">
        <v>311</v>
      </c>
      <c r="CP171" s="39" t="s">
        <v>311</v>
      </c>
      <c r="CQ171" s="27" t="s">
        <v>1815</v>
      </c>
      <c r="CR171" s="27" t="s">
        <v>1572</v>
      </c>
    </row>
    <row r="172" spans="1:96">
      <c r="A172">
        <v>171</v>
      </c>
      <c r="B172">
        <v>26</v>
      </c>
      <c r="C172">
        <v>1</v>
      </c>
      <c r="D172" t="s">
        <v>155</v>
      </c>
      <c r="E172" t="s">
        <v>156</v>
      </c>
      <c r="F172" t="s">
        <v>53</v>
      </c>
      <c r="G172">
        <v>2001</v>
      </c>
      <c r="H172" t="s">
        <v>459</v>
      </c>
      <c r="I172" t="s">
        <v>460</v>
      </c>
      <c r="J172">
        <v>29.704194999999999</v>
      </c>
      <c r="K172">
        <v>-85.469155999999998</v>
      </c>
      <c r="L172" t="s">
        <v>361</v>
      </c>
      <c r="M172" t="s">
        <v>409</v>
      </c>
      <c r="N172" t="s">
        <v>531</v>
      </c>
      <c r="O172" t="s">
        <v>532</v>
      </c>
      <c r="P172" t="s">
        <v>693</v>
      </c>
      <c r="Q172" t="s">
        <v>419</v>
      </c>
      <c r="R172" t="s">
        <v>550</v>
      </c>
      <c r="S172" t="s">
        <v>717</v>
      </c>
      <c r="T172" t="s">
        <v>331</v>
      </c>
      <c r="U172">
        <v>3</v>
      </c>
      <c r="V172" t="s">
        <v>535</v>
      </c>
      <c r="W172">
        <v>1997</v>
      </c>
      <c r="X172" t="s">
        <v>292</v>
      </c>
      <c r="Y172" t="s">
        <v>716</v>
      </c>
      <c r="Z172" t="s">
        <v>537</v>
      </c>
      <c r="AA172" t="s">
        <v>538</v>
      </c>
      <c r="AB172" t="s">
        <v>714</v>
      </c>
      <c r="AC172" t="s">
        <v>715</v>
      </c>
      <c r="AD172" t="s">
        <v>292</v>
      </c>
      <c r="AE172" t="s">
        <v>607</v>
      </c>
      <c r="AF172" t="s">
        <v>552</v>
      </c>
      <c r="AH172" t="s">
        <v>555</v>
      </c>
      <c r="AI172" t="s">
        <v>553</v>
      </c>
      <c r="AJ172" t="s">
        <v>554</v>
      </c>
      <c r="AK172" t="s">
        <v>718</v>
      </c>
      <c r="AL172" t="s">
        <v>357</v>
      </c>
      <c r="AM172" t="s">
        <v>1059</v>
      </c>
      <c r="AN172" t="s">
        <v>1281</v>
      </c>
      <c r="AO172" t="s">
        <v>1288</v>
      </c>
      <c r="AP172" t="s">
        <v>614</v>
      </c>
      <c r="AQ172" t="s">
        <v>614</v>
      </c>
      <c r="AR172">
        <v>-0.45779220779221008</v>
      </c>
      <c r="AS172">
        <v>4.7882731181013445E-2</v>
      </c>
      <c r="AT172" t="s">
        <v>311</v>
      </c>
      <c r="AU172">
        <v>6</v>
      </c>
      <c r="AV172" s="6">
        <v>-1.4025974000000001</v>
      </c>
      <c r="AW172" s="6">
        <v>0.13331471</v>
      </c>
      <c r="AX172" t="s">
        <v>311</v>
      </c>
      <c r="AY172">
        <v>6</v>
      </c>
      <c r="AZ172" t="s">
        <v>1055</v>
      </c>
      <c r="BA172" t="s">
        <v>1679</v>
      </c>
      <c r="BB172">
        <v>123</v>
      </c>
      <c r="BC172" t="s">
        <v>1672</v>
      </c>
      <c r="BD172" s="16" t="s">
        <v>311</v>
      </c>
      <c r="BE172" t="s">
        <v>1880</v>
      </c>
      <c r="BF172" t="s">
        <v>311</v>
      </c>
      <c r="BG172" t="s">
        <v>311</v>
      </c>
      <c r="BH172" t="s">
        <v>311</v>
      </c>
      <c r="BI172" t="s">
        <v>311</v>
      </c>
      <c r="BJ172" t="s">
        <v>311</v>
      </c>
      <c r="BK172" t="s">
        <v>311</v>
      </c>
      <c r="BL172" t="s">
        <v>311</v>
      </c>
      <c r="BM172" t="s">
        <v>311</v>
      </c>
      <c r="BN172" t="s">
        <v>311</v>
      </c>
      <c r="BO172" t="s">
        <v>311</v>
      </c>
      <c r="BP172" t="s">
        <v>311</v>
      </c>
      <c r="BQ172" t="s">
        <v>311</v>
      </c>
      <c r="BR172" t="s">
        <v>311</v>
      </c>
      <c r="BS172" t="s">
        <v>311</v>
      </c>
      <c r="BT172" t="s">
        <v>311</v>
      </c>
      <c r="BU172" t="s">
        <v>311</v>
      </c>
      <c r="BV172" t="s">
        <v>311</v>
      </c>
      <c r="BW172" t="s">
        <v>311</v>
      </c>
      <c r="BX172" t="s">
        <v>311</v>
      </c>
      <c r="BY172" t="s">
        <v>311</v>
      </c>
      <c r="BZ172">
        <v>1.3579999999999999</v>
      </c>
      <c r="CA172">
        <v>25</v>
      </c>
      <c r="CB172" t="s">
        <v>1210</v>
      </c>
      <c r="CC172" t="s">
        <v>1210</v>
      </c>
      <c r="CD172" t="s">
        <v>1240</v>
      </c>
      <c r="CE172" t="s">
        <v>1321</v>
      </c>
      <c r="CF172">
        <v>0</v>
      </c>
      <c r="CG172" t="s">
        <v>1240</v>
      </c>
      <c r="CH172" t="s">
        <v>1321</v>
      </c>
      <c r="CI172">
        <v>0</v>
      </c>
      <c r="CJ172" s="38" t="s">
        <v>311</v>
      </c>
      <c r="CK172" s="38" t="s">
        <v>311</v>
      </c>
      <c r="CL172" s="38" t="s">
        <v>311</v>
      </c>
      <c r="CM172" s="38" t="s">
        <v>311</v>
      </c>
      <c r="CN172" s="38" t="s">
        <v>311</v>
      </c>
      <c r="CO172" s="38" t="s">
        <v>311</v>
      </c>
      <c r="CP172" s="38">
        <v>0.2</v>
      </c>
      <c r="CQ172" t="s">
        <v>1723</v>
      </c>
      <c r="CR172" t="s">
        <v>1894</v>
      </c>
    </row>
    <row r="173" spans="1:96" s="30" customFormat="1">
      <c r="A173">
        <v>172</v>
      </c>
      <c r="B173" s="30">
        <v>26</v>
      </c>
      <c r="C173" s="30">
        <v>2</v>
      </c>
      <c r="D173" s="30" t="s">
        <v>155</v>
      </c>
      <c r="E173" s="30" t="s">
        <v>156</v>
      </c>
      <c r="F173" s="30" t="s">
        <v>53</v>
      </c>
      <c r="G173" s="30">
        <v>2001</v>
      </c>
      <c r="H173" s="30" t="s">
        <v>459</v>
      </c>
      <c r="I173" s="30" t="s">
        <v>460</v>
      </c>
      <c r="J173" s="30">
        <v>29.704194999999999</v>
      </c>
      <c r="K173" s="30">
        <v>-85.469155999999998</v>
      </c>
      <c r="L173" s="30" t="s">
        <v>361</v>
      </c>
      <c r="M173" s="30" t="s">
        <v>409</v>
      </c>
      <c r="N173" s="30" t="s">
        <v>531</v>
      </c>
      <c r="O173" s="30" t="s">
        <v>532</v>
      </c>
      <c r="P173" s="30" t="s">
        <v>693</v>
      </c>
      <c r="Q173" s="30" t="s">
        <v>419</v>
      </c>
      <c r="R173" s="30" t="s">
        <v>550</v>
      </c>
      <c r="S173" s="30" t="s">
        <v>717</v>
      </c>
      <c r="T173" s="30" t="s">
        <v>331</v>
      </c>
      <c r="U173" s="30">
        <v>3</v>
      </c>
      <c r="V173" s="30" t="s">
        <v>535</v>
      </c>
      <c r="W173" s="30">
        <v>1997</v>
      </c>
      <c r="X173" s="30" t="s">
        <v>292</v>
      </c>
      <c r="Y173" s="30" t="s">
        <v>716</v>
      </c>
      <c r="Z173" s="30" t="s">
        <v>537</v>
      </c>
      <c r="AA173" s="30" t="s">
        <v>538</v>
      </c>
      <c r="AB173" s="30" t="s">
        <v>714</v>
      </c>
      <c r="AC173" s="30" t="s">
        <v>715</v>
      </c>
      <c r="AD173" s="30" t="s">
        <v>292</v>
      </c>
      <c r="AE173" s="30" t="s">
        <v>607</v>
      </c>
      <c r="AF173" s="30" t="s">
        <v>552</v>
      </c>
      <c r="AH173" s="30" t="s">
        <v>555</v>
      </c>
      <c r="AI173" s="30" t="s">
        <v>553</v>
      </c>
      <c r="AJ173" s="30" t="s">
        <v>554</v>
      </c>
      <c r="AK173" s="30" t="s">
        <v>718</v>
      </c>
      <c r="AL173" s="30" t="s">
        <v>357</v>
      </c>
      <c r="AM173" s="30" t="s">
        <v>1059</v>
      </c>
      <c r="AN173" s="30" t="s">
        <v>1281</v>
      </c>
      <c r="AO173" s="30" t="s">
        <v>1288</v>
      </c>
      <c r="AP173" s="30" t="s">
        <v>887</v>
      </c>
      <c r="AQ173" s="30" t="s">
        <v>614</v>
      </c>
      <c r="AR173" s="30">
        <v>2.9837662337662301</v>
      </c>
      <c r="AS173" s="30">
        <v>3.5787999488716131E-2</v>
      </c>
      <c r="AT173" s="30" t="s">
        <v>311</v>
      </c>
      <c r="AU173" s="30">
        <v>6</v>
      </c>
      <c r="AV173" s="30">
        <v>2.7207792207792201</v>
      </c>
      <c r="AW173" s="30">
        <v>3.9764443876347207E-2</v>
      </c>
      <c r="AX173" s="30" t="s">
        <v>311</v>
      </c>
      <c r="AY173" s="30">
        <v>6</v>
      </c>
      <c r="AZ173" s="30" t="s">
        <v>1055</v>
      </c>
      <c r="BA173" s="30" t="s">
        <v>1679</v>
      </c>
      <c r="BB173">
        <v>123</v>
      </c>
      <c r="BC173" s="30" t="s">
        <v>1673</v>
      </c>
      <c r="BD173" s="30" t="s">
        <v>1763</v>
      </c>
      <c r="BE173" s="30" t="s">
        <v>1880</v>
      </c>
      <c r="BF173" s="30" t="s">
        <v>311</v>
      </c>
      <c r="BG173" s="30" t="s">
        <v>311</v>
      </c>
      <c r="BH173" s="30" t="s">
        <v>311</v>
      </c>
      <c r="BI173" s="30" t="s">
        <v>311</v>
      </c>
      <c r="BJ173" s="30" t="s">
        <v>311</v>
      </c>
      <c r="BK173" s="30" t="s">
        <v>311</v>
      </c>
      <c r="BL173" s="30" t="s">
        <v>311</v>
      </c>
      <c r="BM173" s="30" t="s">
        <v>311</v>
      </c>
      <c r="BN173" s="30" t="s">
        <v>311</v>
      </c>
      <c r="BO173" s="30" t="s">
        <v>311</v>
      </c>
      <c r="BP173" s="30" t="s">
        <v>311</v>
      </c>
      <c r="BQ173" s="30" t="s">
        <v>311</v>
      </c>
      <c r="BR173" s="30" t="s">
        <v>311</v>
      </c>
      <c r="BS173" s="30" t="s">
        <v>311</v>
      </c>
      <c r="BT173" s="30" t="s">
        <v>311</v>
      </c>
      <c r="BU173" s="30" t="s">
        <v>311</v>
      </c>
      <c r="BV173" s="30" t="s">
        <v>311</v>
      </c>
      <c r="BW173" s="30" t="s">
        <v>311</v>
      </c>
      <c r="BX173" s="30" t="s">
        <v>311</v>
      </c>
      <c r="BY173" s="30" t="s">
        <v>311</v>
      </c>
      <c r="BZ173" s="30">
        <v>1.3579999999999999</v>
      </c>
      <c r="CA173" s="30">
        <v>25</v>
      </c>
      <c r="CB173" s="30" t="s">
        <v>1210</v>
      </c>
      <c r="CC173" s="30" t="s">
        <v>1210</v>
      </c>
      <c r="CD173" s="30" t="s">
        <v>1240</v>
      </c>
      <c r="CE173" s="30" t="s">
        <v>1321</v>
      </c>
      <c r="CF173" s="30">
        <v>0</v>
      </c>
      <c r="CG173" s="30" t="s">
        <v>1240</v>
      </c>
      <c r="CH173" s="30" t="s">
        <v>1321</v>
      </c>
      <c r="CI173" s="30">
        <v>0</v>
      </c>
      <c r="CJ173" s="38" t="s">
        <v>311</v>
      </c>
      <c r="CK173" s="38" t="s">
        <v>311</v>
      </c>
      <c r="CL173" s="38" t="s">
        <v>311</v>
      </c>
      <c r="CM173" s="38" t="s">
        <v>311</v>
      </c>
      <c r="CN173" s="38" t="s">
        <v>311</v>
      </c>
      <c r="CO173" s="38" t="s">
        <v>311</v>
      </c>
      <c r="CP173" s="38">
        <v>0.2</v>
      </c>
      <c r="CQ173" s="30" t="s">
        <v>1816</v>
      </c>
      <c r="CR173" s="30" t="s">
        <v>1817</v>
      </c>
    </row>
    <row r="174" spans="1:96">
      <c r="A174">
        <v>173</v>
      </c>
      <c r="B174">
        <v>26</v>
      </c>
      <c r="C174">
        <v>3</v>
      </c>
      <c r="D174" t="s">
        <v>155</v>
      </c>
      <c r="E174" t="s">
        <v>156</v>
      </c>
      <c r="F174" t="s">
        <v>53</v>
      </c>
      <c r="G174">
        <v>2001</v>
      </c>
      <c r="H174" t="s">
        <v>459</v>
      </c>
      <c r="I174" t="s">
        <v>460</v>
      </c>
      <c r="J174">
        <v>29.704194999999999</v>
      </c>
      <c r="K174">
        <v>-85.469155999999998</v>
      </c>
      <c r="L174" t="s">
        <v>361</v>
      </c>
      <c r="M174" t="s">
        <v>409</v>
      </c>
      <c r="N174" t="s">
        <v>531</v>
      </c>
      <c r="O174" t="s">
        <v>532</v>
      </c>
      <c r="P174" t="s">
        <v>693</v>
      </c>
      <c r="Q174" t="s">
        <v>419</v>
      </c>
      <c r="R174" t="s">
        <v>550</v>
      </c>
      <c r="S174" t="s">
        <v>717</v>
      </c>
      <c r="T174" t="s">
        <v>331</v>
      </c>
      <c r="U174">
        <v>3</v>
      </c>
      <c r="V174" t="s">
        <v>535</v>
      </c>
      <c r="W174">
        <v>1997</v>
      </c>
      <c r="X174" t="s">
        <v>292</v>
      </c>
      <c r="Y174" t="s">
        <v>716</v>
      </c>
      <c r="Z174" t="s">
        <v>537</v>
      </c>
      <c r="AA174" t="s">
        <v>538</v>
      </c>
      <c r="AB174" t="s">
        <v>714</v>
      </c>
      <c r="AC174" t="s">
        <v>715</v>
      </c>
      <c r="AD174" t="s">
        <v>292</v>
      </c>
      <c r="AE174" t="s">
        <v>607</v>
      </c>
      <c r="AF174" t="s">
        <v>552</v>
      </c>
      <c r="AH174" t="s">
        <v>555</v>
      </c>
      <c r="AI174" t="s">
        <v>553</v>
      </c>
      <c r="AJ174" t="s">
        <v>554</v>
      </c>
      <c r="AK174" t="s">
        <v>663</v>
      </c>
      <c r="AL174" t="s">
        <v>357</v>
      </c>
      <c r="AM174" t="s">
        <v>1059</v>
      </c>
      <c r="AN174" t="s">
        <v>1281</v>
      </c>
      <c r="AO174" t="s">
        <v>1290</v>
      </c>
      <c r="AP174" t="s">
        <v>614</v>
      </c>
      <c r="AQ174" t="s">
        <v>614</v>
      </c>
      <c r="AR174" s="6">
        <v>0.82014388000000005</v>
      </c>
      <c r="AS174" s="6">
        <v>4.5689590000000002E-2</v>
      </c>
      <c r="AT174" t="s">
        <v>311</v>
      </c>
      <c r="AU174">
        <v>6</v>
      </c>
      <c r="AV174">
        <v>0.53956834532374032</v>
      </c>
      <c r="AW174">
        <v>3.9948036568242584E-2</v>
      </c>
      <c r="AX174" t="s">
        <v>311</v>
      </c>
      <c r="AY174">
        <v>6</v>
      </c>
      <c r="AZ174" t="s">
        <v>1055</v>
      </c>
      <c r="BA174" t="s">
        <v>1679</v>
      </c>
      <c r="BB174">
        <v>123</v>
      </c>
      <c r="BC174" t="s">
        <v>1672</v>
      </c>
      <c r="BD174" s="16" t="s">
        <v>311</v>
      </c>
      <c r="BE174" t="s">
        <v>1880</v>
      </c>
      <c r="BF174" t="s">
        <v>311</v>
      </c>
      <c r="BG174" t="s">
        <v>311</v>
      </c>
      <c r="BH174" t="s">
        <v>311</v>
      </c>
      <c r="BI174" t="s">
        <v>311</v>
      </c>
      <c r="BJ174" t="s">
        <v>311</v>
      </c>
      <c r="BK174" t="s">
        <v>311</v>
      </c>
      <c r="BL174" t="s">
        <v>311</v>
      </c>
      <c r="BM174" t="s">
        <v>311</v>
      </c>
      <c r="BN174" t="s">
        <v>311</v>
      </c>
      <c r="BO174" t="s">
        <v>311</v>
      </c>
      <c r="BP174" t="s">
        <v>311</v>
      </c>
      <c r="BQ174" t="s">
        <v>311</v>
      </c>
      <c r="BR174" t="s">
        <v>311</v>
      </c>
      <c r="BS174" t="s">
        <v>311</v>
      </c>
      <c r="BT174" t="s">
        <v>311</v>
      </c>
      <c r="BU174" t="s">
        <v>311</v>
      </c>
      <c r="BV174" t="s">
        <v>311</v>
      </c>
      <c r="BW174" t="s">
        <v>311</v>
      </c>
      <c r="BX174" t="s">
        <v>1126</v>
      </c>
      <c r="BY174" t="s">
        <v>1203</v>
      </c>
      <c r="BZ174">
        <v>1.3579999999999999</v>
      </c>
      <c r="CA174">
        <v>25</v>
      </c>
      <c r="CB174" t="s">
        <v>1210</v>
      </c>
      <c r="CC174" t="s">
        <v>1210</v>
      </c>
      <c r="CD174" t="s">
        <v>1240</v>
      </c>
      <c r="CE174" t="s">
        <v>1321</v>
      </c>
      <c r="CF174">
        <v>0</v>
      </c>
      <c r="CG174" t="s">
        <v>1240</v>
      </c>
      <c r="CH174" t="s">
        <v>1321</v>
      </c>
      <c r="CI174">
        <v>0</v>
      </c>
      <c r="CJ174" s="38" t="s">
        <v>311</v>
      </c>
      <c r="CK174" s="38" t="s">
        <v>311</v>
      </c>
      <c r="CL174" s="38" t="s">
        <v>311</v>
      </c>
      <c r="CM174" s="38" t="s">
        <v>311</v>
      </c>
      <c r="CN174" s="38" t="s">
        <v>311</v>
      </c>
      <c r="CO174" s="38" t="s">
        <v>311</v>
      </c>
      <c r="CP174" s="38">
        <v>0.2</v>
      </c>
      <c r="CQ174" t="s">
        <v>1723</v>
      </c>
      <c r="CR174" t="s">
        <v>1826</v>
      </c>
    </row>
    <row r="175" spans="1:96" s="30" customFormat="1">
      <c r="A175">
        <v>174</v>
      </c>
      <c r="B175" s="30">
        <v>26</v>
      </c>
      <c r="C175" s="30">
        <v>4</v>
      </c>
      <c r="D175" s="30" t="s">
        <v>155</v>
      </c>
      <c r="E175" s="30" t="s">
        <v>156</v>
      </c>
      <c r="F175" s="30" t="s">
        <v>53</v>
      </c>
      <c r="G175" s="30">
        <v>2001</v>
      </c>
      <c r="H175" s="30" t="s">
        <v>459</v>
      </c>
      <c r="I175" s="30" t="s">
        <v>460</v>
      </c>
      <c r="J175" s="30">
        <v>29.704194999999999</v>
      </c>
      <c r="K175" s="30">
        <v>-85.469155999999998</v>
      </c>
      <c r="L175" s="30" t="s">
        <v>361</v>
      </c>
      <c r="M175" s="30" t="s">
        <v>409</v>
      </c>
      <c r="N175" s="30" t="s">
        <v>531</v>
      </c>
      <c r="O175" s="30" t="s">
        <v>532</v>
      </c>
      <c r="P175" s="30" t="s">
        <v>693</v>
      </c>
      <c r="Q175" s="30" t="s">
        <v>419</v>
      </c>
      <c r="R175" s="30" t="s">
        <v>550</v>
      </c>
      <c r="S175" s="30" t="s">
        <v>717</v>
      </c>
      <c r="T175" s="30" t="s">
        <v>331</v>
      </c>
      <c r="U175" s="30">
        <v>3</v>
      </c>
      <c r="V175" s="30" t="s">
        <v>535</v>
      </c>
      <c r="W175" s="30">
        <v>1997</v>
      </c>
      <c r="X175" s="30" t="s">
        <v>292</v>
      </c>
      <c r="Y175" s="30" t="s">
        <v>716</v>
      </c>
      <c r="Z175" s="30" t="s">
        <v>537</v>
      </c>
      <c r="AA175" s="30" t="s">
        <v>538</v>
      </c>
      <c r="AB175" s="30" t="s">
        <v>714</v>
      </c>
      <c r="AC175" s="30" t="s">
        <v>715</v>
      </c>
      <c r="AD175" s="30" t="s">
        <v>292</v>
      </c>
      <c r="AE175" s="30" t="s">
        <v>607</v>
      </c>
      <c r="AF175" s="30" t="s">
        <v>552</v>
      </c>
      <c r="AH175" s="30" t="s">
        <v>555</v>
      </c>
      <c r="AI175" s="30" t="s">
        <v>553</v>
      </c>
      <c r="AJ175" s="30" t="s">
        <v>554</v>
      </c>
      <c r="AK175" s="30" t="s">
        <v>663</v>
      </c>
      <c r="AL175" s="30" t="s">
        <v>357</v>
      </c>
      <c r="AM175" s="30" t="s">
        <v>1059</v>
      </c>
      <c r="AN175" s="30" t="s">
        <v>1281</v>
      </c>
      <c r="AO175" s="30" t="s">
        <v>1290</v>
      </c>
      <c r="AP175" s="30" t="s">
        <v>887</v>
      </c>
      <c r="AQ175" s="30" t="s">
        <v>614</v>
      </c>
      <c r="AR175" s="30">
        <v>7.5503597122302102</v>
      </c>
      <c r="AS175" s="30">
        <v>3.2307418669801184E-2</v>
      </c>
      <c r="AT175" s="30" t="s">
        <v>311</v>
      </c>
      <c r="AU175" s="30">
        <v>6</v>
      </c>
      <c r="AV175" s="30">
        <v>7.30575539568345</v>
      </c>
      <c r="AW175" s="30">
        <v>3.2307418669801184E-2</v>
      </c>
      <c r="AX175" s="30" t="s">
        <v>311</v>
      </c>
      <c r="AY175" s="30">
        <v>6</v>
      </c>
      <c r="AZ175" s="30" t="s">
        <v>1055</v>
      </c>
      <c r="BA175" s="30" t="s">
        <v>1679</v>
      </c>
      <c r="BB175">
        <v>123</v>
      </c>
      <c r="BC175" s="30" t="s">
        <v>1673</v>
      </c>
      <c r="BD175" s="30" t="s">
        <v>1763</v>
      </c>
      <c r="BE175" s="30" t="s">
        <v>1880</v>
      </c>
      <c r="BF175" s="30" t="s">
        <v>311</v>
      </c>
      <c r="BG175" s="30" t="s">
        <v>311</v>
      </c>
      <c r="BH175" s="30" t="s">
        <v>311</v>
      </c>
      <c r="BI175" s="30" t="s">
        <v>311</v>
      </c>
      <c r="BJ175" s="30" t="s">
        <v>311</v>
      </c>
      <c r="BK175" s="30" t="s">
        <v>311</v>
      </c>
      <c r="BL175" s="30" t="s">
        <v>311</v>
      </c>
      <c r="BM175" s="30" t="s">
        <v>311</v>
      </c>
      <c r="BN175" s="30" t="s">
        <v>311</v>
      </c>
      <c r="BO175" s="30" t="s">
        <v>311</v>
      </c>
      <c r="BP175" s="30" t="s">
        <v>311</v>
      </c>
      <c r="BQ175" s="30" t="s">
        <v>311</v>
      </c>
      <c r="BR175" s="30" t="s">
        <v>311</v>
      </c>
      <c r="BS175" s="30" t="s">
        <v>311</v>
      </c>
      <c r="BT175" s="30" t="s">
        <v>311</v>
      </c>
      <c r="BU175" s="30" t="s">
        <v>311</v>
      </c>
      <c r="BV175" s="30" t="s">
        <v>311</v>
      </c>
      <c r="BW175" s="30" t="s">
        <v>311</v>
      </c>
      <c r="BX175" s="30" t="s">
        <v>1126</v>
      </c>
      <c r="BY175" s="30" t="s">
        <v>1203</v>
      </c>
      <c r="BZ175" s="30">
        <v>1.3579999999999999</v>
      </c>
      <c r="CA175" s="30">
        <v>25</v>
      </c>
      <c r="CB175" s="30" t="s">
        <v>1210</v>
      </c>
      <c r="CC175" s="30" t="s">
        <v>1210</v>
      </c>
      <c r="CD175" s="30" t="s">
        <v>1240</v>
      </c>
      <c r="CE175" s="30" t="s">
        <v>1321</v>
      </c>
      <c r="CF175" s="30">
        <v>0</v>
      </c>
      <c r="CG175" s="30" t="s">
        <v>1240</v>
      </c>
      <c r="CH175" s="30" t="s">
        <v>1321</v>
      </c>
      <c r="CI175" s="30">
        <v>0</v>
      </c>
      <c r="CJ175" s="38" t="s">
        <v>311</v>
      </c>
      <c r="CK175" s="38" t="s">
        <v>311</v>
      </c>
      <c r="CL175" s="38" t="s">
        <v>311</v>
      </c>
      <c r="CM175" s="38" t="s">
        <v>311</v>
      </c>
      <c r="CN175" s="38" t="s">
        <v>311</v>
      </c>
      <c r="CO175" s="38" t="s">
        <v>311</v>
      </c>
      <c r="CP175" s="38">
        <v>0.2</v>
      </c>
      <c r="CR175" s="30" t="s">
        <v>1818</v>
      </c>
    </row>
    <row r="176" spans="1:96">
      <c r="A176">
        <v>175</v>
      </c>
      <c r="B176">
        <v>26</v>
      </c>
      <c r="C176">
        <v>5</v>
      </c>
      <c r="D176" t="s">
        <v>155</v>
      </c>
      <c r="E176" t="s">
        <v>156</v>
      </c>
      <c r="F176" t="s">
        <v>53</v>
      </c>
      <c r="G176">
        <v>2001</v>
      </c>
      <c r="H176" t="s">
        <v>459</v>
      </c>
      <c r="I176" t="s">
        <v>460</v>
      </c>
      <c r="J176">
        <v>29.704194999999999</v>
      </c>
      <c r="K176">
        <v>-85.469155999999998</v>
      </c>
      <c r="L176" t="s">
        <v>361</v>
      </c>
      <c r="M176" t="s">
        <v>409</v>
      </c>
      <c r="N176" t="s">
        <v>531</v>
      </c>
      <c r="O176" t="s">
        <v>532</v>
      </c>
      <c r="P176" t="s">
        <v>693</v>
      </c>
      <c r="Q176" t="s">
        <v>419</v>
      </c>
      <c r="R176" t="s">
        <v>550</v>
      </c>
      <c r="S176" t="s">
        <v>717</v>
      </c>
      <c r="T176" t="s">
        <v>331</v>
      </c>
      <c r="U176">
        <v>3</v>
      </c>
      <c r="V176" t="s">
        <v>535</v>
      </c>
      <c r="W176">
        <v>1997</v>
      </c>
      <c r="X176" t="s">
        <v>292</v>
      </c>
      <c r="Y176" t="s">
        <v>716</v>
      </c>
      <c r="Z176" t="s">
        <v>537</v>
      </c>
      <c r="AA176" t="s">
        <v>538</v>
      </c>
      <c r="AB176" t="s">
        <v>714</v>
      </c>
      <c r="AC176" t="s">
        <v>715</v>
      </c>
      <c r="AD176" t="s">
        <v>292</v>
      </c>
      <c r="AE176" t="s">
        <v>607</v>
      </c>
      <c r="AF176" t="s">
        <v>552</v>
      </c>
      <c r="AH176" t="s">
        <v>555</v>
      </c>
      <c r="AI176" t="s">
        <v>553</v>
      </c>
      <c r="AJ176" t="s">
        <v>554</v>
      </c>
      <c r="AK176" t="s">
        <v>821</v>
      </c>
      <c r="AL176" t="s">
        <v>357</v>
      </c>
      <c r="AM176" t="s">
        <v>1059</v>
      </c>
      <c r="AN176" t="s">
        <v>1281</v>
      </c>
      <c r="AO176" t="s">
        <v>1283</v>
      </c>
      <c r="AP176" t="s">
        <v>614</v>
      </c>
      <c r="AQ176" t="s">
        <v>614</v>
      </c>
      <c r="AR176" s="6">
        <v>122.748091603053</v>
      </c>
      <c r="AS176" s="6">
        <v>4.6858043521290718</v>
      </c>
      <c r="AT176" s="6" t="s">
        <v>311</v>
      </c>
      <c r="AU176">
        <v>6</v>
      </c>
      <c r="AV176" s="6">
        <v>89.770992366411988</v>
      </c>
      <c r="AW176" s="6">
        <v>3.8502351795173979</v>
      </c>
      <c r="AX176" s="6" t="s">
        <v>311</v>
      </c>
      <c r="AY176">
        <v>6</v>
      </c>
      <c r="AZ176" t="s">
        <v>1055</v>
      </c>
      <c r="BA176" t="s">
        <v>1679</v>
      </c>
      <c r="BB176">
        <v>123</v>
      </c>
      <c r="BC176" t="s">
        <v>1672</v>
      </c>
      <c r="BD176" s="16" t="s">
        <v>311</v>
      </c>
      <c r="BE176" t="s">
        <v>1880</v>
      </c>
      <c r="BF176" t="s">
        <v>311</v>
      </c>
      <c r="BG176" t="s">
        <v>311</v>
      </c>
      <c r="BH176" t="s">
        <v>311</v>
      </c>
      <c r="BI176" t="s">
        <v>311</v>
      </c>
      <c r="BJ176" t="s">
        <v>311</v>
      </c>
      <c r="BK176" t="s">
        <v>311</v>
      </c>
      <c r="BL176" t="s">
        <v>311</v>
      </c>
      <c r="BM176" t="s">
        <v>311</v>
      </c>
      <c r="BN176" t="s">
        <v>311</v>
      </c>
      <c r="BO176" t="s">
        <v>311</v>
      </c>
      <c r="BP176" t="s">
        <v>311</v>
      </c>
      <c r="BQ176" t="s">
        <v>311</v>
      </c>
      <c r="BR176" t="s">
        <v>311</v>
      </c>
      <c r="BS176" t="s">
        <v>311</v>
      </c>
      <c r="BT176" t="s">
        <v>311</v>
      </c>
      <c r="BU176" t="s">
        <v>311</v>
      </c>
      <c r="BV176" t="s">
        <v>311</v>
      </c>
      <c r="BW176" t="s">
        <v>311</v>
      </c>
      <c r="BX176" t="s">
        <v>1126</v>
      </c>
      <c r="BY176" t="s">
        <v>1203</v>
      </c>
      <c r="BZ176">
        <v>1.3579999999999999</v>
      </c>
      <c r="CA176">
        <v>25</v>
      </c>
      <c r="CB176" t="s">
        <v>1210</v>
      </c>
      <c r="CC176" t="s">
        <v>1210</v>
      </c>
      <c r="CD176" t="s">
        <v>1240</v>
      </c>
      <c r="CE176" t="s">
        <v>1321</v>
      </c>
      <c r="CF176">
        <v>0</v>
      </c>
      <c r="CG176" t="s">
        <v>1240</v>
      </c>
      <c r="CH176" t="s">
        <v>1321</v>
      </c>
      <c r="CI176">
        <v>0</v>
      </c>
      <c r="CJ176" s="38" t="s">
        <v>311</v>
      </c>
      <c r="CK176" s="38" t="s">
        <v>311</v>
      </c>
      <c r="CL176" s="38" t="s">
        <v>311</v>
      </c>
      <c r="CM176" s="38" t="s">
        <v>311</v>
      </c>
      <c r="CN176" s="38" t="s">
        <v>311</v>
      </c>
      <c r="CO176" s="38" t="s">
        <v>311</v>
      </c>
      <c r="CP176" s="38">
        <v>0.2</v>
      </c>
      <c r="CQ176" t="s">
        <v>1723</v>
      </c>
      <c r="CR176" t="s">
        <v>1825</v>
      </c>
    </row>
    <row r="177" spans="1:96" s="30" customFormat="1">
      <c r="A177">
        <v>176</v>
      </c>
      <c r="B177" s="30">
        <v>26</v>
      </c>
      <c r="C177" s="30">
        <v>6</v>
      </c>
      <c r="D177" s="30" t="s">
        <v>155</v>
      </c>
      <c r="E177" s="30" t="s">
        <v>156</v>
      </c>
      <c r="F177" s="30" t="s">
        <v>53</v>
      </c>
      <c r="G177" s="30">
        <v>2001</v>
      </c>
      <c r="H177" s="30" t="s">
        <v>459</v>
      </c>
      <c r="I177" s="30" t="s">
        <v>460</v>
      </c>
      <c r="J177" s="30">
        <v>29.704194999999999</v>
      </c>
      <c r="K177" s="30">
        <v>-85.469155999999998</v>
      </c>
      <c r="L177" s="30" t="s">
        <v>361</v>
      </c>
      <c r="M177" s="30" t="s">
        <v>409</v>
      </c>
      <c r="N177" s="30" t="s">
        <v>531</v>
      </c>
      <c r="O177" s="30" t="s">
        <v>532</v>
      </c>
      <c r="P177" s="30" t="s">
        <v>693</v>
      </c>
      <c r="Q177" s="30" t="s">
        <v>419</v>
      </c>
      <c r="R177" s="30" t="s">
        <v>550</v>
      </c>
      <c r="S177" s="30" t="s">
        <v>717</v>
      </c>
      <c r="T177" s="30" t="s">
        <v>331</v>
      </c>
      <c r="U177" s="30">
        <v>3</v>
      </c>
      <c r="V177" s="30" t="s">
        <v>535</v>
      </c>
      <c r="W177" s="30">
        <v>1997</v>
      </c>
      <c r="X177" s="30" t="s">
        <v>292</v>
      </c>
      <c r="Y177" s="30" t="s">
        <v>716</v>
      </c>
      <c r="Z177" s="30" t="s">
        <v>537</v>
      </c>
      <c r="AA177" s="30" t="s">
        <v>538</v>
      </c>
      <c r="AB177" s="30" t="s">
        <v>714</v>
      </c>
      <c r="AC177" s="30" t="s">
        <v>715</v>
      </c>
      <c r="AD177" s="30" t="s">
        <v>292</v>
      </c>
      <c r="AE177" s="30" t="s">
        <v>607</v>
      </c>
      <c r="AF177" s="30" t="s">
        <v>552</v>
      </c>
      <c r="AH177" s="30" t="s">
        <v>555</v>
      </c>
      <c r="AI177" s="30" t="s">
        <v>553</v>
      </c>
      <c r="AJ177" s="30" t="s">
        <v>554</v>
      </c>
      <c r="AK177" s="30" t="s">
        <v>821</v>
      </c>
      <c r="AL177" s="30" t="s">
        <v>357</v>
      </c>
      <c r="AM177" s="30" t="s">
        <v>1059</v>
      </c>
      <c r="AN177" s="30" t="s">
        <v>1281</v>
      </c>
      <c r="AO177" s="30" t="s">
        <v>1283</v>
      </c>
      <c r="AP177" s="30" t="s">
        <v>887</v>
      </c>
      <c r="AQ177" s="30" t="s">
        <v>614</v>
      </c>
      <c r="AR177" s="31">
        <v>236.335877862595</v>
      </c>
      <c r="AS177" s="30">
        <v>4.1136468962772534</v>
      </c>
      <c r="AT177" s="31" t="s">
        <v>311</v>
      </c>
      <c r="AU177" s="30">
        <v>6</v>
      </c>
      <c r="AV177" s="31">
        <v>195.11450381679299</v>
      </c>
      <c r="AW177" s="30">
        <v>3.3657110969542683</v>
      </c>
      <c r="AX177" s="31" t="s">
        <v>311</v>
      </c>
      <c r="AY177" s="30">
        <v>6</v>
      </c>
      <c r="AZ177" s="30" t="s">
        <v>1055</v>
      </c>
      <c r="BA177" s="30" t="s">
        <v>1679</v>
      </c>
      <c r="BB177">
        <v>123</v>
      </c>
      <c r="BC177" s="30" t="s">
        <v>1673</v>
      </c>
      <c r="BD177" s="30" t="s">
        <v>1763</v>
      </c>
      <c r="BE177" s="30" t="s">
        <v>1880</v>
      </c>
      <c r="BF177" s="30" t="s">
        <v>311</v>
      </c>
      <c r="BG177" s="30" t="s">
        <v>311</v>
      </c>
      <c r="BH177" s="30" t="s">
        <v>311</v>
      </c>
      <c r="BI177" s="30" t="s">
        <v>311</v>
      </c>
      <c r="BJ177" s="30" t="s">
        <v>311</v>
      </c>
      <c r="BK177" s="30" t="s">
        <v>311</v>
      </c>
      <c r="BL177" s="30" t="s">
        <v>311</v>
      </c>
      <c r="BM177" s="30" t="s">
        <v>311</v>
      </c>
      <c r="BN177" s="30" t="s">
        <v>311</v>
      </c>
      <c r="BO177" s="30" t="s">
        <v>311</v>
      </c>
      <c r="BP177" s="30" t="s">
        <v>311</v>
      </c>
      <c r="BQ177" s="30" t="s">
        <v>311</v>
      </c>
      <c r="BR177" s="30" t="s">
        <v>311</v>
      </c>
      <c r="BS177" s="30" t="s">
        <v>311</v>
      </c>
      <c r="BT177" s="30" t="s">
        <v>311</v>
      </c>
      <c r="BU177" s="30" t="s">
        <v>311</v>
      </c>
      <c r="BV177" s="30" t="s">
        <v>311</v>
      </c>
      <c r="BW177" s="30" t="s">
        <v>311</v>
      </c>
      <c r="BX177" s="30" t="s">
        <v>1126</v>
      </c>
      <c r="BY177" s="30" t="s">
        <v>1203</v>
      </c>
      <c r="BZ177" s="30">
        <v>1.3579999999999999</v>
      </c>
      <c r="CA177" s="30">
        <v>25</v>
      </c>
      <c r="CB177" s="30" t="s">
        <v>1210</v>
      </c>
      <c r="CC177" s="30" t="s">
        <v>1210</v>
      </c>
      <c r="CD177" s="30" t="s">
        <v>1240</v>
      </c>
      <c r="CE177" s="30" t="s">
        <v>1321</v>
      </c>
      <c r="CF177" s="30">
        <v>0</v>
      </c>
      <c r="CG177" s="30" t="s">
        <v>1240</v>
      </c>
      <c r="CH177" s="30" t="s">
        <v>1321</v>
      </c>
      <c r="CI177" s="30">
        <v>0</v>
      </c>
      <c r="CJ177" s="38" t="s">
        <v>311</v>
      </c>
      <c r="CK177" s="38" t="s">
        <v>311</v>
      </c>
      <c r="CL177" s="38" t="s">
        <v>311</v>
      </c>
      <c r="CM177" s="38" t="s">
        <v>311</v>
      </c>
      <c r="CN177" s="38" t="s">
        <v>311</v>
      </c>
      <c r="CO177" s="38" t="s">
        <v>311</v>
      </c>
      <c r="CP177" s="38">
        <v>0.2</v>
      </c>
      <c r="CR177" s="30" t="s">
        <v>1819</v>
      </c>
    </row>
    <row r="178" spans="1:96">
      <c r="A178">
        <v>177</v>
      </c>
      <c r="B178">
        <v>26</v>
      </c>
      <c r="C178">
        <v>7</v>
      </c>
      <c r="D178" t="s">
        <v>155</v>
      </c>
      <c r="E178" t="s">
        <v>156</v>
      </c>
      <c r="F178" t="s">
        <v>53</v>
      </c>
      <c r="G178">
        <v>2001</v>
      </c>
      <c r="H178" t="s">
        <v>459</v>
      </c>
      <c r="I178" t="s">
        <v>460</v>
      </c>
      <c r="J178">
        <v>29.704194999999999</v>
      </c>
      <c r="K178">
        <v>-85.469155999999998</v>
      </c>
      <c r="L178" t="s">
        <v>361</v>
      </c>
      <c r="M178" t="s">
        <v>409</v>
      </c>
      <c r="N178" t="s">
        <v>531</v>
      </c>
      <c r="O178" t="s">
        <v>532</v>
      </c>
      <c r="P178" t="s">
        <v>693</v>
      </c>
      <c r="Q178" t="s">
        <v>419</v>
      </c>
      <c r="R178" t="s">
        <v>550</v>
      </c>
      <c r="S178" t="s">
        <v>717</v>
      </c>
      <c r="T178" t="s">
        <v>331</v>
      </c>
      <c r="U178">
        <v>3</v>
      </c>
      <c r="V178" t="s">
        <v>559</v>
      </c>
      <c r="W178">
        <v>1997</v>
      </c>
      <c r="X178" t="s">
        <v>292</v>
      </c>
      <c r="Y178" t="s">
        <v>716</v>
      </c>
      <c r="Z178" t="s">
        <v>537</v>
      </c>
      <c r="AA178" t="s">
        <v>538</v>
      </c>
      <c r="AB178" t="s">
        <v>714</v>
      </c>
      <c r="AC178" t="s">
        <v>715</v>
      </c>
      <c r="AD178" t="s">
        <v>292</v>
      </c>
      <c r="AE178" t="s">
        <v>607</v>
      </c>
      <c r="AF178" t="s">
        <v>552</v>
      </c>
      <c r="AH178" t="s">
        <v>555</v>
      </c>
      <c r="AI178" t="s">
        <v>553</v>
      </c>
      <c r="AJ178" t="s">
        <v>554</v>
      </c>
      <c r="AK178" t="s">
        <v>549</v>
      </c>
      <c r="AL178" t="s">
        <v>357</v>
      </c>
      <c r="AM178" t="s">
        <v>1059</v>
      </c>
      <c r="AN178" t="s">
        <v>1277</v>
      </c>
      <c r="AO178" t="s">
        <v>1285</v>
      </c>
      <c r="AP178" t="s">
        <v>614</v>
      </c>
      <c r="AQ178" t="s">
        <v>887</v>
      </c>
      <c r="AR178">
        <v>5.5874587458745797</v>
      </c>
      <c r="AS178" t="s">
        <v>311</v>
      </c>
      <c r="AT178">
        <v>1.8349834983498399</v>
      </c>
      <c r="AU178">
        <v>6</v>
      </c>
      <c r="AV178">
        <v>3.1584158415841501</v>
      </c>
      <c r="AW178" t="s">
        <v>311</v>
      </c>
      <c r="AX178">
        <v>0.29042904290428995</v>
      </c>
      <c r="AY178">
        <v>6</v>
      </c>
      <c r="AZ178" t="s">
        <v>1055</v>
      </c>
      <c r="BA178" t="s">
        <v>1679</v>
      </c>
      <c r="BB178">
        <v>12</v>
      </c>
      <c r="BC178" t="s">
        <v>1672</v>
      </c>
      <c r="BD178" t="s">
        <v>311</v>
      </c>
      <c r="BE178" t="s">
        <v>1880</v>
      </c>
      <c r="BF178" t="s">
        <v>311</v>
      </c>
      <c r="BG178" t="s">
        <v>311</v>
      </c>
      <c r="BH178" t="s">
        <v>311</v>
      </c>
      <c r="BI178" t="s">
        <v>311</v>
      </c>
      <c r="BJ178" t="s">
        <v>311</v>
      </c>
      <c r="BK178" t="s">
        <v>311</v>
      </c>
      <c r="BL178" t="s">
        <v>311</v>
      </c>
      <c r="BM178" t="s">
        <v>311</v>
      </c>
      <c r="BN178" t="s">
        <v>311</v>
      </c>
      <c r="BO178" t="s">
        <v>311</v>
      </c>
      <c r="BP178" t="s">
        <v>311</v>
      </c>
      <c r="BQ178" t="s">
        <v>311</v>
      </c>
      <c r="BR178" t="s">
        <v>311</v>
      </c>
      <c r="BS178" t="s">
        <v>311</v>
      </c>
      <c r="BT178" t="s">
        <v>311</v>
      </c>
      <c r="BU178" t="s">
        <v>311</v>
      </c>
      <c r="BV178" t="s">
        <v>311</v>
      </c>
      <c r="BW178" t="s">
        <v>311</v>
      </c>
      <c r="BX178" t="s">
        <v>1126</v>
      </c>
      <c r="BY178" t="s">
        <v>1203</v>
      </c>
      <c r="BZ178">
        <v>1.3579999999999999</v>
      </c>
      <c r="CA178">
        <v>25</v>
      </c>
      <c r="CB178" t="s">
        <v>1210</v>
      </c>
      <c r="CC178" t="s">
        <v>1210</v>
      </c>
      <c r="CD178" t="s">
        <v>1240</v>
      </c>
      <c r="CE178" t="s">
        <v>1321</v>
      </c>
      <c r="CF178">
        <v>0</v>
      </c>
      <c r="CG178" t="s">
        <v>1240</v>
      </c>
      <c r="CH178" t="s">
        <v>1321</v>
      </c>
      <c r="CI178">
        <v>0</v>
      </c>
      <c r="CJ178" s="38" t="s">
        <v>311</v>
      </c>
      <c r="CK178" s="38" t="s">
        <v>311</v>
      </c>
      <c r="CL178" s="38" t="s">
        <v>311</v>
      </c>
      <c r="CM178" s="38" t="s">
        <v>311</v>
      </c>
      <c r="CN178" s="38" t="s">
        <v>311</v>
      </c>
      <c r="CO178" s="38" t="s">
        <v>311</v>
      </c>
      <c r="CP178" s="38">
        <v>0.2</v>
      </c>
      <c r="CQ178" t="s">
        <v>1824</v>
      </c>
      <c r="CR178" t="s">
        <v>1820</v>
      </c>
    </row>
    <row r="179" spans="1:96">
      <c r="A179">
        <v>178</v>
      </c>
      <c r="B179">
        <v>26</v>
      </c>
      <c r="C179">
        <v>8</v>
      </c>
      <c r="D179" t="s">
        <v>155</v>
      </c>
      <c r="E179" t="s">
        <v>156</v>
      </c>
      <c r="F179" t="s">
        <v>53</v>
      </c>
      <c r="G179">
        <v>2001</v>
      </c>
      <c r="H179" t="s">
        <v>459</v>
      </c>
      <c r="I179" t="s">
        <v>460</v>
      </c>
      <c r="J179">
        <v>29.704194999999999</v>
      </c>
      <c r="K179">
        <v>-85.469155999999998</v>
      </c>
      <c r="L179" t="s">
        <v>361</v>
      </c>
      <c r="M179" t="s">
        <v>409</v>
      </c>
      <c r="N179" t="s">
        <v>531</v>
      </c>
      <c r="O179" t="s">
        <v>532</v>
      </c>
      <c r="P179" t="s">
        <v>693</v>
      </c>
      <c r="Q179" t="s">
        <v>419</v>
      </c>
      <c r="R179" t="s">
        <v>550</v>
      </c>
      <c r="S179" t="s">
        <v>717</v>
      </c>
      <c r="T179" t="s">
        <v>331</v>
      </c>
      <c r="U179">
        <v>3</v>
      </c>
      <c r="V179" t="s">
        <v>559</v>
      </c>
      <c r="W179">
        <v>1997</v>
      </c>
      <c r="X179" t="s">
        <v>292</v>
      </c>
      <c r="Y179" t="s">
        <v>716</v>
      </c>
      <c r="Z179" t="s">
        <v>537</v>
      </c>
      <c r="AA179" t="s">
        <v>538</v>
      </c>
      <c r="AB179" t="s">
        <v>714</v>
      </c>
      <c r="AC179" t="s">
        <v>715</v>
      </c>
      <c r="AD179" t="s">
        <v>292</v>
      </c>
      <c r="AE179" t="s">
        <v>607</v>
      </c>
      <c r="AF179" t="s">
        <v>552</v>
      </c>
      <c r="AH179" t="s">
        <v>555</v>
      </c>
      <c r="AI179" t="s">
        <v>553</v>
      </c>
      <c r="AJ179" t="s">
        <v>554</v>
      </c>
      <c r="AK179" t="s">
        <v>549</v>
      </c>
      <c r="AL179" t="s">
        <v>357</v>
      </c>
      <c r="AM179" t="s">
        <v>1059</v>
      </c>
      <c r="AN179" t="s">
        <v>1277</v>
      </c>
      <c r="AO179" t="s">
        <v>1285</v>
      </c>
      <c r="AP179" t="s">
        <v>614</v>
      </c>
      <c r="AQ179" t="s">
        <v>887</v>
      </c>
      <c r="AR179">
        <v>4.9009900990099</v>
      </c>
      <c r="AS179" t="s">
        <v>311</v>
      </c>
      <c r="AT179">
        <v>0.76567656765675984</v>
      </c>
      <c r="AU179">
        <v>6</v>
      </c>
      <c r="AV179">
        <v>3.3960396039603902</v>
      </c>
      <c r="AW179" t="s">
        <v>311</v>
      </c>
      <c r="AX179">
        <v>0.43564356435644003</v>
      </c>
      <c r="AY179">
        <v>6</v>
      </c>
      <c r="AZ179" t="s">
        <v>1055</v>
      </c>
      <c r="BA179" t="s">
        <v>1679</v>
      </c>
      <c r="BB179">
        <v>12</v>
      </c>
      <c r="BC179" t="s">
        <v>1672</v>
      </c>
      <c r="BD179" t="s">
        <v>311</v>
      </c>
      <c r="BE179" t="s">
        <v>1880</v>
      </c>
      <c r="BF179" t="s">
        <v>311</v>
      </c>
      <c r="BG179" t="s">
        <v>311</v>
      </c>
      <c r="BH179" t="s">
        <v>311</v>
      </c>
      <c r="BI179" t="s">
        <v>311</v>
      </c>
      <c r="BJ179" t="s">
        <v>311</v>
      </c>
      <c r="BK179" t="s">
        <v>311</v>
      </c>
      <c r="BL179" t="s">
        <v>311</v>
      </c>
      <c r="BM179" t="s">
        <v>311</v>
      </c>
      <c r="BN179" t="s">
        <v>311</v>
      </c>
      <c r="BO179" t="s">
        <v>311</v>
      </c>
      <c r="BP179" t="s">
        <v>311</v>
      </c>
      <c r="BQ179" t="s">
        <v>311</v>
      </c>
      <c r="BR179" t="s">
        <v>311</v>
      </c>
      <c r="BS179" t="s">
        <v>311</v>
      </c>
      <c r="BT179" t="s">
        <v>311</v>
      </c>
      <c r="BU179" t="s">
        <v>311</v>
      </c>
      <c r="BV179" t="s">
        <v>311</v>
      </c>
      <c r="BW179" t="s">
        <v>311</v>
      </c>
      <c r="BX179" t="s">
        <v>1126</v>
      </c>
      <c r="BY179" t="s">
        <v>1203</v>
      </c>
      <c r="BZ179">
        <v>1.3579999999999999</v>
      </c>
      <c r="CA179">
        <v>25</v>
      </c>
      <c r="CB179" t="s">
        <v>1210</v>
      </c>
      <c r="CC179" t="s">
        <v>1210</v>
      </c>
      <c r="CD179" t="s">
        <v>1240</v>
      </c>
      <c r="CE179" t="s">
        <v>1321</v>
      </c>
      <c r="CF179">
        <v>0</v>
      </c>
      <c r="CG179" t="s">
        <v>1240</v>
      </c>
      <c r="CH179" t="s">
        <v>1321</v>
      </c>
      <c r="CI179">
        <v>0</v>
      </c>
      <c r="CJ179" s="38" t="s">
        <v>311</v>
      </c>
      <c r="CK179" s="38" t="s">
        <v>311</v>
      </c>
      <c r="CL179" s="38" t="s">
        <v>311</v>
      </c>
      <c r="CM179" s="38" t="s">
        <v>311</v>
      </c>
      <c r="CN179" s="38" t="s">
        <v>311</v>
      </c>
      <c r="CO179" s="38" t="s">
        <v>311</v>
      </c>
      <c r="CP179" s="38">
        <v>0.2</v>
      </c>
      <c r="CQ179" t="s">
        <v>1724</v>
      </c>
      <c r="CR179" t="s">
        <v>1821</v>
      </c>
    </row>
    <row r="180" spans="1:96">
      <c r="A180">
        <v>179</v>
      </c>
      <c r="B180">
        <v>26</v>
      </c>
      <c r="C180">
        <v>9</v>
      </c>
      <c r="D180" t="s">
        <v>155</v>
      </c>
      <c r="E180" t="s">
        <v>156</v>
      </c>
      <c r="F180" t="s">
        <v>53</v>
      </c>
      <c r="G180">
        <v>2001</v>
      </c>
      <c r="H180" t="s">
        <v>459</v>
      </c>
      <c r="I180" t="s">
        <v>460</v>
      </c>
      <c r="J180">
        <v>29.704194999999999</v>
      </c>
      <c r="K180">
        <v>-85.469155999999998</v>
      </c>
      <c r="L180" t="s">
        <v>361</v>
      </c>
      <c r="M180" t="s">
        <v>409</v>
      </c>
      <c r="N180" t="s">
        <v>531</v>
      </c>
      <c r="O180" t="s">
        <v>532</v>
      </c>
      <c r="P180" t="s">
        <v>693</v>
      </c>
      <c r="Q180" t="s">
        <v>419</v>
      </c>
      <c r="R180" t="s">
        <v>550</v>
      </c>
      <c r="S180" t="s">
        <v>717</v>
      </c>
      <c r="T180" t="s">
        <v>331</v>
      </c>
      <c r="U180">
        <v>3</v>
      </c>
      <c r="V180" t="s">
        <v>535</v>
      </c>
      <c r="W180">
        <v>1997</v>
      </c>
      <c r="X180" t="s">
        <v>292</v>
      </c>
      <c r="Y180" t="s">
        <v>716</v>
      </c>
      <c r="Z180" t="s">
        <v>537</v>
      </c>
      <c r="AA180" t="s">
        <v>538</v>
      </c>
      <c r="AB180" t="s">
        <v>714</v>
      </c>
      <c r="AC180" t="s">
        <v>715</v>
      </c>
      <c r="AD180" t="s">
        <v>292</v>
      </c>
      <c r="AE180" t="s">
        <v>607</v>
      </c>
      <c r="AF180" t="s">
        <v>552</v>
      </c>
      <c r="AH180" t="s">
        <v>555</v>
      </c>
      <c r="AI180" t="s">
        <v>553</v>
      </c>
      <c r="AJ180" t="s">
        <v>554</v>
      </c>
      <c r="AK180" t="s">
        <v>549</v>
      </c>
      <c r="AL180" t="s">
        <v>357</v>
      </c>
      <c r="AM180" t="s">
        <v>1059</v>
      </c>
      <c r="AN180" t="s">
        <v>1277</v>
      </c>
      <c r="AO180" t="s">
        <v>1285</v>
      </c>
      <c r="AP180" t="s">
        <v>614</v>
      </c>
      <c r="AQ180" t="s">
        <v>887</v>
      </c>
      <c r="AR180">
        <v>4.5841584158415802</v>
      </c>
      <c r="AS180" t="s">
        <v>311</v>
      </c>
      <c r="AT180">
        <v>0.47524752475246945</v>
      </c>
      <c r="AU180">
        <v>6</v>
      </c>
      <c r="AV180">
        <v>2.9735973597359702</v>
      </c>
      <c r="AW180" t="s">
        <v>311</v>
      </c>
      <c r="AX180">
        <v>0.22442244224422003</v>
      </c>
      <c r="AY180">
        <v>6</v>
      </c>
      <c r="AZ180" t="s">
        <v>1055</v>
      </c>
      <c r="BA180" t="s">
        <v>1679</v>
      </c>
      <c r="BB180">
        <v>12</v>
      </c>
      <c r="BC180" t="s">
        <v>1672</v>
      </c>
      <c r="BD180" t="s">
        <v>311</v>
      </c>
      <c r="BE180" t="s">
        <v>1880</v>
      </c>
      <c r="BF180" t="s">
        <v>311</v>
      </c>
      <c r="BG180" t="s">
        <v>311</v>
      </c>
      <c r="BH180" t="s">
        <v>311</v>
      </c>
      <c r="BI180" t="s">
        <v>311</v>
      </c>
      <c r="BJ180" t="s">
        <v>311</v>
      </c>
      <c r="BK180" t="s">
        <v>311</v>
      </c>
      <c r="BL180" t="s">
        <v>311</v>
      </c>
      <c r="BM180" t="s">
        <v>311</v>
      </c>
      <c r="BN180" t="s">
        <v>311</v>
      </c>
      <c r="BO180" t="s">
        <v>311</v>
      </c>
      <c r="BP180" t="s">
        <v>311</v>
      </c>
      <c r="BQ180" t="s">
        <v>311</v>
      </c>
      <c r="BR180" t="s">
        <v>311</v>
      </c>
      <c r="BS180" t="s">
        <v>311</v>
      </c>
      <c r="BT180" t="s">
        <v>311</v>
      </c>
      <c r="BU180" t="s">
        <v>311</v>
      </c>
      <c r="BV180" t="s">
        <v>311</v>
      </c>
      <c r="BW180" t="s">
        <v>311</v>
      </c>
      <c r="BX180" t="s">
        <v>1126</v>
      </c>
      <c r="BY180" t="s">
        <v>1203</v>
      </c>
      <c r="BZ180">
        <v>1.3579999999999999</v>
      </c>
      <c r="CA180">
        <v>25</v>
      </c>
      <c r="CB180" t="s">
        <v>1210</v>
      </c>
      <c r="CC180" t="s">
        <v>1210</v>
      </c>
      <c r="CD180" t="s">
        <v>1240</v>
      </c>
      <c r="CE180" t="s">
        <v>1321</v>
      </c>
      <c r="CF180">
        <v>0</v>
      </c>
      <c r="CG180" t="s">
        <v>1240</v>
      </c>
      <c r="CH180" t="s">
        <v>1321</v>
      </c>
      <c r="CI180">
        <v>0</v>
      </c>
      <c r="CJ180" s="38" t="s">
        <v>311</v>
      </c>
      <c r="CK180" s="38" t="s">
        <v>311</v>
      </c>
      <c r="CL180" s="38" t="s">
        <v>311</v>
      </c>
      <c r="CM180" s="38" t="s">
        <v>311</v>
      </c>
      <c r="CN180" s="38" t="s">
        <v>311</v>
      </c>
      <c r="CO180" s="38" t="s">
        <v>311</v>
      </c>
      <c r="CP180" s="38">
        <v>0.2</v>
      </c>
      <c r="CQ180" t="s">
        <v>1724</v>
      </c>
      <c r="CR180" t="s">
        <v>1822</v>
      </c>
    </row>
    <row r="181" spans="1:96">
      <c r="A181">
        <v>180</v>
      </c>
      <c r="B181">
        <v>26</v>
      </c>
      <c r="C181">
        <v>10</v>
      </c>
      <c r="D181" t="s">
        <v>155</v>
      </c>
      <c r="E181" t="s">
        <v>156</v>
      </c>
      <c r="F181" t="s">
        <v>53</v>
      </c>
      <c r="G181">
        <v>2001</v>
      </c>
      <c r="H181" t="s">
        <v>459</v>
      </c>
      <c r="I181" t="s">
        <v>460</v>
      </c>
      <c r="J181">
        <v>29.704194999999999</v>
      </c>
      <c r="K181">
        <v>-85.469155999999998</v>
      </c>
      <c r="L181" t="s">
        <v>361</v>
      </c>
      <c r="M181" t="s">
        <v>409</v>
      </c>
      <c r="N181" t="s">
        <v>531</v>
      </c>
      <c r="O181" t="s">
        <v>532</v>
      </c>
      <c r="P181" t="s">
        <v>693</v>
      </c>
      <c r="Q181" t="s">
        <v>419</v>
      </c>
      <c r="R181" t="s">
        <v>550</v>
      </c>
      <c r="S181" t="s">
        <v>717</v>
      </c>
      <c r="T181" t="s">
        <v>331</v>
      </c>
      <c r="U181">
        <v>3</v>
      </c>
      <c r="V181" t="s">
        <v>535</v>
      </c>
      <c r="W181">
        <v>1997</v>
      </c>
      <c r="X181" t="s">
        <v>292</v>
      </c>
      <c r="Y181" t="s">
        <v>716</v>
      </c>
      <c r="Z181" t="s">
        <v>537</v>
      </c>
      <c r="AA181" t="s">
        <v>538</v>
      </c>
      <c r="AB181" t="s">
        <v>714</v>
      </c>
      <c r="AC181" t="s">
        <v>715</v>
      </c>
      <c r="AD181" t="s">
        <v>292</v>
      </c>
      <c r="AE181" t="s">
        <v>607</v>
      </c>
      <c r="AF181" t="s">
        <v>552</v>
      </c>
      <c r="AH181" t="s">
        <v>555</v>
      </c>
      <c r="AI181" t="s">
        <v>553</v>
      </c>
      <c r="AJ181" t="s">
        <v>554</v>
      </c>
      <c r="AK181" t="s">
        <v>549</v>
      </c>
      <c r="AL181" t="s">
        <v>357</v>
      </c>
      <c r="AM181" t="s">
        <v>1059</v>
      </c>
      <c r="AN181" t="s">
        <v>1277</v>
      </c>
      <c r="AO181" t="s">
        <v>1285</v>
      </c>
      <c r="AP181" t="s">
        <v>614</v>
      </c>
      <c r="AQ181" t="s">
        <v>887</v>
      </c>
      <c r="AR181">
        <v>5.5610561056105601</v>
      </c>
      <c r="AS181" t="s">
        <v>311</v>
      </c>
      <c r="AT181">
        <v>0.85808580858085026</v>
      </c>
      <c r="AU181">
        <v>6</v>
      </c>
      <c r="AV181">
        <v>3.62046204620462</v>
      </c>
      <c r="AW181" t="s">
        <v>311</v>
      </c>
      <c r="AX181">
        <v>0.22442244224422003</v>
      </c>
      <c r="AY181">
        <v>6</v>
      </c>
      <c r="AZ181" t="s">
        <v>1055</v>
      </c>
      <c r="BA181" t="s">
        <v>1679</v>
      </c>
      <c r="BB181">
        <v>12</v>
      </c>
      <c r="BC181" t="s">
        <v>1672</v>
      </c>
      <c r="BD181" t="s">
        <v>311</v>
      </c>
      <c r="BE181" t="s">
        <v>1880</v>
      </c>
      <c r="BF181" t="s">
        <v>311</v>
      </c>
      <c r="BG181" t="s">
        <v>311</v>
      </c>
      <c r="BH181" t="s">
        <v>311</v>
      </c>
      <c r="BI181" t="s">
        <v>311</v>
      </c>
      <c r="BJ181" t="s">
        <v>311</v>
      </c>
      <c r="BK181" t="s">
        <v>311</v>
      </c>
      <c r="BL181" t="s">
        <v>311</v>
      </c>
      <c r="BM181" t="s">
        <v>311</v>
      </c>
      <c r="BN181" t="s">
        <v>311</v>
      </c>
      <c r="BO181" t="s">
        <v>311</v>
      </c>
      <c r="BP181" t="s">
        <v>311</v>
      </c>
      <c r="BQ181" t="s">
        <v>311</v>
      </c>
      <c r="BR181" t="s">
        <v>311</v>
      </c>
      <c r="BS181" t="s">
        <v>311</v>
      </c>
      <c r="BT181" t="s">
        <v>311</v>
      </c>
      <c r="BU181" t="s">
        <v>311</v>
      </c>
      <c r="BV181" t="s">
        <v>311</v>
      </c>
      <c r="BW181" t="s">
        <v>311</v>
      </c>
      <c r="BX181" t="s">
        <v>1126</v>
      </c>
      <c r="BY181" t="s">
        <v>1203</v>
      </c>
      <c r="BZ181">
        <v>1.3579999999999999</v>
      </c>
      <c r="CA181">
        <v>25</v>
      </c>
      <c r="CB181" t="s">
        <v>1210</v>
      </c>
      <c r="CC181" t="s">
        <v>1210</v>
      </c>
      <c r="CD181" t="s">
        <v>1240</v>
      </c>
      <c r="CE181" t="s">
        <v>1321</v>
      </c>
      <c r="CF181">
        <v>0</v>
      </c>
      <c r="CG181" t="s">
        <v>1240</v>
      </c>
      <c r="CH181" t="s">
        <v>1321</v>
      </c>
      <c r="CI181">
        <v>0</v>
      </c>
      <c r="CJ181" s="38" t="s">
        <v>311</v>
      </c>
      <c r="CK181" s="38" t="s">
        <v>311</v>
      </c>
      <c r="CL181" s="38" t="s">
        <v>311</v>
      </c>
      <c r="CM181" s="38" t="s">
        <v>311</v>
      </c>
      <c r="CN181" s="38" t="s">
        <v>311</v>
      </c>
      <c r="CO181" s="38" t="s">
        <v>311</v>
      </c>
      <c r="CP181" s="38">
        <v>0.2</v>
      </c>
      <c r="CQ181" t="s">
        <v>1724</v>
      </c>
      <c r="CR181" t="s">
        <v>1823</v>
      </c>
    </row>
    <row r="182" spans="1:96">
      <c r="A182">
        <v>181</v>
      </c>
      <c r="B182">
        <v>26</v>
      </c>
      <c r="C182">
        <v>11</v>
      </c>
      <c r="D182" t="s">
        <v>155</v>
      </c>
      <c r="E182" t="s">
        <v>156</v>
      </c>
      <c r="F182" t="s">
        <v>53</v>
      </c>
      <c r="G182">
        <v>2001</v>
      </c>
      <c r="H182" t="s">
        <v>459</v>
      </c>
      <c r="I182" t="s">
        <v>460</v>
      </c>
      <c r="J182">
        <v>29.704194999999999</v>
      </c>
      <c r="K182">
        <v>-85.469155999999998</v>
      </c>
      <c r="L182" t="s">
        <v>361</v>
      </c>
      <c r="M182" t="s">
        <v>409</v>
      </c>
      <c r="N182" t="s">
        <v>531</v>
      </c>
      <c r="O182" t="s">
        <v>532</v>
      </c>
      <c r="P182" t="s">
        <v>693</v>
      </c>
      <c r="Q182" t="s">
        <v>419</v>
      </c>
      <c r="R182" t="s">
        <v>550</v>
      </c>
      <c r="S182" t="s">
        <v>717</v>
      </c>
      <c r="T182" t="s">
        <v>331</v>
      </c>
      <c r="U182">
        <v>3</v>
      </c>
      <c r="V182" t="s">
        <v>752</v>
      </c>
      <c r="W182">
        <v>1997</v>
      </c>
      <c r="X182" t="s">
        <v>292</v>
      </c>
      <c r="Y182" t="s">
        <v>716</v>
      </c>
      <c r="Z182" t="s">
        <v>537</v>
      </c>
      <c r="AA182" t="s">
        <v>538</v>
      </c>
      <c r="AB182" t="s">
        <v>714</v>
      </c>
      <c r="AC182" t="s">
        <v>715</v>
      </c>
      <c r="AD182" t="s">
        <v>292</v>
      </c>
      <c r="AE182" t="s">
        <v>607</v>
      </c>
      <c r="AF182" t="s">
        <v>552</v>
      </c>
      <c r="AH182" t="s">
        <v>555</v>
      </c>
      <c r="AI182" t="s">
        <v>553</v>
      </c>
      <c r="AJ182" t="s">
        <v>554</v>
      </c>
      <c r="AK182" t="s">
        <v>549</v>
      </c>
      <c r="AL182" t="s">
        <v>357</v>
      </c>
      <c r="AM182" t="s">
        <v>1059</v>
      </c>
      <c r="AN182" t="s">
        <v>1277</v>
      </c>
      <c r="AO182" t="s">
        <v>1285</v>
      </c>
      <c r="AP182" t="s">
        <v>614</v>
      </c>
      <c r="AQ182" t="s">
        <v>887</v>
      </c>
      <c r="AR182">
        <v>5.9966996699669899</v>
      </c>
      <c r="AS182" t="s">
        <v>311</v>
      </c>
      <c r="AT182">
        <v>1.5049504950495098</v>
      </c>
      <c r="AU182">
        <v>6</v>
      </c>
      <c r="AV182">
        <v>3.5016501650165002</v>
      </c>
      <c r="AW182" t="s">
        <v>311</v>
      </c>
      <c r="AX182">
        <v>0.22442244224422003</v>
      </c>
      <c r="AY182">
        <v>6</v>
      </c>
      <c r="AZ182" t="s">
        <v>1055</v>
      </c>
      <c r="BA182" t="s">
        <v>1679</v>
      </c>
      <c r="BB182">
        <v>12</v>
      </c>
      <c r="BC182" t="s">
        <v>1672</v>
      </c>
      <c r="BD182" t="s">
        <v>311</v>
      </c>
      <c r="BE182" t="s">
        <v>1880</v>
      </c>
      <c r="BF182" t="s">
        <v>311</v>
      </c>
      <c r="BG182" t="s">
        <v>311</v>
      </c>
      <c r="BH182" t="s">
        <v>311</v>
      </c>
      <c r="BI182" t="s">
        <v>311</v>
      </c>
      <c r="BJ182" t="s">
        <v>311</v>
      </c>
      <c r="BK182" t="s">
        <v>311</v>
      </c>
      <c r="BL182" t="s">
        <v>311</v>
      </c>
      <c r="BM182" t="s">
        <v>311</v>
      </c>
      <c r="BN182" t="s">
        <v>311</v>
      </c>
      <c r="BO182" t="s">
        <v>311</v>
      </c>
      <c r="BP182" t="s">
        <v>311</v>
      </c>
      <c r="BQ182" t="s">
        <v>311</v>
      </c>
      <c r="BR182" t="s">
        <v>311</v>
      </c>
      <c r="BS182" t="s">
        <v>311</v>
      </c>
      <c r="BT182" t="s">
        <v>311</v>
      </c>
      <c r="BU182" t="s">
        <v>311</v>
      </c>
      <c r="BV182" t="s">
        <v>311</v>
      </c>
      <c r="BW182" t="s">
        <v>311</v>
      </c>
      <c r="BX182" t="s">
        <v>1126</v>
      </c>
      <c r="BY182" t="s">
        <v>1203</v>
      </c>
      <c r="BZ182">
        <v>1.3579999999999999</v>
      </c>
      <c r="CA182">
        <v>25</v>
      </c>
      <c r="CB182" t="s">
        <v>1210</v>
      </c>
      <c r="CC182" t="s">
        <v>1210</v>
      </c>
      <c r="CD182" t="s">
        <v>1240</v>
      </c>
      <c r="CE182" t="s">
        <v>1321</v>
      </c>
      <c r="CF182">
        <v>0</v>
      </c>
      <c r="CG182" t="s">
        <v>1240</v>
      </c>
      <c r="CH182" t="s">
        <v>1321</v>
      </c>
      <c r="CI182">
        <v>0</v>
      </c>
      <c r="CJ182" s="38" t="s">
        <v>311</v>
      </c>
      <c r="CK182" s="38" t="s">
        <v>311</v>
      </c>
      <c r="CL182" s="38" t="s">
        <v>311</v>
      </c>
      <c r="CM182" s="38" t="s">
        <v>311</v>
      </c>
      <c r="CN182" s="38" t="s">
        <v>311</v>
      </c>
      <c r="CO182" s="38" t="s">
        <v>311</v>
      </c>
      <c r="CP182" s="38">
        <v>0.2</v>
      </c>
      <c r="CQ182" t="s">
        <v>1724</v>
      </c>
      <c r="CR182" t="s">
        <v>1827</v>
      </c>
    </row>
    <row r="183" spans="1:96">
      <c r="A183">
        <v>182</v>
      </c>
      <c r="B183">
        <v>26</v>
      </c>
      <c r="C183">
        <v>12</v>
      </c>
      <c r="D183" t="s">
        <v>155</v>
      </c>
      <c r="E183" t="s">
        <v>156</v>
      </c>
      <c r="F183" t="s">
        <v>53</v>
      </c>
      <c r="G183">
        <v>2001</v>
      </c>
      <c r="H183" t="s">
        <v>459</v>
      </c>
      <c r="I183" t="s">
        <v>460</v>
      </c>
      <c r="J183">
        <v>29.704194999999999</v>
      </c>
      <c r="K183">
        <v>-85.469155999999998</v>
      </c>
      <c r="L183" t="s">
        <v>361</v>
      </c>
      <c r="M183" t="s">
        <v>409</v>
      </c>
      <c r="N183" t="s">
        <v>531</v>
      </c>
      <c r="O183" t="s">
        <v>532</v>
      </c>
      <c r="P183" t="s">
        <v>693</v>
      </c>
      <c r="Q183" t="s">
        <v>419</v>
      </c>
      <c r="R183" t="s">
        <v>550</v>
      </c>
      <c r="S183" t="s">
        <v>717</v>
      </c>
      <c r="T183" t="s">
        <v>331</v>
      </c>
      <c r="U183">
        <v>3</v>
      </c>
      <c r="V183" t="s">
        <v>752</v>
      </c>
      <c r="W183">
        <v>1997</v>
      </c>
      <c r="X183" t="s">
        <v>292</v>
      </c>
      <c r="Y183" t="s">
        <v>716</v>
      </c>
      <c r="Z183" t="s">
        <v>537</v>
      </c>
      <c r="AA183" t="s">
        <v>538</v>
      </c>
      <c r="AB183" t="s">
        <v>714</v>
      </c>
      <c r="AC183" t="s">
        <v>715</v>
      </c>
      <c r="AD183" t="s">
        <v>340</v>
      </c>
      <c r="AE183" t="s">
        <v>311</v>
      </c>
      <c r="AF183" t="s">
        <v>567</v>
      </c>
      <c r="AG183" t="s">
        <v>1900</v>
      </c>
      <c r="AH183" t="s">
        <v>311</v>
      </c>
      <c r="AI183" t="s">
        <v>311</v>
      </c>
      <c r="AJ183" t="s">
        <v>311</v>
      </c>
      <c r="AK183" t="s">
        <v>1828</v>
      </c>
      <c r="AL183" t="s">
        <v>357</v>
      </c>
      <c r="AM183" t="s">
        <v>1059</v>
      </c>
      <c r="AN183" t="s">
        <v>584</v>
      </c>
      <c r="AO183" t="s">
        <v>1285</v>
      </c>
      <c r="AP183" t="s">
        <v>614</v>
      </c>
      <c r="AQ183" t="s">
        <v>614</v>
      </c>
      <c r="AR183">
        <v>0.23198380566801613</v>
      </c>
      <c r="AS183">
        <v>9.6276291097926476E-3</v>
      </c>
      <c r="AT183" t="s">
        <v>311</v>
      </c>
      <c r="AU183">
        <v>6</v>
      </c>
      <c r="AV183">
        <v>0.48218623481781403</v>
      </c>
      <c r="AW183">
        <v>1.3230878249690837E-2</v>
      </c>
      <c r="AX183" t="s">
        <v>311</v>
      </c>
      <c r="AY183">
        <v>6</v>
      </c>
      <c r="AZ183" t="s">
        <v>1055</v>
      </c>
      <c r="BA183" t="s">
        <v>1679</v>
      </c>
      <c r="BB183">
        <v>123</v>
      </c>
      <c r="BC183" t="s">
        <v>1672</v>
      </c>
      <c r="BD183" t="s">
        <v>311</v>
      </c>
      <c r="BE183" t="s">
        <v>1880</v>
      </c>
      <c r="BF183" t="s">
        <v>311</v>
      </c>
      <c r="BG183" t="s">
        <v>311</v>
      </c>
      <c r="BH183" t="s">
        <v>311</v>
      </c>
      <c r="BI183" t="s">
        <v>311</v>
      </c>
      <c r="BJ183" t="s">
        <v>311</v>
      </c>
      <c r="BK183" t="s">
        <v>311</v>
      </c>
      <c r="BL183" t="s">
        <v>311</v>
      </c>
      <c r="BM183" t="s">
        <v>311</v>
      </c>
      <c r="BN183" t="s">
        <v>311</v>
      </c>
      <c r="BO183" t="s">
        <v>311</v>
      </c>
      <c r="BP183" t="s">
        <v>311</v>
      </c>
      <c r="BQ183" t="s">
        <v>311</v>
      </c>
      <c r="BR183" t="s">
        <v>311</v>
      </c>
      <c r="BS183" t="s">
        <v>311</v>
      </c>
      <c r="BT183" t="s">
        <v>311</v>
      </c>
      <c r="BU183" t="s">
        <v>311</v>
      </c>
      <c r="BV183" t="s">
        <v>311</v>
      </c>
      <c r="BW183" t="s">
        <v>311</v>
      </c>
      <c r="BX183" t="s">
        <v>1126</v>
      </c>
      <c r="BY183" t="s">
        <v>1203</v>
      </c>
      <c r="BZ183">
        <v>1.3579999999999999</v>
      </c>
      <c r="CA183">
        <v>25</v>
      </c>
      <c r="CB183" t="s">
        <v>1210</v>
      </c>
      <c r="CC183" t="s">
        <v>1210</v>
      </c>
      <c r="CD183" t="s">
        <v>1240</v>
      </c>
      <c r="CE183" t="s">
        <v>1321</v>
      </c>
      <c r="CF183">
        <v>0</v>
      </c>
      <c r="CG183" t="s">
        <v>1240</v>
      </c>
      <c r="CH183" t="s">
        <v>1321</v>
      </c>
      <c r="CI183">
        <v>0</v>
      </c>
      <c r="CJ183" s="38" t="s">
        <v>311</v>
      </c>
      <c r="CK183" s="38" t="s">
        <v>311</v>
      </c>
      <c r="CL183" s="38" t="s">
        <v>311</v>
      </c>
      <c r="CM183" s="38" t="s">
        <v>311</v>
      </c>
      <c r="CN183" s="38" t="s">
        <v>311</v>
      </c>
      <c r="CO183" s="38" t="s">
        <v>311</v>
      </c>
      <c r="CP183" s="38">
        <v>0.2</v>
      </c>
      <c r="CQ183" t="s">
        <v>1829</v>
      </c>
      <c r="CR183" t="s">
        <v>1830</v>
      </c>
    </row>
    <row r="184" spans="1:96" s="30" customFormat="1">
      <c r="A184">
        <v>183</v>
      </c>
      <c r="B184" s="30">
        <v>26</v>
      </c>
      <c r="C184" s="30">
        <v>13</v>
      </c>
      <c r="D184" s="30" t="s">
        <v>155</v>
      </c>
      <c r="E184" s="30" t="s">
        <v>156</v>
      </c>
      <c r="F184" s="30" t="s">
        <v>53</v>
      </c>
      <c r="G184" s="30">
        <v>2001</v>
      </c>
      <c r="H184" s="30" t="s">
        <v>459</v>
      </c>
      <c r="I184" s="30" t="s">
        <v>460</v>
      </c>
      <c r="J184" s="30">
        <v>29.704194999999999</v>
      </c>
      <c r="K184" s="30">
        <v>-85.469155999999998</v>
      </c>
      <c r="L184" s="30" t="s">
        <v>361</v>
      </c>
      <c r="M184" s="30" t="s">
        <v>409</v>
      </c>
      <c r="N184" s="30" t="s">
        <v>531</v>
      </c>
      <c r="O184" s="30" t="s">
        <v>532</v>
      </c>
      <c r="P184" s="30" t="s">
        <v>693</v>
      </c>
      <c r="Q184" s="30" t="s">
        <v>419</v>
      </c>
      <c r="R184" s="30" t="s">
        <v>550</v>
      </c>
      <c r="S184" s="30" t="s">
        <v>717</v>
      </c>
      <c r="T184" s="30" t="s">
        <v>331</v>
      </c>
      <c r="U184" s="30">
        <v>3</v>
      </c>
      <c r="V184" s="30" t="s">
        <v>752</v>
      </c>
      <c r="W184" s="30">
        <v>1997</v>
      </c>
      <c r="X184" s="30" t="s">
        <v>292</v>
      </c>
      <c r="Y184" s="30" t="s">
        <v>716</v>
      </c>
      <c r="Z184" s="30" t="s">
        <v>537</v>
      </c>
      <c r="AA184" s="30" t="s">
        <v>538</v>
      </c>
      <c r="AB184" s="30" t="s">
        <v>714</v>
      </c>
      <c r="AC184" s="30" t="s">
        <v>715</v>
      </c>
      <c r="AD184" s="30" t="s">
        <v>340</v>
      </c>
      <c r="AE184" s="30" t="s">
        <v>311</v>
      </c>
      <c r="AF184" s="30" t="s">
        <v>567</v>
      </c>
      <c r="AG184" s="30" t="s">
        <v>1900</v>
      </c>
      <c r="AH184" s="30" t="s">
        <v>311</v>
      </c>
      <c r="AI184" s="30" t="s">
        <v>311</v>
      </c>
      <c r="AJ184" s="30" t="s">
        <v>311</v>
      </c>
      <c r="AK184" s="30" t="s">
        <v>1828</v>
      </c>
      <c r="AL184" s="30" t="s">
        <v>357</v>
      </c>
      <c r="AM184" s="30" t="s">
        <v>1059</v>
      </c>
      <c r="AN184" s="30" t="s">
        <v>584</v>
      </c>
      <c r="AO184" s="30" t="s">
        <v>1285</v>
      </c>
      <c r="AP184" s="30" t="s">
        <v>887</v>
      </c>
      <c r="AQ184" s="30" t="s">
        <v>614</v>
      </c>
      <c r="AR184" s="31">
        <v>0.29757085020242902</v>
      </c>
      <c r="AS184" s="30">
        <v>5.454329386763883E-3</v>
      </c>
      <c r="AT184" s="30" t="s">
        <v>311</v>
      </c>
      <c r="AU184" s="30">
        <v>6</v>
      </c>
      <c r="AV184" s="31">
        <v>0.59514170040485803</v>
      </c>
      <c r="AW184" s="30">
        <v>1.2892051277806151E-2</v>
      </c>
      <c r="AX184" s="30" t="s">
        <v>311</v>
      </c>
      <c r="AY184" s="30">
        <v>6</v>
      </c>
      <c r="AZ184" s="30" t="s">
        <v>1055</v>
      </c>
      <c r="BA184" s="30" t="s">
        <v>1679</v>
      </c>
      <c r="BB184">
        <v>123</v>
      </c>
      <c r="BC184" s="30" t="s">
        <v>1673</v>
      </c>
      <c r="BD184" s="30" t="s">
        <v>1763</v>
      </c>
      <c r="BE184" s="30" t="s">
        <v>1880</v>
      </c>
      <c r="BF184" s="30" t="s">
        <v>311</v>
      </c>
      <c r="BG184" s="30" t="s">
        <v>311</v>
      </c>
      <c r="BH184" s="30" t="s">
        <v>311</v>
      </c>
      <c r="BI184" s="30" t="s">
        <v>311</v>
      </c>
      <c r="BJ184" s="30" t="s">
        <v>311</v>
      </c>
      <c r="BK184" s="30" t="s">
        <v>311</v>
      </c>
      <c r="BL184" s="30" t="s">
        <v>311</v>
      </c>
      <c r="BM184" s="30" t="s">
        <v>311</v>
      </c>
      <c r="BN184" s="30" t="s">
        <v>311</v>
      </c>
      <c r="BO184" s="30" t="s">
        <v>311</v>
      </c>
      <c r="BP184" s="30" t="s">
        <v>311</v>
      </c>
      <c r="BQ184" s="30" t="s">
        <v>311</v>
      </c>
      <c r="BR184" s="30" t="s">
        <v>311</v>
      </c>
      <c r="BS184" s="30" t="s">
        <v>311</v>
      </c>
      <c r="BT184" s="30" t="s">
        <v>311</v>
      </c>
      <c r="BU184" s="30" t="s">
        <v>311</v>
      </c>
      <c r="BV184" s="30" t="s">
        <v>311</v>
      </c>
      <c r="BW184" s="30" t="s">
        <v>311</v>
      </c>
      <c r="BX184" s="30" t="s">
        <v>1126</v>
      </c>
      <c r="BY184" s="30" t="s">
        <v>1203</v>
      </c>
      <c r="BZ184" s="30">
        <v>1.3579999999999999</v>
      </c>
      <c r="CA184" s="30">
        <v>25</v>
      </c>
      <c r="CB184" s="30" t="s">
        <v>1210</v>
      </c>
      <c r="CC184" s="30" t="s">
        <v>1210</v>
      </c>
      <c r="CD184" s="30" t="s">
        <v>1240</v>
      </c>
      <c r="CE184" s="30" t="s">
        <v>1321</v>
      </c>
      <c r="CF184" s="30">
        <v>0</v>
      </c>
      <c r="CG184" s="30" t="s">
        <v>1240</v>
      </c>
      <c r="CH184" s="30" t="s">
        <v>1321</v>
      </c>
      <c r="CI184" s="30">
        <v>0</v>
      </c>
      <c r="CJ184" s="38" t="s">
        <v>311</v>
      </c>
      <c r="CK184" s="38" t="s">
        <v>311</v>
      </c>
      <c r="CL184" s="38" t="s">
        <v>311</v>
      </c>
      <c r="CM184" s="38" t="s">
        <v>311</v>
      </c>
      <c r="CN184" s="38" t="s">
        <v>311</v>
      </c>
      <c r="CO184" s="38" t="s">
        <v>311</v>
      </c>
      <c r="CP184" s="38">
        <v>0.2</v>
      </c>
      <c r="CQ184" s="30" t="s">
        <v>1831</v>
      </c>
      <c r="CR184" s="30" t="s">
        <v>1832</v>
      </c>
    </row>
    <row r="185" spans="1:96">
      <c r="A185">
        <v>184</v>
      </c>
      <c r="B185">
        <v>27</v>
      </c>
      <c r="C185">
        <v>1</v>
      </c>
      <c r="D185" t="s">
        <v>157</v>
      </c>
      <c r="E185" t="s">
        <v>158</v>
      </c>
      <c r="F185" t="s">
        <v>53</v>
      </c>
      <c r="G185">
        <v>2001</v>
      </c>
      <c r="H185" t="s">
        <v>1322</v>
      </c>
      <c r="I185" t="s">
        <v>1323</v>
      </c>
      <c r="J185">
        <v>-18.683333000000001</v>
      </c>
      <c r="K185">
        <v>146.58333300000001</v>
      </c>
      <c r="L185" t="s">
        <v>370</v>
      </c>
      <c r="M185" t="s">
        <v>410</v>
      </c>
      <c r="N185" t="s">
        <v>594</v>
      </c>
      <c r="O185" t="s">
        <v>288</v>
      </c>
      <c r="P185" t="s">
        <v>289</v>
      </c>
      <c r="Q185" t="s">
        <v>291</v>
      </c>
      <c r="R185" t="s">
        <v>558</v>
      </c>
      <c r="S185" t="s">
        <v>717</v>
      </c>
      <c r="T185" t="s">
        <v>330</v>
      </c>
      <c r="U185">
        <v>5</v>
      </c>
      <c r="V185" t="s">
        <v>311</v>
      </c>
      <c r="W185" t="s">
        <v>311</v>
      </c>
      <c r="X185" t="s">
        <v>340</v>
      </c>
      <c r="Y185" t="s">
        <v>311</v>
      </c>
      <c r="Z185" t="s">
        <v>760</v>
      </c>
      <c r="AA185" t="s">
        <v>761</v>
      </c>
      <c r="AB185" t="s">
        <v>311</v>
      </c>
      <c r="AC185" t="s">
        <v>311</v>
      </c>
      <c r="AD185" t="s">
        <v>309</v>
      </c>
      <c r="AE185" t="s">
        <v>311</v>
      </c>
      <c r="AF185" t="s">
        <v>342</v>
      </c>
      <c r="AH185" t="s">
        <v>311</v>
      </c>
      <c r="AI185" t="s">
        <v>311</v>
      </c>
      <c r="AJ185" t="s">
        <v>311</v>
      </c>
      <c r="AK185" t="s">
        <v>700</v>
      </c>
      <c r="AL185" t="s">
        <v>357</v>
      </c>
      <c r="AM185" t="s">
        <v>859</v>
      </c>
      <c r="AN185" t="s">
        <v>584</v>
      </c>
      <c r="AO185" t="s">
        <v>1284</v>
      </c>
      <c r="AP185" t="s">
        <v>887</v>
      </c>
      <c r="AQ185" t="s">
        <v>887</v>
      </c>
      <c r="AR185">
        <v>0.72352941176470598</v>
      </c>
      <c r="AS185">
        <v>5.2941176470588047E-2</v>
      </c>
      <c r="AT185" t="s">
        <v>311</v>
      </c>
      <c r="AU185">
        <v>10</v>
      </c>
      <c r="AV185">
        <v>0.76588235294117601</v>
      </c>
      <c r="AW185">
        <v>6.3529411764705945E-2</v>
      </c>
      <c r="AX185" t="s">
        <v>311</v>
      </c>
      <c r="AY185">
        <v>10</v>
      </c>
      <c r="AZ185" t="s">
        <v>1678</v>
      </c>
      <c r="BA185" t="s">
        <v>1680</v>
      </c>
      <c r="BB185">
        <v>6.25E-2</v>
      </c>
      <c r="BC185" t="s">
        <v>1672</v>
      </c>
      <c r="BD185" t="s">
        <v>1764</v>
      </c>
      <c r="BE185" t="s">
        <v>1881</v>
      </c>
      <c r="BF185">
        <v>2.34</v>
      </c>
      <c r="BG185" t="s">
        <v>311</v>
      </c>
      <c r="BH185">
        <v>0.49</v>
      </c>
      <c r="BI185" t="s">
        <v>311</v>
      </c>
      <c r="BJ185" t="s">
        <v>311</v>
      </c>
      <c r="BK185" t="s">
        <v>311</v>
      </c>
      <c r="BL185" t="s">
        <v>311</v>
      </c>
      <c r="BM185" t="s">
        <v>311</v>
      </c>
      <c r="BN185">
        <v>2</v>
      </c>
      <c r="BO185">
        <v>2</v>
      </c>
      <c r="BP185" t="s">
        <v>311</v>
      </c>
      <c r="BQ185" t="s">
        <v>311</v>
      </c>
      <c r="BR185" t="s">
        <v>311</v>
      </c>
      <c r="BS185" t="s">
        <v>311</v>
      </c>
      <c r="BT185" t="s">
        <v>311</v>
      </c>
      <c r="BU185" t="s">
        <v>311</v>
      </c>
      <c r="BV185" t="s">
        <v>311</v>
      </c>
      <c r="BW185" t="s">
        <v>311</v>
      </c>
      <c r="BX185" t="s">
        <v>1126</v>
      </c>
      <c r="BY185" t="s">
        <v>1203</v>
      </c>
      <c r="BZ185">
        <v>1.62</v>
      </c>
      <c r="CA185">
        <v>28</v>
      </c>
      <c r="CB185" t="s">
        <v>1209</v>
      </c>
      <c r="CC185" t="s">
        <v>1209</v>
      </c>
      <c r="CD185" t="s">
        <v>311</v>
      </c>
      <c r="CE185" t="s">
        <v>311</v>
      </c>
      <c r="CF185" t="s">
        <v>311</v>
      </c>
      <c r="CG185" t="s">
        <v>311</v>
      </c>
      <c r="CH185" t="s">
        <v>311</v>
      </c>
      <c r="CI185" t="s">
        <v>311</v>
      </c>
      <c r="CJ185" s="38" t="s">
        <v>311</v>
      </c>
      <c r="CK185" s="38" t="s">
        <v>311</v>
      </c>
      <c r="CL185" s="38" t="s">
        <v>311</v>
      </c>
      <c r="CM185" s="38" t="s">
        <v>311</v>
      </c>
      <c r="CN185" s="38" t="s">
        <v>311</v>
      </c>
      <c r="CO185" s="38" t="s">
        <v>311</v>
      </c>
      <c r="CP185" s="38">
        <v>0.15</v>
      </c>
      <c r="CQ185" t="s">
        <v>1725</v>
      </c>
      <c r="CR185" t="s">
        <v>1324</v>
      </c>
    </row>
    <row r="186" spans="1:96">
      <c r="A186">
        <v>185</v>
      </c>
      <c r="B186">
        <v>27</v>
      </c>
      <c r="C186">
        <v>2</v>
      </c>
      <c r="D186" t="s">
        <v>157</v>
      </c>
      <c r="E186" t="s">
        <v>158</v>
      </c>
      <c r="F186" t="s">
        <v>53</v>
      </c>
      <c r="G186">
        <v>2001</v>
      </c>
      <c r="H186" t="s">
        <v>1322</v>
      </c>
      <c r="I186" t="s">
        <v>1323</v>
      </c>
      <c r="J186">
        <v>-18.683333000000001</v>
      </c>
      <c r="K186">
        <v>146.58333300000001</v>
      </c>
      <c r="L186" t="s">
        <v>370</v>
      </c>
      <c r="M186" t="s">
        <v>410</v>
      </c>
      <c r="N186" t="s">
        <v>594</v>
      </c>
      <c r="O186" t="s">
        <v>288</v>
      </c>
      <c r="P186" t="s">
        <v>289</v>
      </c>
      <c r="Q186" t="s">
        <v>291</v>
      </c>
      <c r="R186" t="s">
        <v>558</v>
      </c>
      <c r="S186" t="s">
        <v>717</v>
      </c>
      <c r="T186" t="s">
        <v>330</v>
      </c>
      <c r="U186">
        <v>5</v>
      </c>
      <c r="V186" t="s">
        <v>311</v>
      </c>
      <c r="W186" t="s">
        <v>311</v>
      </c>
      <c r="X186" t="s">
        <v>340</v>
      </c>
      <c r="Y186" t="s">
        <v>311</v>
      </c>
      <c r="Z186" t="s">
        <v>760</v>
      </c>
      <c r="AA186" t="s">
        <v>761</v>
      </c>
      <c r="AB186" t="s">
        <v>311</v>
      </c>
      <c r="AC186" t="s">
        <v>311</v>
      </c>
      <c r="AD186" t="s">
        <v>309</v>
      </c>
      <c r="AE186" t="s">
        <v>311</v>
      </c>
      <c r="AF186" t="s">
        <v>342</v>
      </c>
      <c r="AH186" t="s">
        <v>311</v>
      </c>
      <c r="AI186" t="s">
        <v>311</v>
      </c>
      <c r="AJ186" t="s">
        <v>311</v>
      </c>
      <c r="AK186" t="s">
        <v>700</v>
      </c>
      <c r="AL186" t="s">
        <v>357</v>
      </c>
      <c r="AM186" t="s">
        <v>859</v>
      </c>
      <c r="AN186" t="s">
        <v>584</v>
      </c>
      <c r="AO186" t="s">
        <v>1284</v>
      </c>
      <c r="AP186" t="s">
        <v>887</v>
      </c>
      <c r="AQ186" t="s">
        <v>887</v>
      </c>
      <c r="AR186">
        <v>0.73411764705882299</v>
      </c>
      <c r="AS186">
        <v>5.647058823529405E-2</v>
      </c>
      <c r="AT186" t="s">
        <v>311</v>
      </c>
      <c r="AU186">
        <v>10</v>
      </c>
      <c r="AV186">
        <v>0.80823529411764705</v>
      </c>
      <c r="AW186">
        <v>5.2941176470587936E-2</v>
      </c>
      <c r="AX186" t="s">
        <v>311</v>
      </c>
      <c r="AY186">
        <v>10</v>
      </c>
      <c r="AZ186" t="s">
        <v>1678</v>
      </c>
      <c r="BA186" t="s">
        <v>1680</v>
      </c>
      <c r="BB186">
        <v>0.125</v>
      </c>
      <c r="BC186" t="s">
        <v>1672</v>
      </c>
      <c r="BD186" t="s">
        <v>1764</v>
      </c>
      <c r="BE186" t="s">
        <v>1881</v>
      </c>
      <c r="BF186">
        <v>2.34</v>
      </c>
      <c r="BG186" t="s">
        <v>311</v>
      </c>
      <c r="BH186">
        <v>0.49</v>
      </c>
      <c r="BI186" t="s">
        <v>311</v>
      </c>
      <c r="BJ186" t="s">
        <v>311</v>
      </c>
      <c r="BK186" t="s">
        <v>311</v>
      </c>
      <c r="BL186" t="s">
        <v>311</v>
      </c>
      <c r="BM186" t="s">
        <v>311</v>
      </c>
      <c r="BN186">
        <v>2</v>
      </c>
      <c r="BO186">
        <v>2</v>
      </c>
      <c r="BP186" t="s">
        <v>311</v>
      </c>
      <c r="BQ186" t="s">
        <v>311</v>
      </c>
      <c r="BR186" t="s">
        <v>311</v>
      </c>
      <c r="BS186" t="s">
        <v>311</v>
      </c>
      <c r="BT186" t="s">
        <v>311</v>
      </c>
      <c r="BU186" t="s">
        <v>311</v>
      </c>
      <c r="BV186" t="s">
        <v>311</v>
      </c>
      <c r="BW186" t="s">
        <v>311</v>
      </c>
      <c r="BX186" t="s">
        <v>1126</v>
      </c>
      <c r="BY186" t="s">
        <v>1203</v>
      </c>
      <c r="BZ186">
        <v>1.62</v>
      </c>
      <c r="CA186">
        <v>28</v>
      </c>
      <c r="CB186" t="s">
        <v>1209</v>
      </c>
      <c r="CC186" t="s">
        <v>1209</v>
      </c>
      <c r="CD186" t="s">
        <v>311</v>
      </c>
      <c r="CE186" t="s">
        <v>311</v>
      </c>
      <c r="CF186" t="s">
        <v>311</v>
      </c>
      <c r="CG186" t="s">
        <v>311</v>
      </c>
      <c r="CH186" t="s">
        <v>311</v>
      </c>
      <c r="CI186" t="s">
        <v>311</v>
      </c>
      <c r="CJ186" s="38" t="s">
        <v>311</v>
      </c>
      <c r="CK186" s="38" t="s">
        <v>311</v>
      </c>
      <c r="CL186" s="38" t="s">
        <v>311</v>
      </c>
      <c r="CM186" s="38" t="s">
        <v>311</v>
      </c>
      <c r="CN186" s="38" t="s">
        <v>311</v>
      </c>
      <c r="CO186" s="38" t="s">
        <v>311</v>
      </c>
      <c r="CP186" s="38">
        <v>0.15</v>
      </c>
      <c r="CR186" t="s">
        <v>1142</v>
      </c>
    </row>
    <row r="187" spans="1:96">
      <c r="A187">
        <v>186</v>
      </c>
      <c r="B187">
        <v>27</v>
      </c>
      <c r="C187">
        <v>3</v>
      </c>
      <c r="D187" t="s">
        <v>157</v>
      </c>
      <c r="E187" t="s">
        <v>158</v>
      </c>
      <c r="F187" t="s">
        <v>53</v>
      </c>
      <c r="G187">
        <v>2001</v>
      </c>
      <c r="H187" t="s">
        <v>1322</v>
      </c>
      <c r="I187" t="s">
        <v>1323</v>
      </c>
      <c r="J187">
        <v>-18.683333000000001</v>
      </c>
      <c r="K187">
        <v>146.58333300000001</v>
      </c>
      <c r="L187" t="s">
        <v>370</v>
      </c>
      <c r="M187" t="s">
        <v>410</v>
      </c>
      <c r="N187" t="s">
        <v>594</v>
      </c>
      <c r="O187" t="s">
        <v>288</v>
      </c>
      <c r="P187" t="s">
        <v>289</v>
      </c>
      <c r="Q187" t="s">
        <v>291</v>
      </c>
      <c r="R187" t="s">
        <v>558</v>
      </c>
      <c r="S187" t="s">
        <v>717</v>
      </c>
      <c r="T187" t="s">
        <v>330</v>
      </c>
      <c r="U187">
        <v>5</v>
      </c>
      <c r="V187" t="s">
        <v>311</v>
      </c>
      <c r="W187" t="s">
        <v>311</v>
      </c>
      <c r="X187" t="s">
        <v>340</v>
      </c>
      <c r="Y187" t="s">
        <v>311</v>
      </c>
      <c r="Z187" t="s">
        <v>760</v>
      </c>
      <c r="AA187" t="s">
        <v>761</v>
      </c>
      <c r="AB187" t="s">
        <v>311</v>
      </c>
      <c r="AC187" t="s">
        <v>311</v>
      </c>
      <c r="AD187" t="s">
        <v>309</v>
      </c>
      <c r="AE187" t="s">
        <v>311</v>
      </c>
      <c r="AF187" t="s">
        <v>342</v>
      </c>
      <c r="AH187" t="s">
        <v>311</v>
      </c>
      <c r="AI187" t="s">
        <v>311</v>
      </c>
      <c r="AJ187" t="s">
        <v>311</v>
      </c>
      <c r="AK187" t="s">
        <v>700</v>
      </c>
      <c r="AL187" t="s">
        <v>357</v>
      </c>
      <c r="AM187" t="s">
        <v>859</v>
      </c>
      <c r="AN187" t="s">
        <v>584</v>
      </c>
      <c r="AO187" t="s">
        <v>1284</v>
      </c>
      <c r="AP187" t="s">
        <v>887</v>
      </c>
      <c r="AQ187" t="s">
        <v>887</v>
      </c>
      <c r="AR187">
        <v>0.82941176470588196</v>
      </c>
      <c r="AS187">
        <v>6.0000000000000053E-2</v>
      </c>
      <c r="AT187" t="s">
        <v>311</v>
      </c>
      <c r="AU187">
        <v>10</v>
      </c>
      <c r="AV187">
        <v>0.748235294117647</v>
      </c>
      <c r="AW187">
        <v>4.2352941176470038E-2</v>
      </c>
      <c r="AX187" t="s">
        <v>311</v>
      </c>
      <c r="AY187">
        <v>10</v>
      </c>
      <c r="AZ187" t="s">
        <v>1678</v>
      </c>
      <c r="BA187" t="s">
        <v>1680</v>
      </c>
      <c r="BB187">
        <v>0.1875</v>
      </c>
      <c r="BC187" t="s">
        <v>1672</v>
      </c>
      <c r="BD187" t="s">
        <v>1763</v>
      </c>
      <c r="BE187" t="s">
        <v>1881</v>
      </c>
      <c r="BF187">
        <v>2.34</v>
      </c>
      <c r="BG187" t="s">
        <v>311</v>
      </c>
      <c r="BH187">
        <v>0.49</v>
      </c>
      <c r="BI187" t="s">
        <v>311</v>
      </c>
      <c r="BJ187" t="s">
        <v>311</v>
      </c>
      <c r="BK187" t="s">
        <v>311</v>
      </c>
      <c r="BL187" t="s">
        <v>311</v>
      </c>
      <c r="BM187" t="s">
        <v>311</v>
      </c>
      <c r="BN187">
        <v>2</v>
      </c>
      <c r="BO187">
        <v>2</v>
      </c>
      <c r="BP187" t="s">
        <v>311</v>
      </c>
      <c r="BQ187" t="s">
        <v>311</v>
      </c>
      <c r="BR187" t="s">
        <v>311</v>
      </c>
      <c r="BS187" t="s">
        <v>311</v>
      </c>
      <c r="BT187" t="s">
        <v>311</v>
      </c>
      <c r="BU187" t="s">
        <v>311</v>
      </c>
      <c r="BV187" t="s">
        <v>311</v>
      </c>
      <c r="BW187" t="s">
        <v>311</v>
      </c>
      <c r="BX187" t="s">
        <v>1126</v>
      </c>
      <c r="BY187" t="s">
        <v>1203</v>
      </c>
      <c r="BZ187">
        <v>1.62</v>
      </c>
      <c r="CA187">
        <v>28</v>
      </c>
      <c r="CB187" t="s">
        <v>1209</v>
      </c>
      <c r="CC187" t="s">
        <v>1209</v>
      </c>
      <c r="CD187" t="s">
        <v>311</v>
      </c>
      <c r="CE187" t="s">
        <v>311</v>
      </c>
      <c r="CF187" t="s">
        <v>311</v>
      </c>
      <c r="CG187" t="s">
        <v>311</v>
      </c>
      <c r="CH187" t="s">
        <v>311</v>
      </c>
      <c r="CI187" t="s">
        <v>311</v>
      </c>
      <c r="CJ187" s="38" t="s">
        <v>311</v>
      </c>
      <c r="CK187" s="38" t="s">
        <v>311</v>
      </c>
      <c r="CL187" s="38" t="s">
        <v>311</v>
      </c>
      <c r="CM187" s="38" t="s">
        <v>311</v>
      </c>
      <c r="CN187" s="38" t="s">
        <v>311</v>
      </c>
      <c r="CO187" s="38" t="s">
        <v>311</v>
      </c>
      <c r="CP187" s="38">
        <v>0.15</v>
      </c>
      <c r="CR187" t="s">
        <v>1143</v>
      </c>
    </row>
    <row r="188" spans="1:96">
      <c r="A188">
        <v>187</v>
      </c>
      <c r="B188">
        <v>27</v>
      </c>
      <c r="C188">
        <v>4</v>
      </c>
      <c r="D188" t="s">
        <v>157</v>
      </c>
      <c r="E188" t="s">
        <v>158</v>
      </c>
      <c r="F188" t="s">
        <v>53</v>
      </c>
      <c r="G188">
        <v>2001</v>
      </c>
      <c r="H188" t="s">
        <v>1322</v>
      </c>
      <c r="I188" t="s">
        <v>1323</v>
      </c>
      <c r="J188">
        <v>-18.683333000000001</v>
      </c>
      <c r="K188">
        <v>146.58333300000001</v>
      </c>
      <c r="L188" t="s">
        <v>370</v>
      </c>
      <c r="M188" t="s">
        <v>410</v>
      </c>
      <c r="N188" t="s">
        <v>594</v>
      </c>
      <c r="O188" t="s">
        <v>288</v>
      </c>
      <c r="P188" t="s">
        <v>289</v>
      </c>
      <c r="Q188" t="s">
        <v>291</v>
      </c>
      <c r="R188" t="s">
        <v>558</v>
      </c>
      <c r="S188" t="s">
        <v>717</v>
      </c>
      <c r="T188" t="s">
        <v>330</v>
      </c>
      <c r="U188">
        <v>5</v>
      </c>
      <c r="V188" t="s">
        <v>311</v>
      </c>
      <c r="W188" t="s">
        <v>311</v>
      </c>
      <c r="X188" t="s">
        <v>340</v>
      </c>
      <c r="Y188" t="s">
        <v>311</v>
      </c>
      <c r="Z188" t="s">
        <v>760</v>
      </c>
      <c r="AA188" t="s">
        <v>761</v>
      </c>
      <c r="AB188" t="s">
        <v>311</v>
      </c>
      <c r="AC188" t="s">
        <v>311</v>
      </c>
      <c r="AD188" t="s">
        <v>309</v>
      </c>
      <c r="AE188" t="s">
        <v>311</v>
      </c>
      <c r="AF188" t="s">
        <v>342</v>
      </c>
      <c r="AH188" t="s">
        <v>311</v>
      </c>
      <c r="AI188" t="s">
        <v>311</v>
      </c>
      <c r="AJ188" t="s">
        <v>311</v>
      </c>
      <c r="AK188" t="s">
        <v>700</v>
      </c>
      <c r="AL188" t="s">
        <v>357</v>
      </c>
      <c r="AM188" t="s">
        <v>859</v>
      </c>
      <c r="AN188" t="s">
        <v>584</v>
      </c>
      <c r="AO188" t="s">
        <v>1284</v>
      </c>
      <c r="AP188" t="s">
        <v>887</v>
      </c>
      <c r="AQ188" t="s">
        <v>887</v>
      </c>
      <c r="AR188">
        <v>0.86470588235294099</v>
      </c>
      <c r="AS188">
        <v>3.5294117647058032E-2</v>
      </c>
      <c r="AT188" t="s">
        <v>311</v>
      </c>
      <c r="AU188">
        <v>10</v>
      </c>
      <c r="AV188">
        <v>0.83647058823529397</v>
      </c>
      <c r="AW188">
        <v>4.9411764705882044E-2</v>
      </c>
      <c r="AX188" t="s">
        <v>311</v>
      </c>
      <c r="AY188">
        <v>10</v>
      </c>
      <c r="AZ188" t="s">
        <v>1678</v>
      </c>
      <c r="BA188" t="s">
        <v>1680</v>
      </c>
      <c r="BB188">
        <v>0.25</v>
      </c>
      <c r="BC188" t="s">
        <v>1672</v>
      </c>
      <c r="BD188" t="s">
        <v>1764</v>
      </c>
      <c r="BE188" t="s">
        <v>1881</v>
      </c>
      <c r="BF188">
        <v>2.0299999999999998</v>
      </c>
      <c r="BG188">
        <v>0.27</v>
      </c>
      <c r="BH188">
        <v>0.54</v>
      </c>
      <c r="BI188">
        <v>0.14000000000000001</v>
      </c>
      <c r="BJ188" t="s">
        <v>311</v>
      </c>
      <c r="BK188" t="s">
        <v>311</v>
      </c>
      <c r="BL188" t="s">
        <v>311</v>
      </c>
      <c r="BM188" t="s">
        <v>311</v>
      </c>
      <c r="BN188">
        <v>5</v>
      </c>
      <c r="BO188">
        <v>5</v>
      </c>
      <c r="BP188" s="6" t="s">
        <v>311</v>
      </c>
      <c r="BQ188" t="s">
        <v>311</v>
      </c>
      <c r="BR188" t="s">
        <v>311</v>
      </c>
      <c r="BS188" t="s">
        <v>311</v>
      </c>
      <c r="BT188" t="s">
        <v>311</v>
      </c>
      <c r="BU188" t="s">
        <v>311</v>
      </c>
      <c r="BV188" t="s">
        <v>311</v>
      </c>
      <c r="BW188" t="s">
        <v>311</v>
      </c>
      <c r="BX188" t="s">
        <v>1126</v>
      </c>
      <c r="BY188" t="s">
        <v>1203</v>
      </c>
      <c r="BZ188">
        <v>1.77</v>
      </c>
      <c r="CA188">
        <v>28</v>
      </c>
      <c r="CB188" t="s">
        <v>1209</v>
      </c>
      <c r="CC188" t="s">
        <v>1209</v>
      </c>
      <c r="CD188" t="s">
        <v>311</v>
      </c>
      <c r="CE188" t="s">
        <v>311</v>
      </c>
      <c r="CF188" t="s">
        <v>311</v>
      </c>
      <c r="CG188" t="s">
        <v>311</v>
      </c>
      <c r="CH188" t="s">
        <v>311</v>
      </c>
      <c r="CI188" t="s">
        <v>311</v>
      </c>
      <c r="CJ188" s="38" t="s">
        <v>311</v>
      </c>
      <c r="CK188" s="38" t="s">
        <v>311</v>
      </c>
      <c r="CL188" s="38" t="s">
        <v>311</v>
      </c>
      <c r="CM188" s="38" t="s">
        <v>311</v>
      </c>
      <c r="CN188" s="38" t="s">
        <v>311</v>
      </c>
      <c r="CO188" s="38" t="s">
        <v>311</v>
      </c>
      <c r="CP188" s="38">
        <v>0.15</v>
      </c>
      <c r="CR188" t="s">
        <v>1144</v>
      </c>
    </row>
    <row r="189" spans="1:96">
      <c r="A189">
        <v>188</v>
      </c>
      <c r="B189">
        <v>27</v>
      </c>
      <c r="C189">
        <v>5</v>
      </c>
      <c r="D189" t="s">
        <v>157</v>
      </c>
      <c r="E189" t="s">
        <v>158</v>
      </c>
      <c r="F189" t="s">
        <v>53</v>
      </c>
      <c r="G189">
        <v>2001</v>
      </c>
      <c r="H189" t="s">
        <v>1322</v>
      </c>
      <c r="I189" t="s">
        <v>1323</v>
      </c>
      <c r="J189">
        <v>-18.683333000000001</v>
      </c>
      <c r="K189">
        <v>146.58333300000001</v>
      </c>
      <c r="L189" t="s">
        <v>370</v>
      </c>
      <c r="M189" t="s">
        <v>410</v>
      </c>
      <c r="N189" t="s">
        <v>594</v>
      </c>
      <c r="O189" t="s">
        <v>288</v>
      </c>
      <c r="P189" t="s">
        <v>289</v>
      </c>
      <c r="Q189" t="s">
        <v>291</v>
      </c>
      <c r="R189" t="s">
        <v>558</v>
      </c>
      <c r="S189" t="s">
        <v>717</v>
      </c>
      <c r="T189" t="s">
        <v>330</v>
      </c>
      <c r="U189">
        <v>5</v>
      </c>
      <c r="V189" t="s">
        <v>311</v>
      </c>
      <c r="W189" t="s">
        <v>311</v>
      </c>
      <c r="X189" t="s">
        <v>340</v>
      </c>
      <c r="Y189" t="s">
        <v>311</v>
      </c>
      <c r="Z189" t="s">
        <v>760</v>
      </c>
      <c r="AA189" t="s">
        <v>761</v>
      </c>
      <c r="AB189" t="s">
        <v>311</v>
      </c>
      <c r="AC189" t="s">
        <v>311</v>
      </c>
      <c r="AD189" t="s">
        <v>309</v>
      </c>
      <c r="AE189" t="s">
        <v>311</v>
      </c>
      <c r="AF189" t="s">
        <v>342</v>
      </c>
      <c r="AH189" t="s">
        <v>311</v>
      </c>
      <c r="AI189" t="s">
        <v>311</v>
      </c>
      <c r="AJ189" t="s">
        <v>311</v>
      </c>
      <c r="AK189" t="s">
        <v>700</v>
      </c>
      <c r="AL189" t="s">
        <v>357</v>
      </c>
      <c r="AM189" t="s">
        <v>859</v>
      </c>
      <c r="AN189" t="s">
        <v>584</v>
      </c>
      <c r="AO189" t="s">
        <v>1284</v>
      </c>
      <c r="AP189" t="s">
        <v>887</v>
      </c>
      <c r="AQ189" t="s">
        <v>887</v>
      </c>
      <c r="AR189">
        <v>0.92470588235294104</v>
      </c>
      <c r="AS189">
        <v>6.7058823529411948E-2</v>
      </c>
      <c r="AT189" t="s">
        <v>311</v>
      </c>
      <c r="AU189">
        <v>10</v>
      </c>
      <c r="AV189">
        <v>0.875294117647058</v>
      </c>
      <c r="AW189">
        <v>3.5294117647059031E-2</v>
      </c>
      <c r="AX189" t="s">
        <v>311</v>
      </c>
      <c r="AY189">
        <v>10</v>
      </c>
      <c r="AZ189" t="s">
        <v>1678</v>
      </c>
      <c r="BA189" t="s">
        <v>1680</v>
      </c>
      <c r="BB189">
        <v>0.5</v>
      </c>
      <c r="BC189" t="s">
        <v>1672</v>
      </c>
      <c r="BD189" t="s">
        <v>1764</v>
      </c>
      <c r="BE189" t="s">
        <v>1881</v>
      </c>
      <c r="BF189">
        <v>2.0299999999999998</v>
      </c>
      <c r="BG189">
        <v>0.27</v>
      </c>
      <c r="BH189">
        <v>0.54</v>
      </c>
      <c r="BI189">
        <v>0.14000000000000001</v>
      </c>
      <c r="BJ189" t="s">
        <v>311</v>
      </c>
      <c r="BK189" t="s">
        <v>311</v>
      </c>
      <c r="BL189" t="s">
        <v>311</v>
      </c>
      <c r="BM189" t="s">
        <v>311</v>
      </c>
      <c r="BN189">
        <v>5</v>
      </c>
      <c r="BO189">
        <v>5</v>
      </c>
      <c r="BP189" s="6" t="s">
        <v>311</v>
      </c>
      <c r="BQ189" t="s">
        <v>311</v>
      </c>
      <c r="BR189" t="s">
        <v>311</v>
      </c>
      <c r="BS189" t="s">
        <v>311</v>
      </c>
      <c r="BT189" t="s">
        <v>311</v>
      </c>
      <c r="BU189" t="s">
        <v>311</v>
      </c>
      <c r="BV189" t="s">
        <v>311</v>
      </c>
      <c r="BW189" t="s">
        <v>311</v>
      </c>
      <c r="BX189" t="s">
        <v>1126</v>
      </c>
      <c r="BY189" t="s">
        <v>1203</v>
      </c>
      <c r="BZ189">
        <v>1.77</v>
      </c>
      <c r="CA189">
        <v>28</v>
      </c>
      <c r="CB189" t="s">
        <v>1209</v>
      </c>
      <c r="CC189" t="s">
        <v>1209</v>
      </c>
      <c r="CD189" t="s">
        <v>311</v>
      </c>
      <c r="CE189" t="s">
        <v>311</v>
      </c>
      <c r="CF189" t="s">
        <v>311</v>
      </c>
      <c r="CG189" t="s">
        <v>311</v>
      </c>
      <c r="CH189" t="s">
        <v>311</v>
      </c>
      <c r="CI189" t="s">
        <v>311</v>
      </c>
      <c r="CJ189" s="38" t="s">
        <v>311</v>
      </c>
      <c r="CK189" s="38" t="s">
        <v>311</v>
      </c>
      <c r="CL189" s="38" t="s">
        <v>311</v>
      </c>
      <c r="CM189" s="38" t="s">
        <v>311</v>
      </c>
      <c r="CN189" s="38" t="s">
        <v>311</v>
      </c>
      <c r="CO189" s="38" t="s">
        <v>311</v>
      </c>
      <c r="CP189" s="38">
        <v>0.15</v>
      </c>
      <c r="CR189" t="s">
        <v>1145</v>
      </c>
    </row>
    <row r="190" spans="1:96">
      <c r="A190">
        <v>189</v>
      </c>
      <c r="B190">
        <v>27</v>
      </c>
      <c r="C190">
        <v>6</v>
      </c>
      <c r="D190" t="s">
        <v>157</v>
      </c>
      <c r="E190" t="s">
        <v>158</v>
      </c>
      <c r="F190" t="s">
        <v>53</v>
      </c>
      <c r="G190">
        <v>2001</v>
      </c>
      <c r="H190" t="s">
        <v>1322</v>
      </c>
      <c r="I190" t="s">
        <v>1323</v>
      </c>
      <c r="J190">
        <v>-18.683333000000001</v>
      </c>
      <c r="K190">
        <v>146.58333300000001</v>
      </c>
      <c r="L190" t="s">
        <v>370</v>
      </c>
      <c r="M190" t="s">
        <v>410</v>
      </c>
      <c r="N190" t="s">
        <v>594</v>
      </c>
      <c r="O190" t="s">
        <v>288</v>
      </c>
      <c r="P190" t="s">
        <v>289</v>
      </c>
      <c r="Q190" t="s">
        <v>291</v>
      </c>
      <c r="R190" t="s">
        <v>558</v>
      </c>
      <c r="S190" t="s">
        <v>717</v>
      </c>
      <c r="T190" t="s">
        <v>330</v>
      </c>
      <c r="U190">
        <v>5</v>
      </c>
      <c r="V190" t="s">
        <v>311</v>
      </c>
      <c r="W190" t="s">
        <v>311</v>
      </c>
      <c r="X190" t="s">
        <v>340</v>
      </c>
      <c r="Y190" t="s">
        <v>311</v>
      </c>
      <c r="Z190" t="s">
        <v>760</v>
      </c>
      <c r="AA190" t="s">
        <v>761</v>
      </c>
      <c r="AB190" t="s">
        <v>311</v>
      </c>
      <c r="AC190" t="s">
        <v>311</v>
      </c>
      <c r="AD190" t="s">
        <v>309</v>
      </c>
      <c r="AE190" t="s">
        <v>311</v>
      </c>
      <c r="AF190" t="s">
        <v>342</v>
      </c>
      <c r="AH190" t="s">
        <v>311</v>
      </c>
      <c r="AI190" t="s">
        <v>311</v>
      </c>
      <c r="AJ190" t="s">
        <v>311</v>
      </c>
      <c r="AK190" t="s">
        <v>700</v>
      </c>
      <c r="AL190" t="s">
        <v>357</v>
      </c>
      <c r="AM190" t="s">
        <v>859</v>
      </c>
      <c r="AN190" t="s">
        <v>584</v>
      </c>
      <c r="AO190" t="s">
        <v>1284</v>
      </c>
      <c r="AP190" t="s">
        <v>887</v>
      </c>
      <c r="AQ190" t="s">
        <v>887</v>
      </c>
      <c r="AR190">
        <v>1.1505882352941099</v>
      </c>
      <c r="AS190">
        <v>5.2941176470590046E-2</v>
      </c>
      <c r="AT190" t="s">
        <v>311</v>
      </c>
      <c r="AU190">
        <v>10</v>
      </c>
      <c r="AV190">
        <v>1.0588235294117601</v>
      </c>
      <c r="AW190">
        <v>4.5882352941180038E-2</v>
      </c>
      <c r="AX190" t="s">
        <v>311</v>
      </c>
      <c r="AY190">
        <v>10</v>
      </c>
      <c r="AZ190" t="s">
        <v>1678</v>
      </c>
      <c r="BA190" t="s">
        <v>1680</v>
      </c>
      <c r="BB190">
        <v>0.75</v>
      </c>
      <c r="BC190" t="s">
        <v>1672</v>
      </c>
      <c r="BD190" t="s">
        <v>1764</v>
      </c>
      <c r="BE190" t="s">
        <v>1881</v>
      </c>
      <c r="BF190">
        <v>2.0299999999999998</v>
      </c>
      <c r="BG190">
        <v>0.27</v>
      </c>
      <c r="BH190">
        <v>0.54</v>
      </c>
      <c r="BI190">
        <v>0.14000000000000001</v>
      </c>
      <c r="BJ190" t="s">
        <v>311</v>
      </c>
      <c r="BK190" t="s">
        <v>311</v>
      </c>
      <c r="BL190" t="s">
        <v>311</v>
      </c>
      <c r="BM190" t="s">
        <v>311</v>
      </c>
      <c r="BN190">
        <v>5</v>
      </c>
      <c r="BO190">
        <v>5</v>
      </c>
      <c r="BP190" s="6" t="s">
        <v>311</v>
      </c>
      <c r="BQ190" t="s">
        <v>311</v>
      </c>
      <c r="BR190" t="s">
        <v>311</v>
      </c>
      <c r="BS190" t="s">
        <v>311</v>
      </c>
      <c r="BT190" t="s">
        <v>311</v>
      </c>
      <c r="BU190" t="s">
        <v>311</v>
      </c>
      <c r="BV190" t="s">
        <v>311</v>
      </c>
      <c r="BW190" t="s">
        <v>311</v>
      </c>
      <c r="BX190" t="s">
        <v>1126</v>
      </c>
      <c r="BY190" t="s">
        <v>1203</v>
      </c>
      <c r="BZ190">
        <v>1.77</v>
      </c>
      <c r="CA190">
        <v>28</v>
      </c>
      <c r="CB190" t="s">
        <v>1209</v>
      </c>
      <c r="CC190" t="s">
        <v>1209</v>
      </c>
      <c r="CD190" t="s">
        <v>311</v>
      </c>
      <c r="CE190" t="s">
        <v>311</v>
      </c>
      <c r="CF190" t="s">
        <v>311</v>
      </c>
      <c r="CG190" t="s">
        <v>311</v>
      </c>
      <c r="CH190" t="s">
        <v>311</v>
      </c>
      <c r="CI190" t="s">
        <v>311</v>
      </c>
      <c r="CJ190" s="38" t="s">
        <v>311</v>
      </c>
      <c r="CK190" s="38" t="s">
        <v>311</v>
      </c>
      <c r="CL190" s="38" t="s">
        <v>311</v>
      </c>
      <c r="CM190" s="38" t="s">
        <v>311</v>
      </c>
      <c r="CN190" s="38" t="s">
        <v>311</v>
      </c>
      <c r="CO190" s="38" t="s">
        <v>311</v>
      </c>
      <c r="CP190" s="38">
        <v>0.15</v>
      </c>
      <c r="CR190" t="s">
        <v>1146</v>
      </c>
    </row>
    <row r="191" spans="1:96">
      <c r="A191">
        <v>190</v>
      </c>
      <c r="B191">
        <v>27</v>
      </c>
      <c r="C191">
        <v>7</v>
      </c>
      <c r="D191" t="s">
        <v>157</v>
      </c>
      <c r="E191" t="s">
        <v>158</v>
      </c>
      <c r="F191" t="s">
        <v>53</v>
      </c>
      <c r="G191">
        <v>2001</v>
      </c>
      <c r="H191" t="s">
        <v>1322</v>
      </c>
      <c r="I191" t="s">
        <v>1323</v>
      </c>
      <c r="J191">
        <v>-18.683333000000001</v>
      </c>
      <c r="K191">
        <v>146.58333300000001</v>
      </c>
      <c r="L191" t="s">
        <v>370</v>
      </c>
      <c r="M191" t="s">
        <v>410</v>
      </c>
      <c r="N191" t="s">
        <v>594</v>
      </c>
      <c r="O191" t="s">
        <v>288</v>
      </c>
      <c r="P191" t="s">
        <v>289</v>
      </c>
      <c r="Q191" t="s">
        <v>291</v>
      </c>
      <c r="R191" t="s">
        <v>558</v>
      </c>
      <c r="S191" t="s">
        <v>717</v>
      </c>
      <c r="T191" t="s">
        <v>330</v>
      </c>
      <c r="U191">
        <v>5</v>
      </c>
      <c r="V191" t="s">
        <v>311</v>
      </c>
      <c r="W191" t="s">
        <v>311</v>
      </c>
      <c r="X191" t="s">
        <v>340</v>
      </c>
      <c r="Y191" t="s">
        <v>311</v>
      </c>
      <c r="Z191" t="s">
        <v>760</v>
      </c>
      <c r="AA191" t="s">
        <v>761</v>
      </c>
      <c r="AB191" t="s">
        <v>311</v>
      </c>
      <c r="AC191" t="s">
        <v>311</v>
      </c>
      <c r="AD191" t="s">
        <v>309</v>
      </c>
      <c r="AE191" t="s">
        <v>311</v>
      </c>
      <c r="AF191" t="s">
        <v>342</v>
      </c>
      <c r="AH191" t="s">
        <v>311</v>
      </c>
      <c r="AI191" t="s">
        <v>311</v>
      </c>
      <c r="AJ191" t="s">
        <v>311</v>
      </c>
      <c r="AK191" t="s">
        <v>700</v>
      </c>
      <c r="AL191" t="s">
        <v>357</v>
      </c>
      <c r="AM191" t="s">
        <v>859</v>
      </c>
      <c r="AN191" t="s">
        <v>584</v>
      </c>
      <c r="AO191" t="s">
        <v>1284</v>
      </c>
      <c r="AP191" t="s">
        <v>887</v>
      </c>
      <c r="AQ191" t="s">
        <v>887</v>
      </c>
      <c r="AR191">
        <v>1.22117647058823</v>
      </c>
      <c r="AS191">
        <v>4.2352941176470038E-2</v>
      </c>
      <c r="AT191" t="s">
        <v>311</v>
      </c>
      <c r="AU191">
        <v>10</v>
      </c>
      <c r="AV191">
        <v>1.03764705882352</v>
      </c>
      <c r="AW191">
        <v>4.5882352941180038E-2</v>
      </c>
      <c r="AX191" t="s">
        <v>311</v>
      </c>
      <c r="AY191">
        <v>10</v>
      </c>
      <c r="AZ191" t="s">
        <v>1678</v>
      </c>
      <c r="BA191" t="s">
        <v>1680</v>
      </c>
      <c r="BB191">
        <v>1</v>
      </c>
      <c r="BC191" t="s">
        <v>1672</v>
      </c>
      <c r="BD191" t="s">
        <v>1763</v>
      </c>
      <c r="BE191" t="s">
        <v>1881</v>
      </c>
      <c r="BF191">
        <v>2.0299999999999998</v>
      </c>
      <c r="BG191">
        <v>0.27</v>
      </c>
      <c r="BH191">
        <v>0.54</v>
      </c>
      <c r="BI191">
        <v>0.14000000000000001</v>
      </c>
      <c r="BJ191" t="s">
        <v>311</v>
      </c>
      <c r="BK191" t="s">
        <v>311</v>
      </c>
      <c r="BL191" t="s">
        <v>311</v>
      </c>
      <c r="BM191" t="s">
        <v>311</v>
      </c>
      <c r="BN191">
        <v>5</v>
      </c>
      <c r="BO191">
        <v>5</v>
      </c>
      <c r="BP191" s="6" t="s">
        <v>311</v>
      </c>
      <c r="BQ191" t="s">
        <v>311</v>
      </c>
      <c r="BR191" t="s">
        <v>311</v>
      </c>
      <c r="BS191" t="s">
        <v>311</v>
      </c>
      <c r="BT191" t="s">
        <v>311</v>
      </c>
      <c r="BU191" t="s">
        <v>311</v>
      </c>
      <c r="BV191" t="s">
        <v>311</v>
      </c>
      <c r="BW191" t="s">
        <v>311</v>
      </c>
      <c r="BX191" t="s">
        <v>1126</v>
      </c>
      <c r="BY191" t="s">
        <v>1203</v>
      </c>
      <c r="BZ191">
        <v>1.77</v>
      </c>
      <c r="CA191">
        <v>28</v>
      </c>
      <c r="CB191" t="s">
        <v>1209</v>
      </c>
      <c r="CC191" t="s">
        <v>1209</v>
      </c>
      <c r="CD191" t="s">
        <v>311</v>
      </c>
      <c r="CE191" t="s">
        <v>311</v>
      </c>
      <c r="CF191" t="s">
        <v>311</v>
      </c>
      <c r="CG191" t="s">
        <v>311</v>
      </c>
      <c r="CH191" t="s">
        <v>311</v>
      </c>
      <c r="CI191" t="s">
        <v>311</v>
      </c>
      <c r="CJ191" s="38" t="s">
        <v>311</v>
      </c>
      <c r="CK191" s="38" t="s">
        <v>311</v>
      </c>
      <c r="CL191" s="38" t="s">
        <v>311</v>
      </c>
      <c r="CM191" s="38" t="s">
        <v>311</v>
      </c>
      <c r="CN191" s="38" t="s">
        <v>311</v>
      </c>
      <c r="CO191" s="38" t="s">
        <v>311</v>
      </c>
      <c r="CP191" s="38">
        <v>0.15</v>
      </c>
      <c r="CR191" t="s">
        <v>1147</v>
      </c>
    </row>
    <row r="192" spans="1:96">
      <c r="A192">
        <v>191</v>
      </c>
      <c r="B192">
        <v>27</v>
      </c>
      <c r="C192">
        <v>8</v>
      </c>
      <c r="D192" t="s">
        <v>157</v>
      </c>
      <c r="E192" t="s">
        <v>158</v>
      </c>
      <c r="F192" t="s">
        <v>53</v>
      </c>
      <c r="G192">
        <v>2001</v>
      </c>
      <c r="H192" t="s">
        <v>1322</v>
      </c>
      <c r="I192" t="s">
        <v>1323</v>
      </c>
      <c r="J192">
        <v>-18.683333000000001</v>
      </c>
      <c r="K192">
        <v>146.58333300000001</v>
      </c>
      <c r="L192" t="s">
        <v>370</v>
      </c>
      <c r="M192" t="s">
        <v>410</v>
      </c>
      <c r="N192" t="s">
        <v>594</v>
      </c>
      <c r="O192" t="s">
        <v>288</v>
      </c>
      <c r="P192" t="s">
        <v>289</v>
      </c>
      <c r="Q192" t="s">
        <v>291</v>
      </c>
      <c r="R192" t="s">
        <v>558</v>
      </c>
      <c r="S192" t="s">
        <v>717</v>
      </c>
      <c r="T192" t="s">
        <v>330</v>
      </c>
      <c r="U192">
        <v>5</v>
      </c>
      <c r="V192" t="s">
        <v>311</v>
      </c>
      <c r="W192" t="s">
        <v>311</v>
      </c>
      <c r="X192" t="s">
        <v>340</v>
      </c>
      <c r="Y192" t="s">
        <v>311</v>
      </c>
      <c r="Z192" t="s">
        <v>760</v>
      </c>
      <c r="AA192" t="s">
        <v>761</v>
      </c>
      <c r="AB192" t="s">
        <v>311</v>
      </c>
      <c r="AC192" t="s">
        <v>311</v>
      </c>
      <c r="AD192" t="s">
        <v>309</v>
      </c>
      <c r="AE192" t="s">
        <v>311</v>
      </c>
      <c r="AF192" t="s">
        <v>342</v>
      </c>
      <c r="AH192" t="s">
        <v>311</v>
      </c>
      <c r="AI192" t="s">
        <v>311</v>
      </c>
      <c r="AJ192" t="s">
        <v>311</v>
      </c>
      <c r="AK192" t="s">
        <v>700</v>
      </c>
      <c r="AL192" t="s">
        <v>357</v>
      </c>
      <c r="AM192" t="s">
        <v>859</v>
      </c>
      <c r="AN192" t="s">
        <v>584</v>
      </c>
      <c r="AO192" t="s">
        <v>1284</v>
      </c>
      <c r="AP192" t="s">
        <v>887</v>
      </c>
      <c r="AQ192" t="s">
        <v>887</v>
      </c>
      <c r="AR192">
        <v>0.878823529411764</v>
      </c>
      <c r="AS192">
        <v>4.2352941176471037E-2</v>
      </c>
      <c r="AT192" t="s">
        <v>311</v>
      </c>
      <c r="AU192">
        <v>9</v>
      </c>
      <c r="AV192">
        <v>0.83294117647058796</v>
      </c>
      <c r="AW192">
        <v>3.8823529411765034E-2</v>
      </c>
      <c r="AX192" t="s">
        <v>311</v>
      </c>
      <c r="AY192">
        <v>9</v>
      </c>
      <c r="AZ192" t="s">
        <v>1678</v>
      </c>
      <c r="BA192" t="s">
        <v>1680</v>
      </c>
      <c r="BB192">
        <v>1</v>
      </c>
      <c r="BC192" t="s">
        <v>1672</v>
      </c>
      <c r="BD192" t="s">
        <v>1764</v>
      </c>
      <c r="BE192" t="s">
        <v>1881</v>
      </c>
      <c r="BF192">
        <v>2.2999999999999998</v>
      </c>
      <c r="BG192">
        <v>0.55000000000000004</v>
      </c>
      <c r="BH192">
        <v>0.63</v>
      </c>
      <c r="BI192">
        <v>0.23</v>
      </c>
      <c r="BJ192">
        <v>1.05</v>
      </c>
      <c r="BK192">
        <v>0.3</v>
      </c>
      <c r="BL192">
        <v>1.21</v>
      </c>
      <c r="BM192">
        <v>0.05</v>
      </c>
      <c r="BN192">
        <v>6</v>
      </c>
      <c r="BO192">
        <v>6</v>
      </c>
      <c r="BP192" s="6" t="s">
        <v>311</v>
      </c>
      <c r="BQ192" s="6" t="s">
        <v>311</v>
      </c>
      <c r="BR192" s="6" t="s">
        <v>311</v>
      </c>
      <c r="BS192" s="6" t="s">
        <v>311</v>
      </c>
      <c r="BT192" s="6" t="s">
        <v>311</v>
      </c>
      <c r="BU192" s="6" t="s">
        <v>311</v>
      </c>
      <c r="BV192" s="6" t="s">
        <v>311</v>
      </c>
      <c r="BW192" s="6" t="s">
        <v>311</v>
      </c>
      <c r="BX192" t="s">
        <v>1126</v>
      </c>
      <c r="BY192" t="s">
        <v>1203</v>
      </c>
      <c r="BZ192">
        <v>1.77</v>
      </c>
      <c r="CA192">
        <v>28</v>
      </c>
      <c r="CB192" t="s">
        <v>1209</v>
      </c>
      <c r="CC192" t="s">
        <v>1209</v>
      </c>
      <c r="CD192" t="s">
        <v>311</v>
      </c>
      <c r="CE192" t="s">
        <v>311</v>
      </c>
      <c r="CF192" t="s">
        <v>311</v>
      </c>
      <c r="CG192" t="s">
        <v>311</v>
      </c>
      <c r="CH192" t="s">
        <v>311</v>
      </c>
      <c r="CI192" t="s">
        <v>311</v>
      </c>
      <c r="CJ192" s="38">
        <v>0.12</v>
      </c>
      <c r="CK192" s="38">
        <v>0.15</v>
      </c>
      <c r="CL192" s="38" t="s">
        <v>311</v>
      </c>
      <c r="CM192" s="38" t="s">
        <v>311</v>
      </c>
      <c r="CN192" s="38" t="s">
        <v>311</v>
      </c>
      <c r="CO192" s="38" t="s">
        <v>311</v>
      </c>
      <c r="CP192" s="38">
        <v>0.15</v>
      </c>
      <c r="CR192" t="s">
        <v>1148</v>
      </c>
    </row>
    <row r="193" spans="1:96">
      <c r="A193">
        <v>192</v>
      </c>
      <c r="B193">
        <v>27</v>
      </c>
      <c r="C193">
        <v>9</v>
      </c>
      <c r="D193" t="s">
        <v>157</v>
      </c>
      <c r="E193" t="s">
        <v>158</v>
      </c>
      <c r="F193" t="s">
        <v>53</v>
      </c>
      <c r="G193">
        <v>2001</v>
      </c>
      <c r="H193" t="s">
        <v>1322</v>
      </c>
      <c r="I193" t="s">
        <v>1323</v>
      </c>
      <c r="J193">
        <v>-18.683333000000001</v>
      </c>
      <c r="K193">
        <v>146.58333300000001</v>
      </c>
      <c r="L193" t="s">
        <v>370</v>
      </c>
      <c r="M193" t="s">
        <v>410</v>
      </c>
      <c r="N193" t="s">
        <v>594</v>
      </c>
      <c r="O193" t="s">
        <v>288</v>
      </c>
      <c r="P193" t="s">
        <v>289</v>
      </c>
      <c r="Q193" t="s">
        <v>291</v>
      </c>
      <c r="R193" t="s">
        <v>558</v>
      </c>
      <c r="S193" t="s">
        <v>717</v>
      </c>
      <c r="T193" t="s">
        <v>330</v>
      </c>
      <c r="U193">
        <v>5</v>
      </c>
      <c r="V193" t="s">
        <v>311</v>
      </c>
      <c r="W193" t="s">
        <v>311</v>
      </c>
      <c r="X193" t="s">
        <v>340</v>
      </c>
      <c r="Y193" t="s">
        <v>311</v>
      </c>
      <c r="Z193" t="s">
        <v>760</v>
      </c>
      <c r="AA193" t="s">
        <v>761</v>
      </c>
      <c r="AB193" t="s">
        <v>311</v>
      </c>
      <c r="AC193" t="s">
        <v>311</v>
      </c>
      <c r="AD193" t="s">
        <v>309</v>
      </c>
      <c r="AE193" t="s">
        <v>311</v>
      </c>
      <c r="AF193" t="s">
        <v>342</v>
      </c>
      <c r="AH193" t="s">
        <v>311</v>
      </c>
      <c r="AI193" t="s">
        <v>311</v>
      </c>
      <c r="AJ193" t="s">
        <v>311</v>
      </c>
      <c r="AK193" t="s">
        <v>700</v>
      </c>
      <c r="AL193" t="s">
        <v>357</v>
      </c>
      <c r="AM193" t="s">
        <v>859</v>
      </c>
      <c r="AN193" t="s">
        <v>584</v>
      </c>
      <c r="AO193" t="s">
        <v>1284</v>
      </c>
      <c r="AP193" t="s">
        <v>887</v>
      </c>
      <c r="AQ193" t="s">
        <v>887</v>
      </c>
      <c r="AR193">
        <v>0.83647058823529397</v>
      </c>
      <c r="AS193">
        <v>3.1764705882353028E-2</v>
      </c>
      <c r="AT193" t="s">
        <v>311</v>
      </c>
      <c r="AU193">
        <v>9</v>
      </c>
      <c r="AV193">
        <v>0.73411764705882299</v>
      </c>
      <c r="AW193">
        <v>3.5294117647059031E-2</v>
      </c>
      <c r="AX193" t="s">
        <v>311</v>
      </c>
      <c r="AY193">
        <v>9</v>
      </c>
      <c r="AZ193" t="s">
        <v>1678</v>
      </c>
      <c r="BA193" t="s">
        <v>1680</v>
      </c>
      <c r="BB193">
        <v>2</v>
      </c>
      <c r="BC193" t="s">
        <v>1672</v>
      </c>
      <c r="BD193" t="s">
        <v>1764</v>
      </c>
      <c r="BE193" t="s">
        <v>1881</v>
      </c>
      <c r="BF193">
        <v>2.2999999999999998</v>
      </c>
      <c r="BG193">
        <v>0.55000000000000004</v>
      </c>
      <c r="BH193">
        <v>0.63</v>
      </c>
      <c r="BI193">
        <v>0.23</v>
      </c>
      <c r="BJ193">
        <v>1.05</v>
      </c>
      <c r="BK193">
        <v>0.3</v>
      </c>
      <c r="BL193">
        <v>1.21</v>
      </c>
      <c r="BM193">
        <v>0.05</v>
      </c>
      <c r="BN193">
        <v>6</v>
      </c>
      <c r="BO193">
        <v>6</v>
      </c>
      <c r="BP193" s="6" t="s">
        <v>311</v>
      </c>
      <c r="BQ193" s="6" t="s">
        <v>311</v>
      </c>
      <c r="BR193" s="6" t="s">
        <v>311</v>
      </c>
      <c r="BS193" s="6" t="s">
        <v>311</v>
      </c>
      <c r="BT193" s="6" t="s">
        <v>311</v>
      </c>
      <c r="BU193" s="6" t="s">
        <v>311</v>
      </c>
      <c r="BV193" s="6" t="s">
        <v>311</v>
      </c>
      <c r="BW193" s="6" t="s">
        <v>311</v>
      </c>
      <c r="BX193" t="s">
        <v>1126</v>
      </c>
      <c r="BY193" t="s">
        <v>1203</v>
      </c>
      <c r="BZ193">
        <v>1.77</v>
      </c>
      <c r="CA193">
        <v>28</v>
      </c>
      <c r="CB193" t="s">
        <v>1209</v>
      </c>
      <c r="CC193" t="s">
        <v>1209</v>
      </c>
      <c r="CD193" t="s">
        <v>311</v>
      </c>
      <c r="CE193" t="s">
        <v>311</v>
      </c>
      <c r="CF193" t="s">
        <v>311</v>
      </c>
      <c r="CG193" t="s">
        <v>311</v>
      </c>
      <c r="CH193" t="s">
        <v>311</v>
      </c>
      <c r="CI193" t="s">
        <v>311</v>
      </c>
      <c r="CJ193" s="38">
        <v>0.12</v>
      </c>
      <c r="CK193" s="38">
        <v>0.15</v>
      </c>
      <c r="CL193" s="38" t="s">
        <v>311</v>
      </c>
      <c r="CM193" s="38" t="s">
        <v>311</v>
      </c>
      <c r="CN193" s="38" t="s">
        <v>311</v>
      </c>
      <c r="CO193" s="38" t="s">
        <v>311</v>
      </c>
      <c r="CP193" s="38">
        <v>0.15</v>
      </c>
      <c r="CR193" t="s">
        <v>1149</v>
      </c>
    </row>
    <row r="194" spans="1:96">
      <c r="A194">
        <v>193</v>
      </c>
      <c r="B194">
        <v>27</v>
      </c>
      <c r="C194">
        <v>10</v>
      </c>
      <c r="D194" t="s">
        <v>157</v>
      </c>
      <c r="E194" t="s">
        <v>158</v>
      </c>
      <c r="F194" t="s">
        <v>53</v>
      </c>
      <c r="G194">
        <v>2001</v>
      </c>
      <c r="H194" t="s">
        <v>1322</v>
      </c>
      <c r="I194" t="s">
        <v>1323</v>
      </c>
      <c r="J194">
        <v>-18.683333000000001</v>
      </c>
      <c r="K194">
        <v>146.58333300000001</v>
      </c>
      <c r="L194" t="s">
        <v>370</v>
      </c>
      <c r="M194" t="s">
        <v>410</v>
      </c>
      <c r="N194" t="s">
        <v>594</v>
      </c>
      <c r="O194" t="s">
        <v>288</v>
      </c>
      <c r="P194" t="s">
        <v>289</v>
      </c>
      <c r="Q194" t="s">
        <v>291</v>
      </c>
      <c r="R194" t="s">
        <v>558</v>
      </c>
      <c r="S194" t="s">
        <v>717</v>
      </c>
      <c r="T194" t="s">
        <v>330</v>
      </c>
      <c r="U194">
        <v>5</v>
      </c>
      <c r="V194" t="s">
        <v>311</v>
      </c>
      <c r="W194" t="s">
        <v>311</v>
      </c>
      <c r="X194" t="s">
        <v>340</v>
      </c>
      <c r="Y194" t="s">
        <v>311</v>
      </c>
      <c r="Z194" t="s">
        <v>760</v>
      </c>
      <c r="AA194" t="s">
        <v>761</v>
      </c>
      <c r="AB194" t="s">
        <v>311</v>
      </c>
      <c r="AC194" t="s">
        <v>311</v>
      </c>
      <c r="AD194" t="s">
        <v>309</v>
      </c>
      <c r="AE194" t="s">
        <v>311</v>
      </c>
      <c r="AF194" t="s">
        <v>342</v>
      </c>
      <c r="AH194" t="s">
        <v>311</v>
      </c>
      <c r="AI194" t="s">
        <v>311</v>
      </c>
      <c r="AJ194" t="s">
        <v>311</v>
      </c>
      <c r="AK194" t="s">
        <v>700</v>
      </c>
      <c r="AL194" t="s">
        <v>357</v>
      </c>
      <c r="AM194" t="s">
        <v>859</v>
      </c>
      <c r="AN194" t="s">
        <v>584</v>
      </c>
      <c r="AO194" t="s">
        <v>1284</v>
      </c>
      <c r="AP194" t="s">
        <v>887</v>
      </c>
      <c r="AQ194" t="s">
        <v>887</v>
      </c>
      <c r="AR194">
        <v>0.89294117647058802</v>
      </c>
      <c r="AS194">
        <v>3.5294117647059031E-2</v>
      </c>
      <c r="AT194" t="s">
        <v>311</v>
      </c>
      <c r="AU194">
        <v>9</v>
      </c>
      <c r="AV194">
        <v>0.77647058823529402</v>
      </c>
      <c r="AW194">
        <v>3.8823529411763924E-2</v>
      </c>
      <c r="AX194" t="s">
        <v>311</v>
      </c>
      <c r="AY194">
        <v>9</v>
      </c>
      <c r="AZ194" t="s">
        <v>1678</v>
      </c>
      <c r="BA194" t="s">
        <v>1680</v>
      </c>
      <c r="BB194">
        <v>3</v>
      </c>
      <c r="BC194" t="s">
        <v>1672</v>
      </c>
      <c r="BD194" t="s">
        <v>1764</v>
      </c>
      <c r="BE194" t="s">
        <v>1881</v>
      </c>
      <c r="BF194">
        <v>2.2999999999999998</v>
      </c>
      <c r="BG194">
        <v>0.55000000000000004</v>
      </c>
      <c r="BH194">
        <v>0.63</v>
      </c>
      <c r="BI194">
        <v>0.23</v>
      </c>
      <c r="BJ194">
        <v>1.05</v>
      </c>
      <c r="BK194">
        <v>0.3</v>
      </c>
      <c r="BL194">
        <v>1.21</v>
      </c>
      <c r="BM194">
        <v>0.05</v>
      </c>
      <c r="BN194">
        <v>6</v>
      </c>
      <c r="BO194">
        <v>6</v>
      </c>
      <c r="BP194" s="6" t="s">
        <v>311</v>
      </c>
      <c r="BQ194" s="6" t="s">
        <v>311</v>
      </c>
      <c r="BR194" s="6" t="s">
        <v>311</v>
      </c>
      <c r="BS194" s="6" t="s">
        <v>311</v>
      </c>
      <c r="BT194" s="6" t="s">
        <v>311</v>
      </c>
      <c r="BU194" s="6" t="s">
        <v>311</v>
      </c>
      <c r="BV194" s="6" t="s">
        <v>311</v>
      </c>
      <c r="BW194" s="6" t="s">
        <v>311</v>
      </c>
      <c r="BX194" t="s">
        <v>1126</v>
      </c>
      <c r="BY194" t="s">
        <v>1203</v>
      </c>
      <c r="BZ194">
        <v>1.77</v>
      </c>
      <c r="CA194">
        <v>28</v>
      </c>
      <c r="CB194" t="s">
        <v>1209</v>
      </c>
      <c r="CC194" t="s">
        <v>1209</v>
      </c>
      <c r="CD194" t="s">
        <v>311</v>
      </c>
      <c r="CE194" t="s">
        <v>311</v>
      </c>
      <c r="CF194" t="s">
        <v>311</v>
      </c>
      <c r="CG194" t="s">
        <v>311</v>
      </c>
      <c r="CH194" t="s">
        <v>311</v>
      </c>
      <c r="CI194" t="s">
        <v>311</v>
      </c>
      <c r="CJ194" s="38">
        <v>0.12</v>
      </c>
      <c r="CK194" s="38">
        <v>0.15</v>
      </c>
      <c r="CL194" s="38" t="s">
        <v>311</v>
      </c>
      <c r="CM194" s="38" t="s">
        <v>311</v>
      </c>
      <c r="CN194" s="38" t="s">
        <v>311</v>
      </c>
      <c r="CO194" s="38" t="s">
        <v>311</v>
      </c>
      <c r="CP194" s="38">
        <v>0.15</v>
      </c>
      <c r="CR194" t="s">
        <v>1150</v>
      </c>
    </row>
    <row r="195" spans="1:96">
      <c r="A195">
        <v>194</v>
      </c>
      <c r="B195">
        <v>27</v>
      </c>
      <c r="C195">
        <v>11</v>
      </c>
      <c r="D195" t="s">
        <v>157</v>
      </c>
      <c r="E195" t="s">
        <v>158</v>
      </c>
      <c r="F195" t="s">
        <v>53</v>
      </c>
      <c r="G195">
        <v>2001</v>
      </c>
      <c r="H195" t="s">
        <v>1322</v>
      </c>
      <c r="I195" t="s">
        <v>1323</v>
      </c>
      <c r="J195">
        <v>-18.683333000000001</v>
      </c>
      <c r="K195">
        <v>146.58333300000001</v>
      </c>
      <c r="L195" t="s">
        <v>370</v>
      </c>
      <c r="M195" t="s">
        <v>410</v>
      </c>
      <c r="N195" t="s">
        <v>594</v>
      </c>
      <c r="O195" t="s">
        <v>288</v>
      </c>
      <c r="P195" t="s">
        <v>289</v>
      </c>
      <c r="Q195" t="s">
        <v>291</v>
      </c>
      <c r="R195" t="s">
        <v>558</v>
      </c>
      <c r="S195" t="s">
        <v>717</v>
      </c>
      <c r="T195" t="s">
        <v>330</v>
      </c>
      <c r="U195">
        <v>5</v>
      </c>
      <c r="V195" t="s">
        <v>311</v>
      </c>
      <c r="W195" t="s">
        <v>311</v>
      </c>
      <c r="X195" t="s">
        <v>340</v>
      </c>
      <c r="Y195" t="s">
        <v>311</v>
      </c>
      <c r="Z195" t="s">
        <v>760</v>
      </c>
      <c r="AA195" t="s">
        <v>761</v>
      </c>
      <c r="AB195" t="s">
        <v>311</v>
      </c>
      <c r="AC195" t="s">
        <v>311</v>
      </c>
      <c r="AD195" t="s">
        <v>309</v>
      </c>
      <c r="AE195" t="s">
        <v>311</v>
      </c>
      <c r="AF195" t="s">
        <v>342</v>
      </c>
      <c r="AH195" t="s">
        <v>311</v>
      </c>
      <c r="AI195" t="s">
        <v>311</v>
      </c>
      <c r="AJ195" t="s">
        <v>311</v>
      </c>
      <c r="AK195" t="s">
        <v>700</v>
      </c>
      <c r="AL195" t="s">
        <v>357</v>
      </c>
      <c r="AM195" t="s">
        <v>859</v>
      </c>
      <c r="AN195" t="s">
        <v>584</v>
      </c>
      <c r="AO195" t="s">
        <v>1284</v>
      </c>
      <c r="AP195" t="s">
        <v>887</v>
      </c>
      <c r="AQ195" t="s">
        <v>887</v>
      </c>
      <c r="AR195">
        <v>0.878823529411764</v>
      </c>
      <c r="AS195">
        <v>3.1764705882353028E-2</v>
      </c>
      <c r="AT195" t="s">
        <v>311</v>
      </c>
      <c r="AU195">
        <v>9</v>
      </c>
      <c r="AV195">
        <v>0.76941176470588202</v>
      </c>
      <c r="AW195">
        <v>3.8823529411765034E-2</v>
      </c>
      <c r="AX195" t="s">
        <v>311</v>
      </c>
      <c r="AY195">
        <v>9</v>
      </c>
      <c r="AZ195" t="s">
        <v>1678</v>
      </c>
      <c r="BA195" t="s">
        <v>1680</v>
      </c>
      <c r="BB195">
        <v>4</v>
      </c>
      <c r="BC195" t="s">
        <v>1672</v>
      </c>
      <c r="BD195" t="s">
        <v>1764</v>
      </c>
      <c r="BE195" t="s">
        <v>1881</v>
      </c>
      <c r="BF195">
        <v>2.2999999999999998</v>
      </c>
      <c r="BG195">
        <v>0.55000000000000004</v>
      </c>
      <c r="BH195">
        <v>0.63</v>
      </c>
      <c r="BI195">
        <v>0.23</v>
      </c>
      <c r="BJ195">
        <v>1.05</v>
      </c>
      <c r="BK195">
        <v>0.3</v>
      </c>
      <c r="BL195">
        <v>1.21</v>
      </c>
      <c r="BM195">
        <v>0.05</v>
      </c>
      <c r="BN195">
        <v>6</v>
      </c>
      <c r="BO195">
        <v>6</v>
      </c>
      <c r="BP195" s="6" t="s">
        <v>311</v>
      </c>
      <c r="BQ195" s="6" t="s">
        <v>311</v>
      </c>
      <c r="BR195" s="6" t="s">
        <v>311</v>
      </c>
      <c r="BS195" s="6" t="s">
        <v>311</v>
      </c>
      <c r="BT195" s="6" t="s">
        <v>311</v>
      </c>
      <c r="BU195" s="6" t="s">
        <v>311</v>
      </c>
      <c r="BV195" s="6" t="s">
        <v>311</v>
      </c>
      <c r="BW195" s="6" t="s">
        <v>311</v>
      </c>
      <c r="BX195" t="s">
        <v>1126</v>
      </c>
      <c r="BY195" t="s">
        <v>1203</v>
      </c>
      <c r="BZ195">
        <v>1.77</v>
      </c>
      <c r="CA195">
        <v>28</v>
      </c>
      <c r="CB195" t="s">
        <v>1209</v>
      </c>
      <c r="CC195" t="s">
        <v>1209</v>
      </c>
      <c r="CD195" t="s">
        <v>311</v>
      </c>
      <c r="CE195" t="s">
        <v>311</v>
      </c>
      <c r="CF195" t="s">
        <v>311</v>
      </c>
      <c r="CG195" t="s">
        <v>311</v>
      </c>
      <c r="CH195" t="s">
        <v>311</v>
      </c>
      <c r="CI195" t="s">
        <v>311</v>
      </c>
      <c r="CJ195" s="38">
        <v>0.12</v>
      </c>
      <c r="CK195" s="38">
        <v>0.15</v>
      </c>
      <c r="CL195" s="38" t="s">
        <v>311</v>
      </c>
      <c r="CM195" s="38" t="s">
        <v>311</v>
      </c>
      <c r="CN195" s="38" t="s">
        <v>311</v>
      </c>
      <c r="CO195" s="38" t="s">
        <v>311</v>
      </c>
      <c r="CP195" s="38">
        <v>0.15</v>
      </c>
      <c r="CR195" t="s">
        <v>1151</v>
      </c>
    </row>
    <row r="196" spans="1:96">
      <c r="A196">
        <v>195</v>
      </c>
      <c r="B196">
        <v>27</v>
      </c>
      <c r="C196">
        <v>12</v>
      </c>
      <c r="D196" t="s">
        <v>157</v>
      </c>
      <c r="E196" t="s">
        <v>158</v>
      </c>
      <c r="F196" t="s">
        <v>53</v>
      </c>
      <c r="G196">
        <v>2001</v>
      </c>
      <c r="H196" t="s">
        <v>1322</v>
      </c>
      <c r="I196" t="s">
        <v>1323</v>
      </c>
      <c r="J196">
        <v>-18.683333000000001</v>
      </c>
      <c r="K196">
        <v>146.58333300000001</v>
      </c>
      <c r="L196" t="s">
        <v>370</v>
      </c>
      <c r="M196" t="s">
        <v>410</v>
      </c>
      <c r="N196" t="s">
        <v>594</v>
      </c>
      <c r="O196" t="s">
        <v>288</v>
      </c>
      <c r="P196" t="s">
        <v>289</v>
      </c>
      <c r="Q196" t="s">
        <v>291</v>
      </c>
      <c r="R196" t="s">
        <v>558</v>
      </c>
      <c r="S196" t="s">
        <v>717</v>
      </c>
      <c r="T196" t="s">
        <v>330</v>
      </c>
      <c r="U196">
        <v>5</v>
      </c>
      <c r="V196" t="s">
        <v>311</v>
      </c>
      <c r="W196" t="s">
        <v>311</v>
      </c>
      <c r="X196" t="s">
        <v>340</v>
      </c>
      <c r="Y196" t="s">
        <v>311</v>
      </c>
      <c r="Z196" t="s">
        <v>760</v>
      </c>
      <c r="AA196" t="s">
        <v>761</v>
      </c>
      <c r="AB196" t="s">
        <v>311</v>
      </c>
      <c r="AC196" t="s">
        <v>311</v>
      </c>
      <c r="AD196" t="s">
        <v>309</v>
      </c>
      <c r="AE196" t="s">
        <v>311</v>
      </c>
      <c r="AF196" t="s">
        <v>342</v>
      </c>
      <c r="AH196" t="s">
        <v>311</v>
      </c>
      <c r="AI196" t="s">
        <v>311</v>
      </c>
      <c r="AJ196" t="s">
        <v>311</v>
      </c>
      <c r="AK196" t="s">
        <v>700</v>
      </c>
      <c r="AL196" t="s">
        <v>357</v>
      </c>
      <c r="AM196" t="s">
        <v>859</v>
      </c>
      <c r="AN196" t="s">
        <v>584</v>
      </c>
      <c r="AO196" t="s">
        <v>1284</v>
      </c>
      <c r="AP196" t="s">
        <v>887</v>
      </c>
      <c r="AQ196" t="s">
        <v>887</v>
      </c>
      <c r="AR196">
        <v>0.96</v>
      </c>
      <c r="AS196">
        <v>2.4705882352941022E-2</v>
      </c>
      <c r="AT196" t="s">
        <v>311</v>
      </c>
      <c r="AU196">
        <v>9</v>
      </c>
      <c r="AV196">
        <v>0.81882352941176395</v>
      </c>
      <c r="AW196">
        <v>3.1764705882353028E-2</v>
      </c>
      <c r="AX196" t="s">
        <v>311</v>
      </c>
      <c r="AY196">
        <v>9</v>
      </c>
      <c r="AZ196" t="s">
        <v>1678</v>
      </c>
      <c r="BA196" t="s">
        <v>1680</v>
      </c>
      <c r="BB196">
        <v>5</v>
      </c>
      <c r="BC196" t="s">
        <v>1672</v>
      </c>
      <c r="BD196" t="s">
        <v>1763</v>
      </c>
      <c r="BE196" t="s">
        <v>1881</v>
      </c>
      <c r="BF196">
        <v>2.2999999999999998</v>
      </c>
      <c r="BG196">
        <v>0.55000000000000004</v>
      </c>
      <c r="BH196">
        <v>0.63</v>
      </c>
      <c r="BI196">
        <v>0.23</v>
      </c>
      <c r="BJ196">
        <v>1.05</v>
      </c>
      <c r="BK196">
        <v>0.3</v>
      </c>
      <c r="BL196">
        <v>1.21</v>
      </c>
      <c r="BM196">
        <v>0.05</v>
      </c>
      <c r="BN196">
        <v>6</v>
      </c>
      <c r="BO196">
        <v>6</v>
      </c>
      <c r="BP196" s="6" t="s">
        <v>311</v>
      </c>
      <c r="BQ196" s="6" t="s">
        <v>311</v>
      </c>
      <c r="BR196" s="6" t="s">
        <v>311</v>
      </c>
      <c r="BS196" s="6" t="s">
        <v>311</v>
      </c>
      <c r="BT196" s="6" t="s">
        <v>311</v>
      </c>
      <c r="BU196" s="6" t="s">
        <v>311</v>
      </c>
      <c r="BV196" s="6" t="s">
        <v>311</v>
      </c>
      <c r="BW196" s="6" t="s">
        <v>311</v>
      </c>
      <c r="BX196" t="s">
        <v>1126</v>
      </c>
      <c r="BY196" t="s">
        <v>1203</v>
      </c>
      <c r="BZ196">
        <v>1.77</v>
      </c>
      <c r="CA196">
        <v>28</v>
      </c>
      <c r="CB196" t="s">
        <v>1209</v>
      </c>
      <c r="CC196" t="s">
        <v>1209</v>
      </c>
      <c r="CD196" t="s">
        <v>311</v>
      </c>
      <c r="CE196" t="s">
        <v>311</v>
      </c>
      <c r="CF196" t="s">
        <v>311</v>
      </c>
      <c r="CG196" t="s">
        <v>311</v>
      </c>
      <c r="CH196" t="s">
        <v>311</v>
      </c>
      <c r="CI196" t="s">
        <v>311</v>
      </c>
      <c r="CJ196" s="38">
        <v>0.12</v>
      </c>
      <c r="CK196" s="38">
        <v>0.15</v>
      </c>
      <c r="CL196" s="38" t="s">
        <v>311</v>
      </c>
      <c r="CM196" s="38" t="s">
        <v>311</v>
      </c>
      <c r="CN196" s="38" t="s">
        <v>311</v>
      </c>
      <c r="CO196" s="38" t="s">
        <v>311</v>
      </c>
      <c r="CP196" s="38">
        <v>0.15</v>
      </c>
      <c r="CR196" t="s">
        <v>1152</v>
      </c>
    </row>
    <row r="197" spans="1:96">
      <c r="A197">
        <v>196</v>
      </c>
      <c r="B197">
        <v>28</v>
      </c>
      <c r="C197">
        <v>1</v>
      </c>
      <c r="D197" t="s">
        <v>166</v>
      </c>
      <c r="E197" t="s">
        <v>167</v>
      </c>
      <c r="F197" t="s">
        <v>168</v>
      </c>
      <c r="G197">
        <v>1999</v>
      </c>
      <c r="H197" t="s">
        <v>462</v>
      </c>
      <c r="I197" t="s">
        <v>463</v>
      </c>
      <c r="J197">
        <v>47.046931000000001</v>
      </c>
      <c r="K197">
        <v>-2.1396820000000001</v>
      </c>
      <c r="L197" t="s">
        <v>323</v>
      </c>
      <c r="M197" t="s">
        <v>369</v>
      </c>
      <c r="N197" t="s">
        <v>600</v>
      </c>
      <c r="O197" t="s">
        <v>532</v>
      </c>
      <c r="P197" t="s">
        <v>693</v>
      </c>
      <c r="Q197" t="s">
        <v>333</v>
      </c>
      <c r="R197" t="s">
        <v>710</v>
      </c>
      <c r="S197" t="s">
        <v>311</v>
      </c>
      <c r="T197" t="s">
        <v>330</v>
      </c>
      <c r="U197">
        <v>5</v>
      </c>
      <c r="V197" t="s">
        <v>311</v>
      </c>
      <c r="W197" t="s">
        <v>311</v>
      </c>
      <c r="X197" t="s">
        <v>292</v>
      </c>
      <c r="Y197" t="s">
        <v>617</v>
      </c>
      <c r="Z197" t="s">
        <v>537</v>
      </c>
      <c r="AA197" t="s">
        <v>538</v>
      </c>
      <c r="AB197" t="s">
        <v>615</v>
      </c>
      <c r="AC197" t="s">
        <v>616</v>
      </c>
      <c r="AD197" t="s">
        <v>292</v>
      </c>
      <c r="AE197" t="s">
        <v>736</v>
      </c>
      <c r="AF197" t="s">
        <v>342</v>
      </c>
      <c r="AH197" t="s">
        <v>343</v>
      </c>
      <c r="AI197" t="s">
        <v>721</v>
      </c>
      <c r="AJ197" t="s">
        <v>730</v>
      </c>
      <c r="AK197" t="s">
        <v>700</v>
      </c>
      <c r="AL197" t="s">
        <v>357</v>
      </c>
      <c r="AM197" t="s">
        <v>1089</v>
      </c>
      <c r="AN197" t="s">
        <v>584</v>
      </c>
      <c r="AO197" t="s">
        <v>345</v>
      </c>
      <c r="AP197" t="s">
        <v>887</v>
      </c>
      <c r="AQ197" t="s">
        <v>887</v>
      </c>
      <c r="AR197">
        <v>2108.1081081081002</v>
      </c>
      <c r="AS197">
        <v>726.2364405221582</v>
      </c>
      <c r="AT197" t="s">
        <v>311</v>
      </c>
      <c r="AU197">
        <v>4</v>
      </c>
      <c r="AV197">
        <v>1765.7657657657601</v>
      </c>
      <c r="AW197">
        <v>151.68229453943869</v>
      </c>
      <c r="AX197" t="s">
        <v>311</v>
      </c>
      <c r="AY197">
        <v>4</v>
      </c>
      <c r="AZ197" t="s">
        <v>1677</v>
      </c>
      <c r="BA197" t="s">
        <v>1679</v>
      </c>
      <c r="BB197">
        <v>6</v>
      </c>
      <c r="BC197" t="s">
        <v>1672</v>
      </c>
      <c r="BD197" t="s">
        <v>311</v>
      </c>
      <c r="BE197" t="s">
        <v>1881</v>
      </c>
      <c r="BF197">
        <v>4.2699999999999996</v>
      </c>
      <c r="BG197">
        <v>3.03</v>
      </c>
      <c r="BH197">
        <v>0</v>
      </c>
      <c r="BI197">
        <v>0</v>
      </c>
      <c r="BJ197" t="s">
        <v>311</v>
      </c>
      <c r="BK197" t="s">
        <v>311</v>
      </c>
      <c r="BL197" t="s">
        <v>311</v>
      </c>
      <c r="BM197" t="s">
        <v>311</v>
      </c>
      <c r="BN197">
        <v>16</v>
      </c>
      <c r="BO197">
        <v>16</v>
      </c>
      <c r="BP197" s="6" t="s">
        <v>311</v>
      </c>
      <c r="BQ197" s="6" t="s">
        <v>311</v>
      </c>
      <c r="BR197" s="6" t="s">
        <v>311</v>
      </c>
      <c r="BS197" s="6" t="s">
        <v>311</v>
      </c>
      <c r="BT197" s="6" t="s">
        <v>311</v>
      </c>
      <c r="BU197" s="6" t="s">
        <v>311</v>
      </c>
      <c r="BV197" s="6" t="s">
        <v>311</v>
      </c>
      <c r="BW197" s="6" t="s">
        <v>311</v>
      </c>
      <c r="BX197" t="s">
        <v>1126</v>
      </c>
      <c r="BY197" t="s">
        <v>1203</v>
      </c>
      <c r="BZ197">
        <v>5.635738831615086</v>
      </c>
      <c r="CA197">
        <v>14</v>
      </c>
      <c r="CB197" t="s">
        <v>1209</v>
      </c>
      <c r="CC197" t="s">
        <v>1210</v>
      </c>
      <c r="CD197" t="s">
        <v>311</v>
      </c>
      <c r="CE197" t="s">
        <v>311</v>
      </c>
      <c r="CF197" t="s">
        <v>311</v>
      </c>
      <c r="CG197" t="s">
        <v>1349</v>
      </c>
      <c r="CH197" t="s">
        <v>1310</v>
      </c>
      <c r="CI197">
        <v>0</v>
      </c>
      <c r="CJ197" s="38">
        <v>0.75</v>
      </c>
      <c r="CK197" s="38">
        <v>0</v>
      </c>
      <c r="CL197" s="38" t="s">
        <v>311</v>
      </c>
      <c r="CM197" s="38" t="s">
        <v>311</v>
      </c>
      <c r="CN197" s="38" t="s">
        <v>311</v>
      </c>
      <c r="CO197" s="38" t="s">
        <v>311</v>
      </c>
      <c r="CP197" s="38" t="s">
        <v>311</v>
      </c>
      <c r="CQ197" t="s">
        <v>1726</v>
      </c>
      <c r="CR197" t="s">
        <v>1623</v>
      </c>
    </row>
    <row r="198" spans="1:96">
      <c r="A198">
        <v>197</v>
      </c>
      <c r="B198">
        <v>28</v>
      </c>
      <c r="C198">
        <v>2</v>
      </c>
      <c r="D198" t="s">
        <v>166</v>
      </c>
      <c r="E198" t="s">
        <v>167</v>
      </c>
      <c r="F198" t="s">
        <v>168</v>
      </c>
      <c r="G198">
        <v>1999</v>
      </c>
      <c r="H198" t="s">
        <v>462</v>
      </c>
      <c r="I198" t="s">
        <v>463</v>
      </c>
      <c r="J198">
        <v>47.046931000000001</v>
      </c>
      <c r="K198">
        <v>-2.1396820000000001</v>
      </c>
      <c r="L198" t="s">
        <v>323</v>
      </c>
      <c r="M198" t="s">
        <v>369</v>
      </c>
      <c r="N198" t="s">
        <v>600</v>
      </c>
      <c r="O198" t="s">
        <v>532</v>
      </c>
      <c r="P198" t="s">
        <v>693</v>
      </c>
      <c r="Q198" t="s">
        <v>333</v>
      </c>
      <c r="R198" t="s">
        <v>710</v>
      </c>
      <c r="S198" t="s">
        <v>311</v>
      </c>
      <c r="T198" t="s">
        <v>330</v>
      </c>
      <c r="U198">
        <v>5</v>
      </c>
      <c r="V198" t="s">
        <v>311</v>
      </c>
      <c r="W198" t="s">
        <v>311</v>
      </c>
      <c r="X198" t="s">
        <v>292</v>
      </c>
      <c r="Y198" t="s">
        <v>617</v>
      </c>
      <c r="Z198" t="s">
        <v>537</v>
      </c>
      <c r="AA198" t="s">
        <v>538</v>
      </c>
      <c r="AB198" t="s">
        <v>615</v>
      </c>
      <c r="AC198" t="s">
        <v>616</v>
      </c>
      <c r="AD198" t="s">
        <v>292</v>
      </c>
      <c r="AE198" t="s">
        <v>736</v>
      </c>
      <c r="AF198" t="s">
        <v>342</v>
      </c>
      <c r="AH198" t="s">
        <v>343</v>
      </c>
      <c r="AI198" t="s">
        <v>721</v>
      </c>
      <c r="AJ198" t="s">
        <v>730</v>
      </c>
      <c r="AK198" t="s">
        <v>700</v>
      </c>
      <c r="AL198" t="s">
        <v>357</v>
      </c>
      <c r="AM198" t="s">
        <v>1090</v>
      </c>
      <c r="AN198" t="s">
        <v>584</v>
      </c>
      <c r="AO198" t="s">
        <v>345</v>
      </c>
      <c r="AP198" t="s">
        <v>887</v>
      </c>
      <c r="AQ198" t="s">
        <v>887</v>
      </c>
      <c r="AR198">
        <v>1513.5135135135099</v>
      </c>
      <c r="AS198">
        <v>358.5217870932143</v>
      </c>
      <c r="AT198" t="s">
        <v>311</v>
      </c>
      <c r="AU198">
        <v>4</v>
      </c>
      <c r="AV198">
        <v>1765.7657657657601</v>
      </c>
      <c r="AW198">
        <v>151.68229453943869</v>
      </c>
      <c r="AX198" t="s">
        <v>311</v>
      </c>
      <c r="AY198">
        <v>4</v>
      </c>
      <c r="AZ198" t="s">
        <v>1677</v>
      </c>
      <c r="BA198" t="s">
        <v>1679</v>
      </c>
      <c r="BB198">
        <v>6</v>
      </c>
      <c r="BC198" t="s">
        <v>1672</v>
      </c>
      <c r="BD198" t="s">
        <v>311</v>
      </c>
      <c r="BE198" t="s">
        <v>1881</v>
      </c>
      <c r="BF198">
        <v>0.49</v>
      </c>
      <c r="BG198">
        <v>2.92</v>
      </c>
      <c r="BH198">
        <v>0</v>
      </c>
      <c r="BI198">
        <v>0</v>
      </c>
      <c r="BJ198" t="s">
        <v>311</v>
      </c>
      <c r="BK198" t="s">
        <v>311</v>
      </c>
      <c r="BL198" t="s">
        <v>311</v>
      </c>
      <c r="BM198" t="s">
        <v>311</v>
      </c>
      <c r="BN198">
        <v>16</v>
      </c>
      <c r="BO198">
        <v>16</v>
      </c>
      <c r="BP198" s="6" t="s">
        <v>311</v>
      </c>
      <c r="BQ198" s="6" t="s">
        <v>311</v>
      </c>
      <c r="BR198" s="6" t="s">
        <v>311</v>
      </c>
      <c r="BS198" s="6" t="s">
        <v>311</v>
      </c>
      <c r="BT198" s="6" t="s">
        <v>311</v>
      </c>
      <c r="BU198" s="6" t="s">
        <v>311</v>
      </c>
      <c r="BV198" s="6" t="s">
        <v>311</v>
      </c>
      <c r="BW198" s="6" t="s">
        <v>311</v>
      </c>
      <c r="BX198" t="s">
        <v>1126</v>
      </c>
      <c r="BY198" t="s">
        <v>1203</v>
      </c>
      <c r="BZ198">
        <v>5.635738831615086</v>
      </c>
      <c r="CA198">
        <v>14</v>
      </c>
      <c r="CB198" t="s">
        <v>1209</v>
      </c>
      <c r="CC198" t="s">
        <v>1210</v>
      </c>
      <c r="CD198" t="s">
        <v>311</v>
      </c>
      <c r="CE198" t="s">
        <v>311</v>
      </c>
      <c r="CF198" t="s">
        <v>311</v>
      </c>
      <c r="CG198" t="s">
        <v>1349</v>
      </c>
      <c r="CH198" t="s">
        <v>1310</v>
      </c>
      <c r="CI198">
        <v>0</v>
      </c>
      <c r="CJ198" s="38">
        <v>1</v>
      </c>
      <c r="CK198" s="38">
        <v>0</v>
      </c>
      <c r="CL198" s="38" t="s">
        <v>311</v>
      </c>
      <c r="CM198" s="38" t="s">
        <v>311</v>
      </c>
      <c r="CN198" s="38" t="s">
        <v>311</v>
      </c>
      <c r="CO198" s="38" t="s">
        <v>311</v>
      </c>
      <c r="CP198" s="38" t="s">
        <v>311</v>
      </c>
      <c r="CQ198" t="s">
        <v>1727</v>
      </c>
      <c r="CR198" t="s">
        <v>751</v>
      </c>
    </row>
    <row r="199" spans="1:96">
      <c r="A199">
        <v>198</v>
      </c>
      <c r="B199">
        <v>28</v>
      </c>
      <c r="C199">
        <v>3</v>
      </c>
      <c r="D199" t="s">
        <v>166</v>
      </c>
      <c r="E199" t="s">
        <v>167</v>
      </c>
      <c r="F199" t="s">
        <v>168</v>
      </c>
      <c r="G199">
        <v>1999</v>
      </c>
      <c r="H199" t="s">
        <v>462</v>
      </c>
      <c r="I199" t="s">
        <v>463</v>
      </c>
      <c r="J199">
        <v>47.046931000000001</v>
      </c>
      <c r="K199">
        <v>-2.1396820000000001</v>
      </c>
      <c r="L199" t="s">
        <v>323</v>
      </c>
      <c r="M199" t="s">
        <v>369</v>
      </c>
      <c r="N199" t="s">
        <v>600</v>
      </c>
      <c r="O199" t="s">
        <v>532</v>
      </c>
      <c r="P199" t="s">
        <v>693</v>
      </c>
      <c r="Q199" t="s">
        <v>333</v>
      </c>
      <c r="R199" t="s">
        <v>710</v>
      </c>
      <c r="S199" t="s">
        <v>311</v>
      </c>
      <c r="T199" t="s">
        <v>330</v>
      </c>
      <c r="U199">
        <v>5</v>
      </c>
      <c r="V199" t="s">
        <v>311</v>
      </c>
      <c r="W199" t="s">
        <v>311</v>
      </c>
      <c r="X199" t="s">
        <v>292</v>
      </c>
      <c r="Y199" t="s">
        <v>617</v>
      </c>
      <c r="Z199" t="s">
        <v>537</v>
      </c>
      <c r="AA199" t="s">
        <v>538</v>
      </c>
      <c r="AB199" t="s">
        <v>615</v>
      </c>
      <c r="AC199" t="s">
        <v>616</v>
      </c>
      <c r="AD199" t="s">
        <v>292</v>
      </c>
      <c r="AE199" t="s">
        <v>738</v>
      </c>
      <c r="AF199" t="s">
        <v>342</v>
      </c>
      <c r="AH199" t="s">
        <v>343</v>
      </c>
      <c r="AI199" t="s">
        <v>722</v>
      </c>
      <c r="AJ199" t="s">
        <v>723</v>
      </c>
      <c r="AK199" t="s">
        <v>700</v>
      </c>
      <c r="AL199" t="s">
        <v>357</v>
      </c>
      <c r="AM199" t="s">
        <v>1089</v>
      </c>
      <c r="AN199" t="s">
        <v>584</v>
      </c>
      <c r="AO199" t="s">
        <v>345</v>
      </c>
      <c r="AP199" t="s">
        <v>887</v>
      </c>
      <c r="AQ199" t="s">
        <v>887</v>
      </c>
      <c r="AR199">
        <v>182.584269662921</v>
      </c>
      <c r="AS199">
        <v>23.217152029351023</v>
      </c>
      <c r="AT199" t="s">
        <v>311</v>
      </c>
      <c r="AU199">
        <v>4</v>
      </c>
      <c r="AV199">
        <v>164.60674157303299</v>
      </c>
      <c r="AW199">
        <v>19.777573950928577</v>
      </c>
      <c r="AX199" t="s">
        <v>311</v>
      </c>
      <c r="AY199">
        <v>4</v>
      </c>
      <c r="AZ199" t="s">
        <v>1677</v>
      </c>
      <c r="BA199" t="s">
        <v>1679</v>
      </c>
      <c r="BB199">
        <v>6</v>
      </c>
      <c r="BC199" t="s">
        <v>1672</v>
      </c>
      <c r="BD199" t="s">
        <v>311</v>
      </c>
      <c r="BE199" t="s">
        <v>1881</v>
      </c>
      <c r="BF199">
        <v>4.2699999999999996</v>
      </c>
      <c r="BG199">
        <v>3.03</v>
      </c>
      <c r="BH199">
        <v>0</v>
      </c>
      <c r="BI199">
        <v>0</v>
      </c>
      <c r="BJ199" t="s">
        <v>311</v>
      </c>
      <c r="BK199" t="s">
        <v>311</v>
      </c>
      <c r="BL199" t="s">
        <v>311</v>
      </c>
      <c r="BM199" t="s">
        <v>311</v>
      </c>
      <c r="BN199">
        <v>16</v>
      </c>
      <c r="BO199">
        <v>16</v>
      </c>
      <c r="BP199" s="6" t="s">
        <v>311</v>
      </c>
      <c r="BQ199" s="6" t="s">
        <v>311</v>
      </c>
      <c r="BR199" s="6" t="s">
        <v>311</v>
      </c>
      <c r="BS199" s="6" t="s">
        <v>311</v>
      </c>
      <c r="BT199" s="6" t="s">
        <v>311</v>
      </c>
      <c r="BU199" s="6" t="s">
        <v>311</v>
      </c>
      <c r="BV199" s="6" t="s">
        <v>311</v>
      </c>
      <c r="BW199" s="6" t="s">
        <v>311</v>
      </c>
      <c r="BX199" t="s">
        <v>1126</v>
      </c>
      <c r="BY199" t="s">
        <v>1203</v>
      </c>
      <c r="BZ199">
        <v>5.635738831615086</v>
      </c>
      <c r="CA199">
        <v>14</v>
      </c>
      <c r="CB199" t="s">
        <v>1209</v>
      </c>
      <c r="CC199" t="s">
        <v>1210</v>
      </c>
      <c r="CD199" t="s">
        <v>311</v>
      </c>
      <c r="CE199" t="s">
        <v>311</v>
      </c>
      <c r="CF199" t="s">
        <v>311</v>
      </c>
      <c r="CG199" t="s">
        <v>1349</v>
      </c>
      <c r="CH199" t="s">
        <v>1310</v>
      </c>
      <c r="CI199">
        <v>0</v>
      </c>
      <c r="CJ199" s="38">
        <v>0.75</v>
      </c>
      <c r="CK199" s="38">
        <v>0</v>
      </c>
      <c r="CL199" s="38" t="s">
        <v>311</v>
      </c>
      <c r="CM199" s="38" t="s">
        <v>311</v>
      </c>
      <c r="CN199" s="38" t="s">
        <v>311</v>
      </c>
      <c r="CO199" s="38" t="s">
        <v>311</v>
      </c>
      <c r="CP199" s="38" t="s">
        <v>311</v>
      </c>
      <c r="CQ199" t="s">
        <v>1727</v>
      </c>
      <c r="CR199" t="s">
        <v>751</v>
      </c>
    </row>
    <row r="200" spans="1:96">
      <c r="A200">
        <v>199</v>
      </c>
      <c r="B200">
        <v>28</v>
      </c>
      <c r="C200">
        <v>4</v>
      </c>
      <c r="D200" t="s">
        <v>166</v>
      </c>
      <c r="E200" t="s">
        <v>167</v>
      </c>
      <c r="F200" t="s">
        <v>168</v>
      </c>
      <c r="G200">
        <v>1999</v>
      </c>
      <c r="H200" t="s">
        <v>462</v>
      </c>
      <c r="I200" t="s">
        <v>463</v>
      </c>
      <c r="J200">
        <v>47.046931000000001</v>
      </c>
      <c r="K200">
        <v>-2.1396820000000001</v>
      </c>
      <c r="L200" t="s">
        <v>323</v>
      </c>
      <c r="M200" t="s">
        <v>369</v>
      </c>
      <c r="N200" t="s">
        <v>600</v>
      </c>
      <c r="O200" t="s">
        <v>532</v>
      </c>
      <c r="P200" t="s">
        <v>693</v>
      </c>
      <c r="Q200" t="s">
        <v>333</v>
      </c>
      <c r="R200" t="s">
        <v>710</v>
      </c>
      <c r="S200" t="s">
        <v>311</v>
      </c>
      <c r="T200" t="s">
        <v>330</v>
      </c>
      <c r="U200">
        <v>5</v>
      </c>
      <c r="V200" t="s">
        <v>311</v>
      </c>
      <c r="W200" t="s">
        <v>311</v>
      </c>
      <c r="X200" t="s">
        <v>292</v>
      </c>
      <c r="Y200" t="s">
        <v>617</v>
      </c>
      <c r="Z200" t="s">
        <v>537</v>
      </c>
      <c r="AA200" t="s">
        <v>538</v>
      </c>
      <c r="AB200" t="s">
        <v>615</v>
      </c>
      <c r="AC200" t="s">
        <v>616</v>
      </c>
      <c r="AD200" t="s">
        <v>292</v>
      </c>
      <c r="AE200" t="s">
        <v>738</v>
      </c>
      <c r="AF200" t="s">
        <v>342</v>
      </c>
      <c r="AH200" t="s">
        <v>343</v>
      </c>
      <c r="AI200" t="s">
        <v>722</v>
      </c>
      <c r="AJ200" t="s">
        <v>723</v>
      </c>
      <c r="AK200" t="s">
        <v>700</v>
      </c>
      <c r="AL200" t="s">
        <v>357</v>
      </c>
      <c r="AM200" t="s">
        <v>1090</v>
      </c>
      <c r="AN200" t="s">
        <v>584</v>
      </c>
      <c r="AO200" t="s">
        <v>345</v>
      </c>
      <c r="AP200" t="s">
        <v>887</v>
      </c>
      <c r="AQ200" t="s">
        <v>887</v>
      </c>
      <c r="AR200">
        <v>185.955056179775</v>
      </c>
      <c r="AS200">
        <v>18.917679431322959</v>
      </c>
      <c r="AT200" t="s">
        <v>311</v>
      </c>
      <c r="AU200">
        <v>4</v>
      </c>
      <c r="AV200">
        <v>164.60674157303299</v>
      </c>
      <c r="AW200">
        <v>19.777573950928577</v>
      </c>
      <c r="AX200" t="s">
        <v>311</v>
      </c>
      <c r="AY200">
        <v>4</v>
      </c>
      <c r="AZ200" t="s">
        <v>1677</v>
      </c>
      <c r="BA200" t="s">
        <v>1679</v>
      </c>
      <c r="BB200">
        <v>6</v>
      </c>
      <c r="BC200" t="s">
        <v>1672</v>
      </c>
      <c r="BD200" t="s">
        <v>311</v>
      </c>
      <c r="BE200" t="s">
        <v>1881</v>
      </c>
      <c r="BF200">
        <v>0.49</v>
      </c>
      <c r="BG200">
        <v>2.92</v>
      </c>
      <c r="BH200">
        <v>0</v>
      </c>
      <c r="BI200">
        <v>0</v>
      </c>
      <c r="BJ200" t="s">
        <v>311</v>
      </c>
      <c r="BK200" t="s">
        <v>311</v>
      </c>
      <c r="BL200" t="s">
        <v>311</v>
      </c>
      <c r="BM200" t="s">
        <v>311</v>
      </c>
      <c r="BN200">
        <v>16</v>
      </c>
      <c r="BO200">
        <v>16</v>
      </c>
      <c r="BP200" s="6" t="s">
        <v>311</v>
      </c>
      <c r="BQ200" s="6" t="s">
        <v>311</v>
      </c>
      <c r="BR200" s="6" t="s">
        <v>311</v>
      </c>
      <c r="BS200" s="6" t="s">
        <v>311</v>
      </c>
      <c r="BT200" s="6" t="s">
        <v>311</v>
      </c>
      <c r="BU200" s="6" t="s">
        <v>311</v>
      </c>
      <c r="BV200" s="6" t="s">
        <v>311</v>
      </c>
      <c r="BW200" s="6" t="s">
        <v>311</v>
      </c>
      <c r="BX200" t="s">
        <v>1126</v>
      </c>
      <c r="BY200" t="s">
        <v>1203</v>
      </c>
      <c r="BZ200">
        <v>5.635738831615086</v>
      </c>
      <c r="CA200">
        <v>14</v>
      </c>
      <c r="CB200" t="s">
        <v>1209</v>
      </c>
      <c r="CC200" t="s">
        <v>1210</v>
      </c>
      <c r="CD200" t="s">
        <v>311</v>
      </c>
      <c r="CE200" t="s">
        <v>311</v>
      </c>
      <c r="CF200" t="s">
        <v>311</v>
      </c>
      <c r="CG200" t="s">
        <v>1349</v>
      </c>
      <c r="CH200" t="s">
        <v>1310</v>
      </c>
      <c r="CI200">
        <v>0</v>
      </c>
      <c r="CJ200" s="38">
        <v>1</v>
      </c>
      <c r="CK200" s="38">
        <v>0</v>
      </c>
      <c r="CL200" s="38" t="s">
        <v>311</v>
      </c>
      <c r="CM200" s="38" t="s">
        <v>311</v>
      </c>
      <c r="CN200" s="38" t="s">
        <v>311</v>
      </c>
      <c r="CO200" s="38" t="s">
        <v>311</v>
      </c>
      <c r="CP200" s="38" t="s">
        <v>311</v>
      </c>
      <c r="CQ200" t="s">
        <v>1727</v>
      </c>
      <c r="CR200" t="s">
        <v>751</v>
      </c>
    </row>
    <row r="201" spans="1:96">
      <c r="A201">
        <v>200</v>
      </c>
      <c r="B201">
        <v>28</v>
      </c>
      <c r="C201">
        <v>5</v>
      </c>
      <c r="D201" t="s">
        <v>166</v>
      </c>
      <c r="E201" t="s">
        <v>167</v>
      </c>
      <c r="F201" t="s">
        <v>168</v>
      </c>
      <c r="G201">
        <v>1999</v>
      </c>
      <c r="H201" t="s">
        <v>462</v>
      </c>
      <c r="I201" t="s">
        <v>463</v>
      </c>
      <c r="J201">
        <v>47.046931000000001</v>
      </c>
      <c r="K201">
        <v>-2.1396820000000001</v>
      </c>
      <c r="L201" t="s">
        <v>323</v>
      </c>
      <c r="M201" t="s">
        <v>369</v>
      </c>
      <c r="N201" t="s">
        <v>600</v>
      </c>
      <c r="O201" t="s">
        <v>532</v>
      </c>
      <c r="P201" t="s">
        <v>693</v>
      </c>
      <c r="Q201" t="s">
        <v>333</v>
      </c>
      <c r="R201" t="s">
        <v>710</v>
      </c>
      <c r="S201" t="s">
        <v>311</v>
      </c>
      <c r="T201" t="s">
        <v>330</v>
      </c>
      <c r="U201">
        <v>5</v>
      </c>
      <c r="V201" t="s">
        <v>311</v>
      </c>
      <c r="W201" t="s">
        <v>311</v>
      </c>
      <c r="X201" t="s">
        <v>292</v>
      </c>
      <c r="Y201" t="s">
        <v>617</v>
      </c>
      <c r="Z201" t="s">
        <v>537</v>
      </c>
      <c r="AA201" t="s">
        <v>538</v>
      </c>
      <c r="AB201" t="s">
        <v>615</v>
      </c>
      <c r="AC201" t="s">
        <v>616</v>
      </c>
      <c r="AD201" t="s">
        <v>292</v>
      </c>
      <c r="AE201" t="s">
        <v>737</v>
      </c>
      <c r="AF201" t="s">
        <v>342</v>
      </c>
      <c r="AH201" t="s">
        <v>343</v>
      </c>
      <c r="AI201" t="s">
        <v>724</v>
      </c>
      <c r="AJ201" t="s">
        <v>725</v>
      </c>
      <c r="AK201" t="s">
        <v>700</v>
      </c>
      <c r="AL201" t="s">
        <v>357</v>
      </c>
      <c r="AM201" t="s">
        <v>1089</v>
      </c>
      <c r="AN201" t="s">
        <v>584</v>
      </c>
      <c r="AO201" t="s">
        <v>345</v>
      </c>
      <c r="AP201" t="s">
        <v>887</v>
      </c>
      <c r="AQ201" t="s">
        <v>887</v>
      </c>
      <c r="AR201">
        <v>157.71513353115699</v>
      </c>
      <c r="AS201">
        <v>18.394598195361226</v>
      </c>
      <c r="AT201" t="s">
        <v>311</v>
      </c>
      <c r="AU201">
        <v>4</v>
      </c>
      <c r="AV201">
        <v>3.2640949554895902</v>
      </c>
      <c r="AW201">
        <v>0.68128141464301517</v>
      </c>
      <c r="AX201" t="s">
        <v>311</v>
      </c>
      <c r="AY201">
        <v>4</v>
      </c>
      <c r="AZ201" t="s">
        <v>1677</v>
      </c>
      <c r="BA201" t="s">
        <v>1679</v>
      </c>
      <c r="BB201">
        <v>6</v>
      </c>
      <c r="BC201" t="s">
        <v>1672</v>
      </c>
      <c r="BD201" t="s">
        <v>311</v>
      </c>
      <c r="BE201" t="s">
        <v>1881</v>
      </c>
      <c r="BF201">
        <v>4.2699999999999996</v>
      </c>
      <c r="BG201">
        <v>3.03</v>
      </c>
      <c r="BH201">
        <v>0</v>
      </c>
      <c r="BI201">
        <v>0</v>
      </c>
      <c r="BJ201" t="s">
        <v>311</v>
      </c>
      <c r="BK201" t="s">
        <v>311</v>
      </c>
      <c r="BL201" t="s">
        <v>311</v>
      </c>
      <c r="BM201" t="s">
        <v>311</v>
      </c>
      <c r="BN201">
        <v>16</v>
      </c>
      <c r="BO201">
        <v>16</v>
      </c>
      <c r="BP201" s="6" t="s">
        <v>311</v>
      </c>
      <c r="BQ201" s="6" t="s">
        <v>311</v>
      </c>
      <c r="BR201" s="6" t="s">
        <v>311</v>
      </c>
      <c r="BS201" s="6" t="s">
        <v>311</v>
      </c>
      <c r="BT201" s="6" t="s">
        <v>311</v>
      </c>
      <c r="BU201" s="6" t="s">
        <v>311</v>
      </c>
      <c r="BV201" s="6" t="s">
        <v>311</v>
      </c>
      <c r="BW201" s="6" t="s">
        <v>311</v>
      </c>
      <c r="BX201" t="s">
        <v>1126</v>
      </c>
      <c r="BY201" t="s">
        <v>1203</v>
      </c>
      <c r="BZ201">
        <v>5.635738831615086</v>
      </c>
      <c r="CA201">
        <v>14</v>
      </c>
      <c r="CB201" t="s">
        <v>1209</v>
      </c>
      <c r="CC201" t="s">
        <v>1210</v>
      </c>
      <c r="CD201" t="s">
        <v>311</v>
      </c>
      <c r="CE201" t="s">
        <v>311</v>
      </c>
      <c r="CF201" t="s">
        <v>311</v>
      </c>
      <c r="CG201" t="s">
        <v>1349</v>
      </c>
      <c r="CH201" t="s">
        <v>1310</v>
      </c>
      <c r="CI201">
        <v>0</v>
      </c>
      <c r="CJ201" s="38">
        <v>0.75</v>
      </c>
      <c r="CK201" s="38">
        <v>0</v>
      </c>
      <c r="CL201" s="38" t="s">
        <v>311</v>
      </c>
      <c r="CM201" s="38" t="s">
        <v>311</v>
      </c>
      <c r="CN201" s="38" t="s">
        <v>311</v>
      </c>
      <c r="CO201" s="38" t="s">
        <v>311</v>
      </c>
      <c r="CP201" s="38" t="s">
        <v>311</v>
      </c>
      <c r="CQ201" t="s">
        <v>1727</v>
      </c>
      <c r="CR201" t="s">
        <v>751</v>
      </c>
    </row>
    <row r="202" spans="1:96">
      <c r="A202">
        <v>201</v>
      </c>
      <c r="B202">
        <v>28</v>
      </c>
      <c r="C202">
        <v>6</v>
      </c>
      <c r="D202" t="s">
        <v>166</v>
      </c>
      <c r="E202" t="s">
        <v>167</v>
      </c>
      <c r="F202" t="s">
        <v>168</v>
      </c>
      <c r="G202">
        <v>1999</v>
      </c>
      <c r="H202" t="s">
        <v>462</v>
      </c>
      <c r="I202" t="s">
        <v>463</v>
      </c>
      <c r="J202">
        <v>47.046931000000001</v>
      </c>
      <c r="K202">
        <v>-2.1396820000000001</v>
      </c>
      <c r="L202" t="s">
        <v>323</v>
      </c>
      <c r="M202" t="s">
        <v>369</v>
      </c>
      <c r="N202" t="s">
        <v>600</v>
      </c>
      <c r="O202" t="s">
        <v>532</v>
      </c>
      <c r="P202" t="s">
        <v>693</v>
      </c>
      <c r="Q202" t="s">
        <v>333</v>
      </c>
      <c r="R202" t="s">
        <v>710</v>
      </c>
      <c r="S202" t="s">
        <v>311</v>
      </c>
      <c r="T202" t="s">
        <v>330</v>
      </c>
      <c r="U202">
        <v>5</v>
      </c>
      <c r="V202" t="s">
        <v>311</v>
      </c>
      <c r="W202" t="s">
        <v>311</v>
      </c>
      <c r="X202" t="s">
        <v>292</v>
      </c>
      <c r="Y202" t="s">
        <v>617</v>
      </c>
      <c r="Z202" t="s">
        <v>537</v>
      </c>
      <c r="AA202" t="s">
        <v>538</v>
      </c>
      <c r="AB202" t="s">
        <v>615</v>
      </c>
      <c r="AC202" t="s">
        <v>616</v>
      </c>
      <c r="AD202" t="s">
        <v>292</v>
      </c>
      <c r="AE202" t="s">
        <v>737</v>
      </c>
      <c r="AF202" t="s">
        <v>342</v>
      </c>
      <c r="AH202" t="s">
        <v>343</v>
      </c>
      <c r="AI202" t="s">
        <v>724</v>
      </c>
      <c r="AJ202" t="s">
        <v>725</v>
      </c>
      <c r="AK202" t="s">
        <v>700</v>
      </c>
      <c r="AL202" t="s">
        <v>357</v>
      </c>
      <c r="AM202" t="s">
        <v>1090</v>
      </c>
      <c r="AN202" t="s">
        <v>584</v>
      </c>
      <c r="AO202" t="s">
        <v>345</v>
      </c>
      <c r="AP202" t="s">
        <v>887</v>
      </c>
      <c r="AQ202" t="s">
        <v>887</v>
      </c>
      <c r="AR202">
        <v>86.943620178041499</v>
      </c>
      <c r="AS202">
        <v>13.171440683097709</v>
      </c>
      <c r="AT202" t="s">
        <v>311</v>
      </c>
      <c r="AU202">
        <v>4</v>
      </c>
      <c r="AV202">
        <v>3.2640949554895902</v>
      </c>
      <c r="AW202">
        <v>0.68128141464301517</v>
      </c>
      <c r="AX202" t="s">
        <v>311</v>
      </c>
      <c r="AY202">
        <v>4</v>
      </c>
      <c r="AZ202" t="s">
        <v>1677</v>
      </c>
      <c r="BA202" t="s">
        <v>1679</v>
      </c>
      <c r="BB202">
        <v>6</v>
      </c>
      <c r="BC202" t="s">
        <v>1672</v>
      </c>
      <c r="BD202" t="s">
        <v>311</v>
      </c>
      <c r="BE202" t="s">
        <v>1881</v>
      </c>
      <c r="BF202">
        <v>0.49</v>
      </c>
      <c r="BG202">
        <v>2.92</v>
      </c>
      <c r="BH202">
        <v>0</v>
      </c>
      <c r="BI202">
        <v>0</v>
      </c>
      <c r="BJ202" t="s">
        <v>311</v>
      </c>
      <c r="BK202" t="s">
        <v>311</v>
      </c>
      <c r="BL202" t="s">
        <v>311</v>
      </c>
      <c r="BM202" t="s">
        <v>311</v>
      </c>
      <c r="BN202">
        <v>16</v>
      </c>
      <c r="BO202">
        <v>16</v>
      </c>
      <c r="BP202" s="6" t="s">
        <v>311</v>
      </c>
      <c r="BQ202" s="6" t="s">
        <v>311</v>
      </c>
      <c r="BR202" s="6" t="s">
        <v>311</v>
      </c>
      <c r="BS202" s="6" t="s">
        <v>311</v>
      </c>
      <c r="BT202" s="6" t="s">
        <v>311</v>
      </c>
      <c r="BU202" s="6" t="s">
        <v>311</v>
      </c>
      <c r="BV202" s="6" t="s">
        <v>311</v>
      </c>
      <c r="BW202" s="6" t="s">
        <v>311</v>
      </c>
      <c r="BX202" t="s">
        <v>1126</v>
      </c>
      <c r="BY202" t="s">
        <v>1203</v>
      </c>
      <c r="BZ202">
        <v>5.635738831615086</v>
      </c>
      <c r="CA202">
        <v>14</v>
      </c>
      <c r="CB202" t="s">
        <v>1209</v>
      </c>
      <c r="CC202" t="s">
        <v>1210</v>
      </c>
      <c r="CD202" t="s">
        <v>311</v>
      </c>
      <c r="CE202" t="s">
        <v>311</v>
      </c>
      <c r="CF202" t="s">
        <v>311</v>
      </c>
      <c r="CG202" t="s">
        <v>1349</v>
      </c>
      <c r="CH202" t="s">
        <v>1310</v>
      </c>
      <c r="CI202">
        <v>0</v>
      </c>
      <c r="CJ202" s="38">
        <v>1</v>
      </c>
      <c r="CK202" s="38">
        <v>0</v>
      </c>
      <c r="CL202" s="38" t="s">
        <v>311</v>
      </c>
      <c r="CM202" s="38" t="s">
        <v>311</v>
      </c>
      <c r="CN202" s="38" t="s">
        <v>311</v>
      </c>
      <c r="CO202" s="38" t="s">
        <v>311</v>
      </c>
      <c r="CP202" s="38" t="s">
        <v>311</v>
      </c>
      <c r="CQ202" t="s">
        <v>1727</v>
      </c>
      <c r="CR202" t="s">
        <v>751</v>
      </c>
    </row>
    <row r="203" spans="1:96">
      <c r="A203">
        <v>202</v>
      </c>
      <c r="B203">
        <v>28</v>
      </c>
      <c r="C203">
        <v>7</v>
      </c>
      <c r="D203" t="s">
        <v>166</v>
      </c>
      <c r="E203" t="s">
        <v>167</v>
      </c>
      <c r="F203" t="s">
        <v>168</v>
      </c>
      <c r="G203">
        <v>1999</v>
      </c>
      <c r="H203" t="s">
        <v>462</v>
      </c>
      <c r="I203" t="s">
        <v>463</v>
      </c>
      <c r="J203">
        <v>47.046931000000001</v>
      </c>
      <c r="K203">
        <v>-2.1396820000000001</v>
      </c>
      <c r="L203" t="s">
        <v>323</v>
      </c>
      <c r="M203" t="s">
        <v>369</v>
      </c>
      <c r="N203" t="s">
        <v>600</v>
      </c>
      <c r="O203" t="s">
        <v>532</v>
      </c>
      <c r="P203" t="s">
        <v>693</v>
      </c>
      <c r="Q203" t="s">
        <v>333</v>
      </c>
      <c r="R203" t="s">
        <v>710</v>
      </c>
      <c r="S203" t="s">
        <v>311</v>
      </c>
      <c r="T203" t="s">
        <v>330</v>
      </c>
      <c r="U203">
        <v>5</v>
      </c>
      <c r="V203" t="s">
        <v>311</v>
      </c>
      <c r="W203" t="s">
        <v>311</v>
      </c>
      <c r="X203" t="s">
        <v>292</v>
      </c>
      <c r="Y203" t="s">
        <v>617</v>
      </c>
      <c r="Z203" t="s">
        <v>537</v>
      </c>
      <c r="AA203" t="s">
        <v>538</v>
      </c>
      <c r="AB203" t="s">
        <v>615</v>
      </c>
      <c r="AC203" t="s">
        <v>616</v>
      </c>
      <c r="AD203" t="s">
        <v>292</v>
      </c>
      <c r="AE203" t="s">
        <v>739</v>
      </c>
      <c r="AF203" t="s">
        <v>342</v>
      </c>
      <c r="AH203" t="s">
        <v>343</v>
      </c>
      <c r="AI203" t="s">
        <v>726</v>
      </c>
      <c r="AJ203" t="s">
        <v>727</v>
      </c>
      <c r="AK203" t="s">
        <v>700</v>
      </c>
      <c r="AL203" t="s">
        <v>357</v>
      </c>
      <c r="AM203" t="s">
        <v>1089</v>
      </c>
      <c r="AN203" t="s">
        <v>584</v>
      </c>
      <c r="AO203" t="s">
        <v>345</v>
      </c>
      <c r="AP203" t="s">
        <v>887</v>
      </c>
      <c r="AQ203" t="s">
        <v>887</v>
      </c>
      <c r="AR203">
        <v>752.10084033613396</v>
      </c>
      <c r="AS203">
        <v>87.892299777053623</v>
      </c>
      <c r="AT203" t="s">
        <v>311</v>
      </c>
      <c r="AU203">
        <v>4</v>
      </c>
      <c r="AV203">
        <v>659.66386554621795</v>
      </c>
      <c r="AW203">
        <v>47.161721831589801</v>
      </c>
      <c r="AX203" t="s">
        <v>311</v>
      </c>
      <c r="AY203">
        <v>4</v>
      </c>
      <c r="AZ203" t="s">
        <v>1677</v>
      </c>
      <c r="BA203" t="s">
        <v>1679</v>
      </c>
      <c r="BB203">
        <v>6</v>
      </c>
      <c r="BC203" t="s">
        <v>1672</v>
      </c>
      <c r="BD203" t="s">
        <v>311</v>
      </c>
      <c r="BE203" t="s">
        <v>1881</v>
      </c>
      <c r="BF203">
        <v>4.2699999999999996</v>
      </c>
      <c r="BG203">
        <v>3.03</v>
      </c>
      <c r="BH203">
        <v>0</v>
      </c>
      <c r="BI203">
        <v>0</v>
      </c>
      <c r="BJ203" t="s">
        <v>311</v>
      </c>
      <c r="BK203" t="s">
        <v>311</v>
      </c>
      <c r="BL203" t="s">
        <v>311</v>
      </c>
      <c r="BM203" t="s">
        <v>311</v>
      </c>
      <c r="BN203">
        <v>16</v>
      </c>
      <c r="BO203">
        <v>16</v>
      </c>
      <c r="BP203" s="6" t="s">
        <v>311</v>
      </c>
      <c r="BQ203" s="6" t="s">
        <v>311</v>
      </c>
      <c r="BR203" s="6" t="s">
        <v>311</v>
      </c>
      <c r="BS203" s="6" t="s">
        <v>311</v>
      </c>
      <c r="BT203" s="6" t="s">
        <v>311</v>
      </c>
      <c r="BU203" s="6" t="s">
        <v>311</v>
      </c>
      <c r="BV203" s="6" t="s">
        <v>311</v>
      </c>
      <c r="BW203" s="6" t="s">
        <v>311</v>
      </c>
      <c r="BX203" t="s">
        <v>1126</v>
      </c>
      <c r="BY203" t="s">
        <v>1203</v>
      </c>
      <c r="BZ203">
        <v>5.635738831615086</v>
      </c>
      <c r="CA203">
        <v>14</v>
      </c>
      <c r="CB203" t="s">
        <v>1209</v>
      </c>
      <c r="CC203" t="s">
        <v>1210</v>
      </c>
      <c r="CD203" t="s">
        <v>311</v>
      </c>
      <c r="CE203" t="s">
        <v>311</v>
      </c>
      <c r="CF203" t="s">
        <v>311</v>
      </c>
      <c r="CG203" t="s">
        <v>1349</v>
      </c>
      <c r="CH203" t="s">
        <v>1310</v>
      </c>
      <c r="CI203">
        <v>0</v>
      </c>
      <c r="CJ203" s="38">
        <v>0.75</v>
      </c>
      <c r="CK203" s="38">
        <v>0</v>
      </c>
      <c r="CL203" s="38" t="s">
        <v>311</v>
      </c>
      <c r="CM203" s="38" t="s">
        <v>311</v>
      </c>
      <c r="CN203" s="38" t="s">
        <v>311</v>
      </c>
      <c r="CO203" s="38" t="s">
        <v>311</v>
      </c>
      <c r="CP203" s="38" t="s">
        <v>311</v>
      </c>
      <c r="CQ203" t="s">
        <v>1727</v>
      </c>
      <c r="CR203" t="s">
        <v>751</v>
      </c>
    </row>
    <row r="204" spans="1:96">
      <c r="A204">
        <v>203</v>
      </c>
      <c r="B204">
        <v>28</v>
      </c>
      <c r="C204">
        <v>8</v>
      </c>
      <c r="D204" t="s">
        <v>166</v>
      </c>
      <c r="E204" t="s">
        <v>167</v>
      </c>
      <c r="F204" t="s">
        <v>168</v>
      </c>
      <c r="G204">
        <v>1999</v>
      </c>
      <c r="H204" t="s">
        <v>462</v>
      </c>
      <c r="I204" t="s">
        <v>463</v>
      </c>
      <c r="J204">
        <v>47.046931000000001</v>
      </c>
      <c r="K204">
        <v>-2.1396820000000001</v>
      </c>
      <c r="L204" t="s">
        <v>323</v>
      </c>
      <c r="M204" t="s">
        <v>369</v>
      </c>
      <c r="N204" t="s">
        <v>600</v>
      </c>
      <c r="O204" t="s">
        <v>532</v>
      </c>
      <c r="P204" t="s">
        <v>693</v>
      </c>
      <c r="Q204" t="s">
        <v>333</v>
      </c>
      <c r="R204" t="s">
        <v>710</v>
      </c>
      <c r="S204" t="s">
        <v>311</v>
      </c>
      <c r="T204" t="s">
        <v>330</v>
      </c>
      <c r="U204">
        <v>5</v>
      </c>
      <c r="V204" t="s">
        <v>311</v>
      </c>
      <c r="W204" t="s">
        <v>311</v>
      </c>
      <c r="X204" t="s">
        <v>292</v>
      </c>
      <c r="Y204" t="s">
        <v>617</v>
      </c>
      <c r="Z204" t="s">
        <v>537</v>
      </c>
      <c r="AA204" t="s">
        <v>538</v>
      </c>
      <c r="AB204" t="s">
        <v>615</v>
      </c>
      <c r="AC204" t="s">
        <v>616</v>
      </c>
      <c r="AD204" t="s">
        <v>292</v>
      </c>
      <c r="AE204" t="s">
        <v>739</v>
      </c>
      <c r="AF204" t="s">
        <v>342</v>
      </c>
      <c r="AH204" t="s">
        <v>343</v>
      </c>
      <c r="AI204" t="s">
        <v>726</v>
      </c>
      <c r="AJ204" t="s">
        <v>727</v>
      </c>
      <c r="AK204" t="s">
        <v>700</v>
      </c>
      <c r="AL204" t="s">
        <v>357</v>
      </c>
      <c r="AM204" t="s">
        <v>1090</v>
      </c>
      <c r="AN204" t="s">
        <v>584</v>
      </c>
      <c r="AO204" t="s">
        <v>345</v>
      </c>
      <c r="AP204" t="s">
        <v>887</v>
      </c>
      <c r="AQ204" t="s">
        <v>887</v>
      </c>
      <c r="AR204">
        <v>693.27731092436898</v>
      </c>
      <c r="AS204">
        <v>60.024009603841876</v>
      </c>
      <c r="AT204" t="s">
        <v>311</v>
      </c>
      <c r="AU204">
        <v>4</v>
      </c>
      <c r="AV204">
        <v>659.66386554621795</v>
      </c>
      <c r="AW204">
        <v>47.161721831589801</v>
      </c>
      <c r="AX204" t="s">
        <v>311</v>
      </c>
      <c r="AY204">
        <v>4</v>
      </c>
      <c r="AZ204" t="s">
        <v>1677</v>
      </c>
      <c r="BA204" t="s">
        <v>1679</v>
      </c>
      <c r="BB204">
        <v>6</v>
      </c>
      <c r="BC204" t="s">
        <v>1672</v>
      </c>
      <c r="BD204" t="s">
        <v>311</v>
      </c>
      <c r="BE204" t="s">
        <v>1881</v>
      </c>
      <c r="BF204">
        <v>0.49</v>
      </c>
      <c r="BG204">
        <v>2.92</v>
      </c>
      <c r="BH204">
        <v>0</v>
      </c>
      <c r="BI204">
        <v>0</v>
      </c>
      <c r="BJ204" t="s">
        <v>311</v>
      </c>
      <c r="BK204" t="s">
        <v>311</v>
      </c>
      <c r="BL204" t="s">
        <v>311</v>
      </c>
      <c r="BM204" t="s">
        <v>311</v>
      </c>
      <c r="BN204">
        <v>16</v>
      </c>
      <c r="BO204">
        <v>16</v>
      </c>
      <c r="BP204" s="6" t="s">
        <v>311</v>
      </c>
      <c r="BQ204" s="6" t="s">
        <v>311</v>
      </c>
      <c r="BR204" s="6" t="s">
        <v>311</v>
      </c>
      <c r="BS204" s="6" t="s">
        <v>311</v>
      </c>
      <c r="BT204" s="6" t="s">
        <v>311</v>
      </c>
      <c r="BU204" s="6" t="s">
        <v>311</v>
      </c>
      <c r="BV204" s="6" t="s">
        <v>311</v>
      </c>
      <c r="BW204" s="6" t="s">
        <v>311</v>
      </c>
      <c r="BX204" t="s">
        <v>1126</v>
      </c>
      <c r="BY204" t="s">
        <v>1203</v>
      </c>
      <c r="BZ204">
        <v>5.635738831615086</v>
      </c>
      <c r="CA204">
        <v>14</v>
      </c>
      <c r="CB204" t="s">
        <v>1209</v>
      </c>
      <c r="CC204" t="s">
        <v>1210</v>
      </c>
      <c r="CD204" t="s">
        <v>311</v>
      </c>
      <c r="CE204" t="s">
        <v>311</v>
      </c>
      <c r="CF204" t="s">
        <v>311</v>
      </c>
      <c r="CG204" t="s">
        <v>1349</v>
      </c>
      <c r="CH204" t="s">
        <v>1310</v>
      </c>
      <c r="CI204">
        <v>0</v>
      </c>
      <c r="CJ204" s="38">
        <v>1</v>
      </c>
      <c r="CK204" s="38">
        <v>0</v>
      </c>
      <c r="CL204" s="38" t="s">
        <v>311</v>
      </c>
      <c r="CM204" s="38" t="s">
        <v>311</v>
      </c>
      <c r="CN204" s="38" t="s">
        <v>311</v>
      </c>
      <c r="CO204" s="38" t="s">
        <v>311</v>
      </c>
      <c r="CP204" s="38" t="s">
        <v>311</v>
      </c>
      <c r="CQ204" t="s">
        <v>1727</v>
      </c>
      <c r="CR204" t="s">
        <v>751</v>
      </c>
    </row>
    <row r="205" spans="1:96">
      <c r="A205">
        <v>204</v>
      </c>
      <c r="B205">
        <v>28</v>
      </c>
      <c r="C205">
        <v>9</v>
      </c>
      <c r="D205" t="s">
        <v>166</v>
      </c>
      <c r="E205" t="s">
        <v>167</v>
      </c>
      <c r="F205" t="s">
        <v>168</v>
      </c>
      <c r="G205">
        <v>1999</v>
      </c>
      <c r="H205" t="s">
        <v>462</v>
      </c>
      <c r="I205" t="s">
        <v>463</v>
      </c>
      <c r="J205">
        <v>47.046931000000001</v>
      </c>
      <c r="K205">
        <v>-2.1396820000000001</v>
      </c>
      <c r="L205" t="s">
        <v>323</v>
      </c>
      <c r="M205" t="s">
        <v>369</v>
      </c>
      <c r="N205" t="s">
        <v>600</v>
      </c>
      <c r="O205" t="s">
        <v>532</v>
      </c>
      <c r="P205" t="s">
        <v>693</v>
      </c>
      <c r="Q205" t="s">
        <v>333</v>
      </c>
      <c r="R205" t="s">
        <v>710</v>
      </c>
      <c r="S205" t="s">
        <v>311</v>
      </c>
      <c r="T205" t="s">
        <v>330</v>
      </c>
      <c r="U205">
        <v>5</v>
      </c>
      <c r="V205" t="s">
        <v>311</v>
      </c>
      <c r="W205" t="s">
        <v>311</v>
      </c>
      <c r="X205" t="s">
        <v>292</v>
      </c>
      <c r="Y205" t="s">
        <v>617</v>
      </c>
      <c r="Z205" t="s">
        <v>537</v>
      </c>
      <c r="AA205" t="s">
        <v>538</v>
      </c>
      <c r="AB205" t="s">
        <v>615</v>
      </c>
      <c r="AC205" t="s">
        <v>616</v>
      </c>
      <c r="AD205" t="s">
        <v>292</v>
      </c>
      <c r="AE205" t="s">
        <v>739</v>
      </c>
      <c r="AF205" t="s">
        <v>342</v>
      </c>
      <c r="AH205" t="s">
        <v>343</v>
      </c>
      <c r="AI205" t="s">
        <v>726</v>
      </c>
      <c r="AJ205" t="s">
        <v>728</v>
      </c>
      <c r="AK205" t="s">
        <v>700</v>
      </c>
      <c r="AL205" t="s">
        <v>357</v>
      </c>
      <c r="AM205" t="s">
        <v>1089</v>
      </c>
      <c r="AN205" t="s">
        <v>584</v>
      </c>
      <c r="AO205" t="s">
        <v>345</v>
      </c>
      <c r="AP205" t="s">
        <v>887</v>
      </c>
      <c r="AQ205" t="s">
        <v>887</v>
      </c>
      <c r="AR205">
        <v>325</v>
      </c>
      <c r="AS205">
        <v>1.793686224489796</v>
      </c>
      <c r="AT205" t="s">
        <v>311</v>
      </c>
      <c r="AU205">
        <v>4</v>
      </c>
      <c r="AV205">
        <v>265.234375</v>
      </c>
      <c r="AW205">
        <v>8.3705357142857153</v>
      </c>
      <c r="AX205" t="s">
        <v>311</v>
      </c>
      <c r="AY205">
        <v>4</v>
      </c>
      <c r="AZ205" t="s">
        <v>1677</v>
      </c>
      <c r="BA205" t="s">
        <v>1679</v>
      </c>
      <c r="BB205">
        <v>6</v>
      </c>
      <c r="BC205" t="s">
        <v>1672</v>
      </c>
      <c r="BD205" t="s">
        <v>311</v>
      </c>
      <c r="BE205" t="s">
        <v>1881</v>
      </c>
      <c r="BF205">
        <v>4.2699999999999996</v>
      </c>
      <c r="BG205">
        <v>3.03</v>
      </c>
      <c r="BH205">
        <v>0</v>
      </c>
      <c r="BI205">
        <v>0</v>
      </c>
      <c r="BJ205" t="s">
        <v>311</v>
      </c>
      <c r="BK205" t="s">
        <v>311</v>
      </c>
      <c r="BL205" t="s">
        <v>311</v>
      </c>
      <c r="BM205" t="s">
        <v>311</v>
      </c>
      <c r="BN205">
        <v>16</v>
      </c>
      <c r="BO205">
        <v>16</v>
      </c>
      <c r="BP205" s="6" t="s">
        <v>311</v>
      </c>
      <c r="BQ205" s="6" t="s">
        <v>311</v>
      </c>
      <c r="BR205" s="6" t="s">
        <v>311</v>
      </c>
      <c r="BS205" s="6" t="s">
        <v>311</v>
      </c>
      <c r="BT205" s="6" t="s">
        <v>311</v>
      </c>
      <c r="BU205" s="6" t="s">
        <v>311</v>
      </c>
      <c r="BV205" s="6" t="s">
        <v>311</v>
      </c>
      <c r="BW205" s="6" t="s">
        <v>311</v>
      </c>
      <c r="BX205" t="s">
        <v>1126</v>
      </c>
      <c r="BY205" t="s">
        <v>1203</v>
      </c>
      <c r="BZ205">
        <v>5.635738831615086</v>
      </c>
      <c r="CA205">
        <v>14</v>
      </c>
      <c r="CB205" t="s">
        <v>1209</v>
      </c>
      <c r="CC205" t="s">
        <v>1210</v>
      </c>
      <c r="CD205" t="s">
        <v>311</v>
      </c>
      <c r="CE205" t="s">
        <v>311</v>
      </c>
      <c r="CF205" t="s">
        <v>311</v>
      </c>
      <c r="CG205" t="s">
        <v>1349</v>
      </c>
      <c r="CH205" t="s">
        <v>1310</v>
      </c>
      <c r="CI205">
        <v>0</v>
      </c>
      <c r="CJ205" s="38">
        <v>0.75</v>
      </c>
      <c r="CK205" s="38">
        <v>0</v>
      </c>
      <c r="CL205" s="38" t="s">
        <v>311</v>
      </c>
      <c r="CM205" s="38" t="s">
        <v>311</v>
      </c>
      <c r="CN205" s="38" t="s">
        <v>311</v>
      </c>
      <c r="CO205" s="38" t="s">
        <v>311</v>
      </c>
      <c r="CP205" s="38" t="s">
        <v>311</v>
      </c>
      <c r="CQ205" t="s">
        <v>1727</v>
      </c>
      <c r="CR205" t="s">
        <v>751</v>
      </c>
    </row>
    <row r="206" spans="1:96">
      <c r="A206">
        <v>205</v>
      </c>
      <c r="B206">
        <v>28</v>
      </c>
      <c r="C206">
        <v>10</v>
      </c>
      <c r="D206" t="s">
        <v>166</v>
      </c>
      <c r="E206" t="s">
        <v>167</v>
      </c>
      <c r="F206" t="s">
        <v>168</v>
      </c>
      <c r="G206">
        <v>1999</v>
      </c>
      <c r="H206" t="s">
        <v>462</v>
      </c>
      <c r="I206" t="s">
        <v>463</v>
      </c>
      <c r="J206">
        <v>47.046931000000001</v>
      </c>
      <c r="K206">
        <v>-2.1396820000000001</v>
      </c>
      <c r="L206" t="s">
        <v>323</v>
      </c>
      <c r="M206" t="s">
        <v>369</v>
      </c>
      <c r="N206" t="s">
        <v>600</v>
      </c>
      <c r="O206" t="s">
        <v>532</v>
      </c>
      <c r="P206" t="s">
        <v>693</v>
      </c>
      <c r="Q206" t="s">
        <v>333</v>
      </c>
      <c r="R206" t="s">
        <v>710</v>
      </c>
      <c r="S206" t="s">
        <v>311</v>
      </c>
      <c r="T206" t="s">
        <v>330</v>
      </c>
      <c r="U206">
        <v>5</v>
      </c>
      <c r="V206" t="s">
        <v>311</v>
      </c>
      <c r="W206" t="s">
        <v>311</v>
      </c>
      <c r="X206" t="s">
        <v>292</v>
      </c>
      <c r="Y206" t="s">
        <v>617</v>
      </c>
      <c r="Z206" t="s">
        <v>537</v>
      </c>
      <c r="AA206" t="s">
        <v>538</v>
      </c>
      <c r="AB206" t="s">
        <v>615</v>
      </c>
      <c r="AC206" t="s">
        <v>616</v>
      </c>
      <c r="AD206" t="s">
        <v>292</v>
      </c>
      <c r="AE206" t="s">
        <v>739</v>
      </c>
      <c r="AF206" t="s">
        <v>342</v>
      </c>
      <c r="AH206" t="s">
        <v>343</v>
      </c>
      <c r="AI206" t="s">
        <v>726</v>
      </c>
      <c r="AJ206" t="s">
        <v>728</v>
      </c>
      <c r="AK206" t="s">
        <v>700</v>
      </c>
      <c r="AL206" t="s">
        <v>357</v>
      </c>
      <c r="AM206" t="s">
        <v>1090</v>
      </c>
      <c r="AN206" t="s">
        <v>584</v>
      </c>
      <c r="AO206" t="s">
        <v>345</v>
      </c>
      <c r="AP206" t="s">
        <v>887</v>
      </c>
      <c r="AQ206" t="s">
        <v>887</v>
      </c>
      <c r="AR206">
        <v>330.859375</v>
      </c>
      <c r="AS206">
        <v>33.482142857142335</v>
      </c>
      <c r="AT206" t="s">
        <v>311</v>
      </c>
      <c r="AU206">
        <v>4</v>
      </c>
      <c r="AV206">
        <v>265.234375</v>
      </c>
      <c r="AW206">
        <v>8.3705357142857153</v>
      </c>
      <c r="AX206" t="s">
        <v>311</v>
      </c>
      <c r="AY206">
        <v>4</v>
      </c>
      <c r="AZ206" t="s">
        <v>1677</v>
      </c>
      <c r="BA206" t="s">
        <v>1679</v>
      </c>
      <c r="BB206">
        <v>6</v>
      </c>
      <c r="BC206" t="s">
        <v>1672</v>
      </c>
      <c r="BD206" t="s">
        <v>311</v>
      </c>
      <c r="BE206" t="s">
        <v>1881</v>
      </c>
      <c r="BF206">
        <v>0.49</v>
      </c>
      <c r="BG206">
        <v>2.92</v>
      </c>
      <c r="BH206">
        <v>0</v>
      </c>
      <c r="BI206">
        <v>0</v>
      </c>
      <c r="BJ206" t="s">
        <v>311</v>
      </c>
      <c r="BK206" t="s">
        <v>311</v>
      </c>
      <c r="BL206" t="s">
        <v>311</v>
      </c>
      <c r="BM206" t="s">
        <v>311</v>
      </c>
      <c r="BN206">
        <v>16</v>
      </c>
      <c r="BO206">
        <v>16</v>
      </c>
      <c r="BP206" s="6" t="s">
        <v>311</v>
      </c>
      <c r="BQ206" s="6" t="s">
        <v>311</v>
      </c>
      <c r="BR206" s="6" t="s">
        <v>311</v>
      </c>
      <c r="BS206" s="6" t="s">
        <v>311</v>
      </c>
      <c r="BT206" s="6" t="s">
        <v>311</v>
      </c>
      <c r="BU206" s="6" t="s">
        <v>311</v>
      </c>
      <c r="BV206" s="6" t="s">
        <v>311</v>
      </c>
      <c r="BW206" s="6" t="s">
        <v>311</v>
      </c>
      <c r="BX206" t="s">
        <v>1126</v>
      </c>
      <c r="BY206" t="s">
        <v>1203</v>
      </c>
      <c r="BZ206">
        <v>5.635738831615086</v>
      </c>
      <c r="CA206">
        <v>14</v>
      </c>
      <c r="CB206" t="s">
        <v>1209</v>
      </c>
      <c r="CC206" t="s">
        <v>1210</v>
      </c>
      <c r="CD206" t="s">
        <v>311</v>
      </c>
      <c r="CE206" t="s">
        <v>311</v>
      </c>
      <c r="CF206" t="s">
        <v>311</v>
      </c>
      <c r="CG206" t="s">
        <v>1349</v>
      </c>
      <c r="CH206" t="s">
        <v>1310</v>
      </c>
      <c r="CI206">
        <v>0</v>
      </c>
      <c r="CJ206" s="38">
        <v>1</v>
      </c>
      <c r="CK206" s="38">
        <v>0</v>
      </c>
      <c r="CL206" s="38" t="s">
        <v>311</v>
      </c>
      <c r="CM206" s="38" t="s">
        <v>311</v>
      </c>
      <c r="CN206" s="38" t="s">
        <v>311</v>
      </c>
      <c r="CO206" s="38" t="s">
        <v>311</v>
      </c>
      <c r="CP206" s="38" t="s">
        <v>311</v>
      </c>
      <c r="CQ206" t="s">
        <v>1727</v>
      </c>
      <c r="CR206" t="s">
        <v>751</v>
      </c>
    </row>
    <row r="207" spans="1:96">
      <c r="A207">
        <v>206</v>
      </c>
      <c r="B207">
        <v>28</v>
      </c>
      <c r="C207">
        <v>11</v>
      </c>
      <c r="D207" t="s">
        <v>166</v>
      </c>
      <c r="E207" t="s">
        <v>167</v>
      </c>
      <c r="F207" t="s">
        <v>168</v>
      </c>
      <c r="G207">
        <v>1999</v>
      </c>
      <c r="H207" t="s">
        <v>462</v>
      </c>
      <c r="I207" t="s">
        <v>463</v>
      </c>
      <c r="J207">
        <v>47.046931000000001</v>
      </c>
      <c r="K207">
        <v>-2.1396820000000001</v>
      </c>
      <c r="L207" t="s">
        <v>323</v>
      </c>
      <c r="M207" t="s">
        <v>369</v>
      </c>
      <c r="N207" t="s">
        <v>600</v>
      </c>
      <c r="O207" t="s">
        <v>532</v>
      </c>
      <c r="P207" t="s">
        <v>693</v>
      </c>
      <c r="Q207" t="s">
        <v>333</v>
      </c>
      <c r="R207" t="s">
        <v>710</v>
      </c>
      <c r="S207" t="s">
        <v>311</v>
      </c>
      <c r="T207" t="s">
        <v>330</v>
      </c>
      <c r="U207">
        <v>5</v>
      </c>
      <c r="V207" t="s">
        <v>311</v>
      </c>
      <c r="W207" t="s">
        <v>311</v>
      </c>
      <c r="X207" t="s">
        <v>292</v>
      </c>
      <c r="Y207" t="s">
        <v>617</v>
      </c>
      <c r="Z207" t="s">
        <v>537</v>
      </c>
      <c r="AA207" t="s">
        <v>538</v>
      </c>
      <c r="AB207" t="s">
        <v>615</v>
      </c>
      <c r="AC207" t="s">
        <v>616</v>
      </c>
      <c r="AD207" t="s">
        <v>292</v>
      </c>
      <c r="AE207" t="s">
        <v>741</v>
      </c>
      <c r="AF207" t="s">
        <v>342</v>
      </c>
      <c r="AH207" t="s">
        <v>343</v>
      </c>
      <c r="AI207" t="s">
        <v>729</v>
      </c>
      <c r="AJ207" t="s">
        <v>730</v>
      </c>
      <c r="AK207" t="s">
        <v>674</v>
      </c>
      <c r="AL207" t="s">
        <v>357</v>
      </c>
      <c r="AM207" t="s">
        <v>1089</v>
      </c>
      <c r="AN207" t="s">
        <v>584</v>
      </c>
      <c r="AO207" t="s">
        <v>345</v>
      </c>
      <c r="AP207" t="s">
        <v>887</v>
      </c>
      <c r="AQ207" t="s">
        <v>887</v>
      </c>
      <c r="AR207">
        <v>1910.65830721003</v>
      </c>
      <c r="AS207">
        <v>351.86488388458679</v>
      </c>
      <c r="AT207" t="s">
        <v>311</v>
      </c>
      <c r="AU207">
        <v>4</v>
      </c>
      <c r="AV207">
        <v>550.15673981191196</v>
      </c>
      <c r="AW207">
        <v>83.168063463629636</v>
      </c>
      <c r="AX207" t="s">
        <v>311</v>
      </c>
      <c r="AY207">
        <v>4</v>
      </c>
      <c r="AZ207" t="s">
        <v>1677</v>
      </c>
      <c r="BA207" t="s">
        <v>1679</v>
      </c>
      <c r="BB207">
        <v>6</v>
      </c>
      <c r="BC207" t="s">
        <v>1672</v>
      </c>
      <c r="BD207" t="s">
        <v>311</v>
      </c>
      <c r="BE207" t="s">
        <v>1881</v>
      </c>
      <c r="BF207">
        <v>4.2699999999999996</v>
      </c>
      <c r="BG207">
        <v>3.03</v>
      </c>
      <c r="BH207">
        <v>0</v>
      </c>
      <c r="BI207">
        <v>0</v>
      </c>
      <c r="BJ207" t="s">
        <v>311</v>
      </c>
      <c r="BK207" t="s">
        <v>311</v>
      </c>
      <c r="BL207" t="s">
        <v>311</v>
      </c>
      <c r="BM207" t="s">
        <v>311</v>
      </c>
      <c r="BN207">
        <v>16</v>
      </c>
      <c r="BO207">
        <v>16</v>
      </c>
      <c r="BP207" s="6" t="s">
        <v>311</v>
      </c>
      <c r="BQ207" s="6" t="s">
        <v>311</v>
      </c>
      <c r="BR207" s="6" t="s">
        <v>311</v>
      </c>
      <c r="BS207" s="6" t="s">
        <v>311</v>
      </c>
      <c r="BT207" s="6" t="s">
        <v>311</v>
      </c>
      <c r="BU207" s="6" t="s">
        <v>311</v>
      </c>
      <c r="BV207" s="6" t="s">
        <v>311</v>
      </c>
      <c r="BW207" s="6" t="s">
        <v>311</v>
      </c>
      <c r="BX207" t="s">
        <v>1126</v>
      </c>
      <c r="BY207" t="s">
        <v>1203</v>
      </c>
      <c r="BZ207">
        <v>5.635738831615086</v>
      </c>
      <c r="CA207">
        <v>14</v>
      </c>
      <c r="CB207" t="s">
        <v>1209</v>
      </c>
      <c r="CC207" t="s">
        <v>1210</v>
      </c>
      <c r="CD207" t="s">
        <v>311</v>
      </c>
      <c r="CE207" t="s">
        <v>311</v>
      </c>
      <c r="CF207" t="s">
        <v>311</v>
      </c>
      <c r="CG207" t="s">
        <v>1349</v>
      </c>
      <c r="CH207" t="s">
        <v>1310</v>
      </c>
      <c r="CI207">
        <v>0</v>
      </c>
      <c r="CJ207" s="38">
        <v>0.75</v>
      </c>
      <c r="CK207" s="38">
        <v>0</v>
      </c>
      <c r="CL207" s="38" t="s">
        <v>311</v>
      </c>
      <c r="CM207" s="38" t="s">
        <v>311</v>
      </c>
      <c r="CN207" s="38" t="s">
        <v>311</v>
      </c>
      <c r="CO207" s="38" t="s">
        <v>311</v>
      </c>
      <c r="CP207" s="38" t="s">
        <v>311</v>
      </c>
      <c r="CQ207" t="s">
        <v>1727</v>
      </c>
      <c r="CR207" t="s">
        <v>751</v>
      </c>
    </row>
    <row r="208" spans="1:96">
      <c r="A208">
        <v>207</v>
      </c>
      <c r="B208">
        <v>28</v>
      </c>
      <c r="C208">
        <v>12</v>
      </c>
      <c r="D208" t="s">
        <v>166</v>
      </c>
      <c r="E208" t="s">
        <v>167</v>
      </c>
      <c r="F208" t="s">
        <v>168</v>
      </c>
      <c r="G208">
        <v>1999</v>
      </c>
      <c r="H208" t="s">
        <v>462</v>
      </c>
      <c r="I208" t="s">
        <v>463</v>
      </c>
      <c r="J208">
        <v>47.046931000000001</v>
      </c>
      <c r="K208">
        <v>-2.1396820000000001</v>
      </c>
      <c r="L208" t="s">
        <v>323</v>
      </c>
      <c r="M208" t="s">
        <v>369</v>
      </c>
      <c r="N208" t="s">
        <v>600</v>
      </c>
      <c r="O208" t="s">
        <v>532</v>
      </c>
      <c r="P208" t="s">
        <v>693</v>
      </c>
      <c r="Q208" t="s">
        <v>333</v>
      </c>
      <c r="R208" t="s">
        <v>710</v>
      </c>
      <c r="S208" t="s">
        <v>311</v>
      </c>
      <c r="T208" t="s">
        <v>330</v>
      </c>
      <c r="U208">
        <v>5</v>
      </c>
      <c r="V208" t="s">
        <v>311</v>
      </c>
      <c r="W208" t="s">
        <v>311</v>
      </c>
      <c r="X208" t="s">
        <v>292</v>
      </c>
      <c r="Y208" t="s">
        <v>617</v>
      </c>
      <c r="Z208" t="s">
        <v>537</v>
      </c>
      <c r="AA208" t="s">
        <v>538</v>
      </c>
      <c r="AB208" t="s">
        <v>615</v>
      </c>
      <c r="AC208" t="s">
        <v>616</v>
      </c>
      <c r="AD208" t="s">
        <v>292</v>
      </c>
      <c r="AE208" t="s">
        <v>741</v>
      </c>
      <c r="AF208" t="s">
        <v>342</v>
      </c>
      <c r="AH208" t="s">
        <v>343</v>
      </c>
      <c r="AI208" t="s">
        <v>729</v>
      </c>
      <c r="AJ208" t="s">
        <v>730</v>
      </c>
      <c r="AK208" t="s">
        <v>674</v>
      </c>
      <c r="AL208" t="s">
        <v>357</v>
      </c>
      <c r="AM208" t="s">
        <v>1090</v>
      </c>
      <c r="AN208" t="s">
        <v>584</v>
      </c>
      <c r="AO208" t="s">
        <v>345</v>
      </c>
      <c r="AP208" t="s">
        <v>887</v>
      </c>
      <c r="AQ208" t="s">
        <v>887</v>
      </c>
      <c r="AR208">
        <v>800.94043887147302</v>
      </c>
      <c r="AS208">
        <v>207.92015865907501</v>
      </c>
      <c r="AT208" t="s">
        <v>311</v>
      </c>
      <c r="AU208">
        <v>4</v>
      </c>
      <c r="AV208">
        <v>550.15673981191196</v>
      </c>
      <c r="AW208">
        <v>83.168063463629636</v>
      </c>
      <c r="AX208" t="s">
        <v>311</v>
      </c>
      <c r="AY208">
        <v>4</v>
      </c>
      <c r="AZ208" t="s">
        <v>1677</v>
      </c>
      <c r="BA208" t="s">
        <v>1679</v>
      </c>
      <c r="BB208">
        <v>6</v>
      </c>
      <c r="BC208" t="s">
        <v>1672</v>
      </c>
      <c r="BD208" t="s">
        <v>311</v>
      </c>
      <c r="BE208" t="s">
        <v>1881</v>
      </c>
      <c r="BF208">
        <v>0.49</v>
      </c>
      <c r="BG208">
        <v>2.92</v>
      </c>
      <c r="BH208">
        <v>0</v>
      </c>
      <c r="BI208">
        <v>0</v>
      </c>
      <c r="BJ208" t="s">
        <v>311</v>
      </c>
      <c r="BK208" t="s">
        <v>311</v>
      </c>
      <c r="BL208" t="s">
        <v>311</v>
      </c>
      <c r="BM208" t="s">
        <v>311</v>
      </c>
      <c r="BN208">
        <v>16</v>
      </c>
      <c r="BO208">
        <v>16</v>
      </c>
      <c r="BP208" s="6" t="s">
        <v>311</v>
      </c>
      <c r="BQ208" s="6" t="s">
        <v>311</v>
      </c>
      <c r="BR208" s="6" t="s">
        <v>311</v>
      </c>
      <c r="BS208" s="6" t="s">
        <v>311</v>
      </c>
      <c r="BT208" s="6" t="s">
        <v>311</v>
      </c>
      <c r="BU208" s="6" t="s">
        <v>311</v>
      </c>
      <c r="BV208" s="6" t="s">
        <v>311</v>
      </c>
      <c r="BW208" s="6" t="s">
        <v>311</v>
      </c>
      <c r="BX208" t="s">
        <v>1126</v>
      </c>
      <c r="BY208" t="s">
        <v>1203</v>
      </c>
      <c r="BZ208">
        <v>5.635738831615086</v>
      </c>
      <c r="CA208">
        <v>14</v>
      </c>
      <c r="CB208" t="s">
        <v>1209</v>
      </c>
      <c r="CC208" t="s">
        <v>1210</v>
      </c>
      <c r="CD208" t="s">
        <v>311</v>
      </c>
      <c r="CE208" t="s">
        <v>311</v>
      </c>
      <c r="CF208" t="s">
        <v>311</v>
      </c>
      <c r="CG208" t="s">
        <v>1349</v>
      </c>
      <c r="CH208" t="s">
        <v>1310</v>
      </c>
      <c r="CI208">
        <v>0</v>
      </c>
      <c r="CJ208" s="38">
        <v>1</v>
      </c>
      <c r="CK208" s="38">
        <v>0</v>
      </c>
      <c r="CL208" s="38" t="s">
        <v>311</v>
      </c>
      <c r="CM208" s="38" t="s">
        <v>311</v>
      </c>
      <c r="CN208" s="38" t="s">
        <v>311</v>
      </c>
      <c r="CO208" s="38" t="s">
        <v>311</v>
      </c>
      <c r="CP208" s="38" t="s">
        <v>311</v>
      </c>
      <c r="CQ208" t="s">
        <v>1727</v>
      </c>
      <c r="CR208" t="s">
        <v>751</v>
      </c>
    </row>
    <row r="209" spans="1:96">
      <c r="A209">
        <v>208</v>
      </c>
      <c r="B209">
        <v>28</v>
      </c>
      <c r="C209">
        <v>13</v>
      </c>
      <c r="D209" t="s">
        <v>166</v>
      </c>
      <c r="E209" t="s">
        <v>167</v>
      </c>
      <c r="F209" t="s">
        <v>168</v>
      </c>
      <c r="G209">
        <v>1999</v>
      </c>
      <c r="H209" t="s">
        <v>462</v>
      </c>
      <c r="I209" t="s">
        <v>463</v>
      </c>
      <c r="J209">
        <v>47.046931000000001</v>
      </c>
      <c r="K209">
        <v>-2.1396820000000001</v>
      </c>
      <c r="L209" t="s">
        <v>323</v>
      </c>
      <c r="M209" t="s">
        <v>369</v>
      </c>
      <c r="N209" t="s">
        <v>600</v>
      </c>
      <c r="O209" t="s">
        <v>532</v>
      </c>
      <c r="P209" t="s">
        <v>693</v>
      </c>
      <c r="Q209" t="s">
        <v>333</v>
      </c>
      <c r="R209" t="s">
        <v>710</v>
      </c>
      <c r="S209" t="s">
        <v>311</v>
      </c>
      <c r="T209" t="s">
        <v>330</v>
      </c>
      <c r="U209">
        <v>5</v>
      </c>
      <c r="V209" t="s">
        <v>311</v>
      </c>
      <c r="W209" t="s">
        <v>311</v>
      </c>
      <c r="X209" t="s">
        <v>292</v>
      </c>
      <c r="Y209" t="s">
        <v>617</v>
      </c>
      <c r="Z209" t="s">
        <v>537</v>
      </c>
      <c r="AA209" t="s">
        <v>538</v>
      </c>
      <c r="AB209" t="s">
        <v>615</v>
      </c>
      <c r="AC209" t="s">
        <v>616</v>
      </c>
      <c r="AD209" t="s">
        <v>292</v>
      </c>
      <c r="AE209" t="s">
        <v>739</v>
      </c>
      <c r="AF209" t="s">
        <v>342</v>
      </c>
      <c r="AH209" t="s">
        <v>343</v>
      </c>
      <c r="AI209" t="s">
        <v>726</v>
      </c>
      <c r="AJ209" t="s">
        <v>731</v>
      </c>
      <c r="AK209" t="s">
        <v>674</v>
      </c>
      <c r="AL209" t="s">
        <v>357</v>
      </c>
      <c r="AM209" t="s">
        <v>1089</v>
      </c>
      <c r="AN209" t="s">
        <v>584</v>
      </c>
      <c r="AO209" t="s">
        <v>345</v>
      </c>
      <c r="AP209" t="s">
        <v>887</v>
      </c>
      <c r="AQ209" t="s">
        <v>887</v>
      </c>
      <c r="AR209">
        <v>224.731182795698</v>
      </c>
      <c r="AS209">
        <v>17.006802721088761</v>
      </c>
      <c r="AT209" t="s">
        <v>311</v>
      </c>
      <c r="AU209">
        <v>4</v>
      </c>
      <c r="AV209">
        <v>218.27956989247301</v>
      </c>
      <c r="AW209">
        <v>27.430326969497457</v>
      </c>
      <c r="AX209" t="s">
        <v>311</v>
      </c>
      <c r="AY209">
        <v>4</v>
      </c>
      <c r="AZ209" t="s">
        <v>1677</v>
      </c>
      <c r="BA209" t="s">
        <v>1679</v>
      </c>
      <c r="BB209">
        <v>6</v>
      </c>
      <c r="BC209" t="s">
        <v>1672</v>
      </c>
      <c r="BD209" t="s">
        <v>311</v>
      </c>
      <c r="BE209" t="s">
        <v>1881</v>
      </c>
      <c r="BF209">
        <v>4.2699999999999996</v>
      </c>
      <c r="BG209">
        <v>3.03</v>
      </c>
      <c r="BH209">
        <v>0</v>
      </c>
      <c r="BI209">
        <v>0</v>
      </c>
      <c r="BJ209" t="s">
        <v>311</v>
      </c>
      <c r="BK209" t="s">
        <v>311</v>
      </c>
      <c r="BL209" t="s">
        <v>311</v>
      </c>
      <c r="BM209" t="s">
        <v>311</v>
      </c>
      <c r="BN209">
        <v>16</v>
      </c>
      <c r="BO209">
        <v>16</v>
      </c>
      <c r="BP209" s="6" t="s">
        <v>311</v>
      </c>
      <c r="BQ209" s="6" t="s">
        <v>311</v>
      </c>
      <c r="BR209" s="6" t="s">
        <v>311</v>
      </c>
      <c r="BS209" s="6" t="s">
        <v>311</v>
      </c>
      <c r="BT209" s="6" t="s">
        <v>311</v>
      </c>
      <c r="BU209" s="6" t="s">
        <v>311</v>
      </c>
      <c r="BV209" s="6" t="s">
        <v>311</v>
      </c>
      <c r="BW209" s="6" t="s">
        <v>311</v>
      </c>
      <c r="BX209" t="s">
        <v>1126</v>
      </c>
      <c r="BY209" t="s">
        <v>1203</v>
      </c>
      <c r="BZ209">
        <v>5.635738831615086</v>
      </c>
      <c r="CA209">
        <v>14</v>
      </c>
      <c r="CB209" t="s">
        <v>1209</v>
      </c>
      <c r="CC209" t="s">
        <v>1210</v>
      </c>
      <c r="CD209" t="s">
        <v>311</v>
      </c>
      <c r="CE209" t="s">
        <v>311</v>
      </c>
      <c r="CF209" t="s">
        <v>311</v>
      </c>
      <c r="CG209" t="s">
        <v>1349</v>
      </c>
      <c r="CH209" t="s">
        <v>1310</v>
      </c>
      <c r="CI209">
        <v>0</v>
      </c>
      <c r="CJ209" s="38">
        <v>0.75</v>
      </c>
      <c r="CK209" s="38">
        <v>0</v>
      </c>
      <c r="CL209" s="38" t="s">
        <v>311</v>
      </c>
      <c r="CM209" s="38" t="s">
        <v>311</v>
      </c>
      <c r="CN209" s="38" t="s">
        <v>311</v>
      </c>
      <c r="CO209" s="38" t="s">
        <v>311</v>
      </c>
      <c r="CP209" s="38" t="s">
        <v>311</v>
      </c>
      <c r="CQ209" t="s">
        <v>1727</v>
      </c>
      <c r="CR209" t="s">
        <v>751</v>
      </c>
    </row>
    <row r="210" spans="1:96">
      <c r="A210">
        <v>209</v>
      </c>
      <c r="B210">
        <v>28</v>
      </c>
      <c r="C210">
        <v>14</v>
      </c>
      <c r="D210" t="s">
        <v>166</v>
      </c>
      <c r="E210" t="s">
        <v>167</v>
      </c>
      <c r="F210" t="s">
        <v>168</v>
      </c>
      <c r="G210">
        <v>1999</v>
      </c>
      <c r="H210" t="s">
        <v>462</v>
      </c>
      <c r="I210" t="s">
        <v>463</v>
      </c>
      <c r="J210">
        <v>47.046931000000001</v>
      </c>
      <c r="K210">
        <v>-2.1396820000000001</v>
      </c>
      <c r="L210" t="s">
        <v>323</v>
      </c>
      <c r="M210" t="s">
        <v>369</v>
      </c>
      <c r="N210" t="s">
        <v>600</v>
      </c>
      <c r="O210" t="s">
        <v>532</v>
      </c>
      <c r="P210" t="s">
        <v>693</v>
      </c>
      <c r="Q210" t="s">
        <v>333</v>
      </c>
      <c r="R210" t="s">
        <v>710</v>
      </c>
      <c r="S210" t="s">
        <v>311</v>
      </c>
      <c r="T210" t="s">
        <v>330</v>
      </c>
      <c r="U210">
        <v>5</v>
      </c>
      <c r="V210" t="s">
        <v>311</v>
      </c>
      <c r="W210" t="s">
        <v>311</v>
      </c>
      <c r="X210" t="s">
        <v>292</v>
      </c>
      <c r="Y210" t="s">
        <v>617</v>
      </c>
      <c r="Z210" t="s">
        <v>537</v>
      </c>
      <c r="AA210" t="s">
        <v>538</v>
      </c>
      <c r="AB210" t="s">
        <v>615</v>
      </c>
      <c r="AC210" t="s">
        <v>616</v>
      </c>
      <c r="AD210" t="s">
        <v>292</v>
      </c>
      <c r="AE210" t="s">
        <v>739</v>
      </c>
      <c r="AF210" t="s">
        <v>342</v>
      </c>
      <c r="AH210" t="s">
        <v>343</v>
      </c>
      <c r="AI210" t="s">
        <v>726</v>
      </c>
      <c r="AJ210" t="s">
        <v>731</v>
      </c>
      <c r="AK210" t="s">
        <v>674</v>
      </c>
      <c r="AL210" t="s">
        <v>357</v>
      </c>
      <c r="AM210" t="s">
        <v>1090</v>
      </c>
      <c r="AN210" t="s">
        <v>584</v>
      </c>
      <c r="AO210" t="s">
        <v>345</v>
      </c>
      <c r="AP210" t="s">
        <v>887</v>
      </c>
      <c r="AQ210" t="s">
        <v>887</v>
      </c>
      <c r="AR210">
        <v>245.16129032257999</v>
      </c>
      <c r="AS210">
        <v>22.492868114988269</v>
      </c>
      <c r="AT210" t="s">
        <v>311</v>
      </c>
      <c r="AU210">
        <v>4</v>
      </c>
      <c r="AV210">
        <v>218.27956989247301</v>
      </c>
      <c r="AW210">
        <v>27.430326969497457</v>
      </c>
      <c r="AX210" t="s">
        <v>311</v>
      </c>
      <c r="AY210">
        <v>4</v>
      </c>
      <c r="AZ210" t="s">
        <v>1677</v>
      </c>
      <c r="BA210" t="s">
        <v>1679</v>
      </c>
      <c r="BB210">
        <v>6</v>
      </c>
      <c r="BC210" t="s">
        <v>1672</v>
      </c>
      <c r="BD210" t="s">
        <v>311</v>
      </c>
      <c r="BE210" t="s">
        <v>1881</v>
      </c>
      <c r="BF210">
        <v>0.49</v>
      </c>
      <c r="BG210">
        <v>2.92</v>
      </c>
      <c r="BH210">
        <v>0</v>
      </c>
      <c r="BI210">
        <v>0</v>
      </c>
      <c r="BJ210" t="s">
        <v>311</v>
      </c>
      <c r="BK210" t="s">
        <v>311</v>
      </c>
      <c r="BL210" t="s">
        <v>311</v>
      </c>
      <c r="BM210" t="s">
        <v>311</v>
      </c>
      <c r="BN210">
        <v>16</v>
      </c>
      <c r="BO210">
        <v>16</v>
      </c>
      <c r="BP210" s="6" t="s">
        <v>311</v>
      </c>
      <c r="BQ210" s="6" t="s">
        <v>311</v>
      </c>
      <c r="BR210" s="6" t="s">
        <v>311</v>
      </c>
      <c r="BS210" s="6" t="s">
        <v>311</v>
      </c>
      <c r="BT210" s="6" t="s">
        <v>311</v>
      </c>
      <c r="BU210" s="6" t="s">
        <v>311</v>
      </c>
      <c r="BV210" s="6" t="s">
        <v>311</v>
      </c>
      <c r="BW210" s="6" t="s">
        <v>311</v>
      </c>
      <c r="BX210" t="s">
        <v>1126</v>
      </c>
      <c r="BY210" t="s">
        <v>1203</v>
      </c>
      <c r="BZ210">
        <v>5.635738831615086</v>
      </c>
      <c r="CA210">
        <v>14</v>
      </c>
      <c r="CB210" t="s">
        <v>1209</v>
      </c>
      <c r="CC210" t="s">
        <v>1210</v>
      </c>
      <c r="CD210" t="s">
        <v>311</v>
      </c>
      <c r="CE210" t="s">
        <v>311</v>
      </c>
      <c r="CF210" t="s">
        <v>311</v>
      </c>
      <c r="CG210" t="s">
        <v>1349</v>
      </c>
      <c r="CH210" t="s">
        <v>1310</v>
      </c>
      <c r="CI210">
        <v>0</v>
      </c>
      <c r="CJ210" s="38">
        <v>1</v>
      </c>
      <c r="CK210" s="38">
        <v>0</v>
      </c>
      <c r="CL210" s="38" t="s">
        <v>311</v>
      </c>
      <c r="CM210" s="38" t="s">
        <v>311</v>
      </c>
      <c r="CN210" s="38" t="s">
        <v>311</v>
      </c>
      <c r="CO210" s="38" t="s">
        <v>311</v>
      </c>
      <c r="CP210" s="38" t="s">
        <v>311</v>
      </c>
      <c r="CQ210" t="s">
        <v>1727</v>
      </c>
      <c r="CR210" t="s">
        <v>751</v>
      </c>
    </row>
    <row r="211" spans="1:96">
      <c r="A211">
        <v>210</v>
      </c>
      <c r="B211">
        <v>28</v>
      </c>
      <c r="C211">
        <v>15</v>
      </c>
      <c r="D211" t="s">
        <v>166</v>
      </c>
      <c r="E211" t="s">
        <v>167</v>
      </c>
      <c r="F211" t="s">
        <v>168</v>
      </c>
      <c r="G211">
        <v>1999</v>
      </c>
      <c r="H211" t="s">
        <v>462</v>
      </c>
      <c r="I211" t="s">
        <v>463</v>
      </c>
      <c r="J211">
        <v>47.046931000000001</v>
      </c>
      <c r="K211">
        <v>-2.1396820000000001</v>
      </c>
      <c r="L211" t="s">
        <v>323</v>
      </c>
      <c r="M211" t="s">
        <v>369</v>
      </c>
      <c r="N211" t="s">
        <v>600</v>
      </c>
      <c r="O211" t="s">
        <v>532</v>
      </c>
      <c r="P211" t="s">
        <v>693</v>
      </c>
      <c r="Q211" t="s">
        <v>333</v>
      </c>
      <c r="R211" t="s">
        <v>710</v>
      </c>
      <c r="S211" t="s">
        <v>311</v>
      </c>
      <c r="T211" t="s">
        <v>330</v>
      </c>
      <c r="U211">
        <v>5</v>
      </c>
      <c r="V211" t="s">
        <v>311</v>
      </c>
      <c r="W211" t="s">
        <v>311</v>
      </c>
      <c r="X211" t="s">
        <v>292</v>
      </c>
      <c r="Y211" t="s">
        <v>617</v>
      </c>
      <c r="Z211" t="s">
        <v>537</v>
      </c>
      <c r="AA211" t="s">
        <v>538</v>
      </c>
      <c r="AB211" t="s">
        <v>615</v>
      </c>
      <c r="AC211" t="s">
        <v>616</v>
      </c>
      <c r="AD211" t="s">
        <v>292</v>
      </c>
      <c r="AE211" t="s">
        <v>740</v>
      </c>
      <c r="AF211" t="s">
        <v>342</v>
      </c>
      <c r="AH211" t="s">
        <v>343</v>
      </c>
      <c r="AI211" t="s">
        <v>732</v>
      </c>
      <c r="AJ211" t="s">
        <v>733</v>
      </c>
      <c r="AK211" t="s">
        <v>674</v>
      </c>
      <c r="AL211" t="s">
        <v>357</v>
      </c>
      <c r="AM211" t="s">
        <v>1089</v>
      </c>
      <c r="AN211" t="s">
        <v>584</v>
      </c>
      <c r="AO211" t="s">
        <v>345</v>
      </c>
      <c r="AP211" t="s">
        <v>887</v>
      </c>
      <c r="AQ211" t="s">
        <v>887</v>
      </c>
      <c r="AR211">
        <v>1255.3648068669499</v>
      </c>
      <c r="AS211">
        <v>140.14189366733677</v>
      </c>
      <c r="AT211" t="s">
        <v>311</v>
      </c>
      <c r="AU211">
        <v>4</v>
      </c>
      <c r="AV211">
        <v>1023.60515021459</v>
      </c>
      <c r="AW211">
        <v>216.78199176666323</v>
      </c>
      <c r="AX211" t="s">
        <v>311</v>
      </c>
      <c r="AY211">
        <v>4</v>
      </c>
      <c r="AZ211" t="s">
        <v>1677</v>
      </c>
      <c r="BA211" t="s">
        <v>1679</v>
      </c>
      <c r="BB211">
        <v>6</v>
      </c>
      <c r="BC211" t="s">
        <v>1672</v>
      </c>
      <c r="BD211" t="s">
        <v>311</v>
      </c>
      <c r="BE211" t="s">
        <v>1881</v>
      </c>
      <c r="BF211">
        <v>4.2699999999999996</v>
      </c>
      <c r="BG211">
        <v>3.03</v>
      </c>
      <c r="BH211">
        <v>0</v>
      </c>
      <c r="BI211">
        <v>0</v>
      </c>
      <c r="BJ211" t="s">
        <v>311</v>
      </c>
      <c r="BK211" t="s">
        <v>311</v>
      </c>
      <c r="BL211" t="s">
        <v>311</v>
      </c>
      <c r="BM211" t="s">
        <v>311</v>
      </c>
      <c r="BN211">
        <v>16</v>
      </c>
      <c r="BO211">
        <v>16</v>
      </c>
      <c r="BP211" s="6" t="s">
        <v>311</v>
      </c>
      <c r="BQ211" s="6" t="s">
        <v>311</v>
      </c>
      <c r="BR211" s="6" t="s">
        <v>311</v>
      </c>
      <c r="BS211" s="6" t="s">
        <v>311</v>
      </c>
      <c r="BT211" s="6" t="s">
        <v>311</v>
      </c>
      <c r="BU211" s="6" t="s">
        <v>311</v>
      </c>
      <c r="BV211" s="6" t="s">
        <v>311</v>
      </c>
      <c r="BW211" s="6" t="s">
        <v>311</v>
      </c>
      <c r="BX211" t="s">
        <v>1126</v>
      </c>
      <c r="BY211" t="s">
        <v>1203</v>
      </c>
      <c r="BZ211">
        <v>5.635738831615086</v>
      </c>
      <c r="CA211">
        <v>14</v>
      </c>
      <c r="CB211" t="s">
        <v>1209</v>
      </c>
      <c r="CC211" t="s">
        <v>1210</v>
      </c>
      <c r="CD211" t="s">
        <v>311</v>
      </c>
      <c r="CE211" t="s">
        <v>311</v>
      </c>
      <c r="CF211" t="s">
        <v>311</v>
      </c>
      <c r="CG211" t="s">
        <v>1349</v>
      </c>
      <c r="CH211" t="s">
        <v>1310</v>
      </c>
      <c r="CI211">
        <v>0</v>
      </c>
      <c r="CJ211" s="38">
        <v>0.75</v>
      </c>
      <c r="CK211" s="38">
        <v>0</v>
      </c>
      <c r="CL211" s="38" t="s">
        <v>311</v>
      </c>
      <c r="CM211" s="38" t="s">
        <v>311</v>
      </c>
      <c r="CN211" s="38" t="s">
        <v>311</v>
      </c>
      <c r="CO211" s="38" t="s">
        <v>311</v>
      </c>
      <c r="CP211" s="38" t="s">
        <v>311</v>
      </c>
      <c r="CQ211" t="s">
        <v>1727</v>
      </c>
      <c r="CR211" t="s">
        <v>751</v>
      </c>
    </row>
    <row r="212" spans="1:96">
      <c r="A212">
        <v>211</v>
      </c>
      <c r="B212">
        <v>28</v>
      </c>
      <c r="C212">
        <v>16</v>
      </c>
      <c r="D212" t="s">
        <v>166</v>
      </c>
      <c r="E212" t="s">
        <v>167</v>
      </c>
      <c r="F212" t="s">
        <v>168</v>
      </c>
      <c r="G212">
        <v>1999</v>
      </c>
      <c r="H212" t="s">
        <v>462</v>
      </c>
      <c r="I212" t="s">
        <v>463</v>
      </c>
      <c r="J212">
        <v>47.046931000000001</v>
      </c>
      <c r="K212">
        <v>-2.1396820000000001</v>
      </c>
      <c r="L212" t="s">
        <v>323</v>
      </c>
      <c r="M212" t="s">
        <v>369</v>
      </c>
      <c r="N212" t="s">
        <v>600</v>
      </c>
      <c r="O212" t="s">
        <v>532</v>
      </c>
      <c r="P212" t="s">
        <v>693</v>
      </c>
      <c r="Q212" t="s">
        <v>333</v>
      </c>
      <c r="R212" t="s">
        <v>710</v>
      </c>
      <c r="S212" t="s">
        <v>311</v>
      </c>
      <c r="T212" t="s">
        <v>330</v>
      </c>
      <c r="U212">
        <v>5</v>
      </c>
      <c r="V212" t="s">
        <v>311</v>
      </c>
      <c r="W212" t="s">
        <v>311</v>
      </c>
      <c r="X212" t="s">
        <v>292</v>
      </c>
      <c r="Y212" t="s">
        <v>617</v>
      </c>
      <c r="Z212" t="s">
        <v>537</v>
      </c>
      <c r="AA212" t="s">
        <v>538</v>
      </c>
      <c r="AB212" t="s">
        <v>615</v>
      </c>
      <c r="AC212" t="s">
        <v>616</v>
      </c>
      <c r="AD212" t="s">
        <v>292</v>
      </c>
      <c r="AE212" t="s">
        <v>740</v>
      </c>
      <c r="AF212" t="s">
        <v>342</v>
      </c>
      <c r="AH212" t="s">
        <v>343</v>
      </c>
      <c r="AI212" t="s">
        <v>732</v>
      </c>
      <c r="AJ212" t="s">
        <v>733</v>
      </c>
      <c r="AK212" t="s">
        <v>674</v>
      </c>
      <c r="AL212" t="s">
        <v>357</v>
      </c>
      <c r="AM212" t="s">
        <v>1090</v>
      </c>
      <c r="AN212" t="s">
        <v>584</v>
      </c>
      <c r="AO212" t="s">
        <v>345</v>
      </c>
      <c r="AP212" t="s">
        <v>887</v>
      </c>
      <c r="AQ212" t="s">
        <v>887</v>
      </c>
      <c r="AR212">
        <v>1341.20171673819</v>
      </c>
      <c r="AS212">
        <v>339.40614872558666</v>
      </c>
      <c r="AT212" t="s">
        <v>311</v>
      </c>
      <c r="AU212">
        <v>4</v>
      </c>
      <c r="AV212">
        <v>1023.60515021459</v>
      </c>
      <c r="AW212">
        <v>216.78199176666323</v>
      </c>
      <c r="AX212" t="s">
        <v>311</v>
      </c>
      <c r="AY212">
        <v>4</v>
      </c>
      <c r="AZ212" t="s">
        <v>1677</v>
      </c>
      <c r="BA212" t="s">
        <v>1679</v>
      </c>
      <c r="BB212">
        <v>6</v>
      </c>
      <c r="BC212" t="s">
        <v>1672</v>
      </c>
      <c r="BD212" t="s">
        <v>311</v>
      </c>
      <c r="BE212" t="s">
        <v>1881</v>
      </c>
      <c r="BF212">
        <v>0.49</v>
      </c>
      <c r="BG212">
        <v>2.92</v>
      </c>
      <c r="BH212">
        <v>0</v>
      </c>
      <c r="BI212">
        <v>0</v>
      </c>
      <c r="BJ212" t="s">
        <v>311</v>
      </c>
      <c r="BK212" t="s">
        <v>311</v>
      </c>
      <c r="BL212" t="s">
        <v>311</v>
      </c>
      <c r="BM212" t="s">
        <v>311</v>
      </c>
      <c r="BN212">
        <v>16</v>
      </c>
      <c r="BO212">
        <v>16</v>
      </c>
      <c r="BP212" s="6" t="s">
        <v>311</v>
      </c>
      <c r="BQ212" s="6" t="s">
        <v>311</v>
      </c>
      <c r="BR212" s="6" t="s">
        <v>311</v>
      </c>
      <c r="BS212" s="6" t="s">
        <v>311</v>
      </c>
      <c r="BT212" s="6" t="s">
        <v>311</v>
      </c>
      <c r="BU212" s="6" t="s">
        <v>311</v>
      </c>
      <c r="BV212" s="6" t="s">
        <v>311</v>
      </c>
      <c r="BW212" s="6" t="s">
        <v>311</v>
      </c>
      <c r="BX212" t="s">
        <v>1126</v>
      </c>
      <c r="BY212" t="s">
        <v>1203</v>
      </c>
      <c r="BZ212">
        <v>5.635738831615086</v>
      </c>
      <c r="CA212">
        <v>14</v>
      </c>
      <c r="CB212" t="s">
        <v>1209</v>
      </c>
      <c r="CC212" t="s">
        <v>1210</v>
      </c>
      <c r="CD212" t="s">
        <v>311</v>
      </c>
      <c r="CE212" t="s">
        <v>311</v>
      </c>
      <c r="CF212" t="s">
        <v>311</v>
      </c>
      <c r="CG212" t="s">
        <v>1349</v>
      </c>
      <c r="CH212" t="s">
        <v>1310</v>
      </c>
      <c r="CI212">
        <v>0</v>
      </c>
      <c r="CJ212" s="38">
        <v>1</v>
      </c>
      <c r="CK212" s="38">
        <v>0</v>
      </c>
      <c r="CL212" s="38" t="s">
        <v>311</v>
      </c>
      <c r="CM212" s="38" t="s">
        <v>311</v>
      </c>
      <c r="CN212" s="38" t="s">
        <v>311</v>
      </c>
      <c r="CO212" s="38" t="s">
        <v>311</v>
      </c>
      <c r="CP212" s="38" t="s">
        <v>311</v>
      </c>
      <c r="CQ212" t="s">
        <v>1727</v>
      </c>
      <c r="CR212" t="s">
        <v>751</v>
      </c>
    </row>
    <row r="213" spans="1:96">
      <c r="A213">
        <v>212</v>
      </c>
      <c r="B213">
        <v>28</v>
      </c>
      <c r="C213">
        <v>17</v>
      </c>
      <c r="D213" t="s">
        <v>166</v>
      </c>
      <c r="E213" t="s">
        <v>167</v>
      </c>
      <c r="F213" t="s">
        <v>168</v>
      </c>
      <c r="G213">
        <v>1999</v>
      </c>
      <c r="H213" t="s">
        <v>462</v>
      </c>
      <c r="I213" t="s">
        <v>463</v>
      </c>
      <c r="J213">
        <v>47.046931000000001</v>
      </c>
      <c r="K213">
        <v>-2.1396820000000001</v>
      </c>
      <c r="L213" t="s">
        <v>323</v>
      </c>
      <c r="M213" t="s">
        <v>369</v>
      </c>
      <c r="N213" t="s">
        <v>600</v>
      </c>
      <c r="O213" t="s">
        <v>532</v>
      </c>
      <c r="P213" t="s">
        <v>693</v>
      </c>
      <c r="Q213" t="s">
        <v>333</v>
      </c>
      <c r="R213" t="s">
        <v>710</v>
      </c>
      <c r="S213" t="s">
        <v>311</v>
      </c>
      <c r="T213" t="s">
        <v>330</v>
      </c>
      <c r="U213">
        <v>5</v>
      </c>
      <c r="V213" t="s">
        <v>311</v>
      </c>
      <c r="W213" t="s">
        <v>311</v>
      </c>
      <c r="X213" t="s">
        <v>292</v>
      </c>
      <c r="Y213" t="s">
        <v>617</v>
      </c>
      <c r="Z213" t="s">
        <v>537</v>
      </c>
      <c r="AA213" t="s">
        <v>538</v>
      </c>
      <c r="AB213" t="s">
        <v>615</v>
      </c>
      <c r="AC213" t="s">
        <v>616</v>
      </c>
      <c r="AD213" t="s">
        <v>292</v>
      </c>
      <c r="AE213" t="s">
        <v>742</v>
      </c>
      <c r="AF213" t="s">
        <v>342</v>
      </c>
      <c r="AH213" t="s">
        <v>570</v>
      </c>
      <c r="AI213" t="s">
        <v>734</v>
      </c>
      <c r="AJ213" t="s">
        <v>735</v>
      </c>
      <c r="AK213" t="s">
        <v>674</v>
      </c>
      <c r="AL213" t="s">
        <v>357</v>
      </c>
      <c r="AM213" t="s">
        <v>1089</v>
      </c>
      <c r="AN213" t="s">
        <v>584</v>
      </c>
      <c r="AO213" t="s">
        <v>345</v>
      </c>
      <c r="AP213" t="s">
        <v>887</v>
      </c>
      <c r="AQ213" t="s">
        <v>887</v>
      </c>
      <c r="AR213">
        <v>1050.5319148936101</v>
      </c>
      <c r="AS213">
        <v>18.996960486321413</v>
      </c>
      <c r="AT213" t="s">
        <v>311</v>
      </c>
      <c r="AU213">
        <v>4</v>
      </c>
      <c r="AV213">
        <v>827.127659574468</v>
      </c>
      <c r="AW213">
        <v>51.56317846287449</v>
      </c>
      <c r="AX213" t="s">
        <v>311</v>
      </c>
      <c r="AY213">
        <v>4</v>
      </c>
      <c r="AZ213" t="s">
        <v>1677</v>
      </c>
      <c r="BA213" t="s">
        <v>1679</v>
      </c>
      <c r="BB213">
        <v>6</v>
      </c>
      <c r="BC213" t="s">
        <v>1672</v>
      </c>
      <c r="BD213" t="s">
        <v>311</v>
      </c>
      <c r="BE213" t="s">
        <v>1881</v>
      </c>
      <c r="BF213">
        <v>4.2699999999999996</v>
      </c>
      <c r="BG213">
        <v>3.03</v>
      </c>
      <c r="BH213">
        <v>0</v>
      </c>
      <c r="BI213">
        <v>0</v>
      </c>
      <c r="BJ213" t="s">
        <v>311</v>
      </c>
      <c r="BK213" t="s">
        <v>311</v>
      </c>
      <c r="BL213" t="s">
        <v>311</v>
      </c>
      <c r="BM213" t="s">
        <v>311</v>
      </c>
      <c r="BN213">
        <v>16</v>
      </c>
      <c r="BO213">
        <v>16</v>
      </c>
      <c r="BP213" s="6" t="s">
        <v>311</v>
      </c>
      <c r="BQ213" s="6" t="s">
        <v>311</v>
      </c>
      <c r="BR213" s="6" t="s">
        <v>311</v>
      </c>
      <c r="BS213" s="6" t="s">
        <v>311</v>
      </c>
      <c r="BT213" s="6" t="s">
        <v>311</v>
      </c>
      <c r="BU213" s="6" t="s">
        <v>311</v>
      </c>
      <c r="BV213" s="6" t="s">
        <v>311</v>
      </c>
      <c r="BW213" s="6" t="s">
        <v>311</v>
      </c>
      <c r="BX213" t="s">
        <v>1126</v>
      </c>
      <c r="BY213" t="s">
        <v>1203</v>
      </c>
      <c r="BZ213">
        <v>5.635738831615086</v>
      </c>
      <c r="CA213">
        <v>14</v>
      </c>
      <c r="CB213" t="s">
        <v>1209</v>
      </c>
      <c r="CC213" t="s">
        <v>1210</v>
      </c>
      <c r="CD213" t="s">
        <v>311</v>
      </c>
      <c r="CE213" t="s">
        <v>311</v>
      </c>
      <c r="CF213" t="s">
        <v>311</v>
      </c>
      <c r="CG213" t="s">
        <v>1349</v>
      </c>
      <c r="CH213" t="s">
        <v>1310</v>
      </c>
      <c r="CI213">
        <v>0</v>
      </c>
      <c r="CJ213" s="38">
        <v>0.75</v>
      </c>
      <c r="CK213" s="38">
        <v>0</v>
      </c>
      <c r="CL213" s="38" t="s">
        <v>311</v>
      </c>
      <c r="CM213" s="38" t="s">
        <v>311</v>
      </c>
      <c r="CN213" s="38" t="s">
        <v>311</v>
      </c>
      <c r="CO213" s="38" t="s">
        <v>311</v>
      </c>
      <c r="CP213" s="38" t="s">
        <v>311</v>
      </c>
      <c r="CQ213" t="s">
        <v>1727</v>
      </c>
      <c r="CR213" t="s">
        <v>751</v>
      </c>
    </row>
    <row r="214" spans="1:96">
      <c r="A214">
        <v>213</v>
      </c>
      <c r="B214">
        <v>28</v>
      </c>
      <c r="C214">
        <v>18</v>
      </c>
      <c r="D214" t="s">
        <v>166</v>
      </c>
      <c r="E214" t="s">
        <v>167</v>
      </c>
      <c r="F214" t="s">
        <v>168</v>
      </c>
      <c r="G214">
        <v>1999</v>
      </c>
      <c r="H214" t="s">
        <v>462</v>
      </c>
      <c r="I214" t="s">
        <v>463</v>
      </c>
      <c r="J214">
        <v>47.046931000000001</v>
      </c>
      <c r="K214">
        <v>-2.1396820000000001</v>
      </c>
      <c r="L214" t="s">
        <v>323</v>
      </c>
      <c r="M214" t="s">
        <v>369</v>
      </c>
      <c r="N214" t="s">
        <v>600</v>
      </c>
      <c r="O214" t="s">
        <v>532</v>
      </c>
      <c r="P214" t="s">
        <v>693</v>
      </c>
      <c r="Q214" t="s">
        <v>333</v>
      </c>
      <c r="R214" t="s">
        <v>710</v>
      </c>
      <c r="S214" t="s">
        <v>311</v>
      </c>
      <c r="T214" t="s">
        <v>330</v>
      </c>
      <c r="U214">
        <v>5</v>
      </c>
      <c r="V214" t="s">
        <v>311</v>
      </c>
      <c r="W214" t="s">
        <v>311</v>
      </c>
      <c r="X214" t="s">
        <v>292</v>
      </c>
      <c r="Y214" t="s">
        <v>617</v>
      </c>
      <c r="Z214" t="s">
        <v>537</v>
      </c>
      <c r="AA214" t="s">
        <v>538</v>
      </c>
      <c r="AB214" t="s">
        <v>615</v>
      </c>
      <c r="AC214" t="s">
        <v>616</v>
      </c>
      <c r="AD214" t="s">
        <v>292</v>
      </c>
      <c r="AE214" t="s">
        <v>742</v>
      </c>
      <c r="AF214" t="s">
        <v>342</v>
      </c>
      <c r="AH214" t="s">
        <v>570</v>
      </c>
      <c r="AI214" t="s">
        <v>734</v>
      </c>
      <c r="AJ214" t="s">
        <v>735</v>
      </c>
      <c r="AK214" t="s">
        <v>674</v>
      </c>
      <c r="AL214" t="s">
        <v>357</v>
      </c>
      <c r="AM214" t="s">
        <v>1090</v>
      </c>
      <c r="AN214" t="s">
        <v>584</v>
      </c>
      <c r="AO214" t="s">
        <v>345</v>
      </c>
      <c r="AP214" t="s">
        <v>887</v>
      </c>
      <c r="AQ214" t="s">
        <v>887</v>
      </c>
      <c r="AR214">
        <v>1031.91489361702</v>
      </c>
      <c r="AS214">
        <v>77.344767694311216</v>
      </c>
      <c r="AT214" t="s">
        <v>311</v>
      </c>
      <c r="AU214">
        <v>4</v>
      </c>
      <c r="AV214">
        <v>827.127659574468</v>
      </c>
      <c r="AW214">
        <v>51.56317846287449</v>
      </c>
      <c r="AX214" t="s">
        <v>311</v>
      </c>
      <c r="AY214">
        <v>4</v>
      </c>
      <c r="AZ214" t="s">
        <v>1677</v>
      </c>
      <c r="BA214" t="s">
        <v>1679</v>
      </c>
      <c r="BB214">
        <v>6</v>
      </c>
      <c r="BC214" t="s">
        <v>1672</v>
      </c>
      <c r="BD214" t="s">
        <v>311</v>
      </c>
      <c r="BE214" t="s">
        <v>1881</v>
      </c>
      <c r="BF214">
        <v>0.49</v>
      </c>
      <c r="BG214">
        <v>2.92</v>
      </c>
      <c r="BH214">
        <v>0</v>
      </c>
      <c r="BI214">
        <v>0</v>
      </c>
      <c r="BJ214" t="s">
        <v>311</v>
      </c>
      <c r="BK214" t="s">
        <v>311</v>
      </c>
      <c r="BL214" t="s">
        <v>311</v>
      </c>
      <c r="BM214" t="s">
        <v>311</v>
      </c>
      <c r="BN214">
        <v>16</v>
      </c>
      <c r="BO214">
        <v>16</v>
      </c>
      <c r="BP214" s="6" t="s">
        <v>311</v>
      </c>
      <c r="BQ214" s="6" t="s">
        <v>311</v>
      </c>
      <c r="BR214" s="6" t="s">
        <v>311</v>
      </c>
      <c r="BS214" s="6" t="s">
        <v>311</v>
      </c>
      <c r="BT214" s="6" t="s">
        <v>311</v>
      </c>
      <c r="BU214" s="6" t="s">
        <v>311</v>
      </c>
      <c r="BV214" s="6" t="s">
        <v>311</v>
      </c>
      <c r="BW214" s="6" t="s">
        <v>311</v>
      </c>
      <c r="BX214" t="s">
        <v>1126</v>
      </c>
      <c r="BY214" t="s">
        <v>1203</v>
      </c>
      <c r="BZ214">
        <v>5.635738831615086</v>
      </c>
      <c r="CA214">
        <v>14</v>
      </c>
      <c r="CB214" t="s">
        <v>1209</v>
      </c>
      <c r="CC214" t="s">
        <v>1210</v>
      </c>
      <c r="CD214" t="s">
        <v>311</v>
      </c>
      <c r="CE214" t="s">
        <v>311</v>
      </c>
      <c r="CF214" t="s">
        <v>311</v>
      </c>
      <c r="CG214" t="s">
        <v>1349</v>
      </c>
      <c r="CH214" t="s">
        <v>1310</v>
      </c>
      <c r="CI214">
        <v>0</v>
      </c>
      <c r="CJ214" s="38">
        <v>1</v>
      </c>
      <c r="CK214" s="38">
        <v>0</v>
      </c>
      <c r="CL214" s="38" t="s">
        <v>311</v>
      </c>
      <c r="CM214" s="38" t="s">
        <v>311</v>
      </c>
      <c r="CN214" s="38" t="s">
        <v>311</v>
      </c>
      <c r="CO214" s="38" t="s">
        <v>311</v>
      </c>
      <c r="CP214" s="38" t="s">
        <v>311</v>
      </c>
      <c r="CQ214" t="s">
        <v>1727</v>
      </c>
      <c r="CR214" t="s">
        <v>751</v>
      </c>
    </row>
    <row r="215" spans="1:96">
      <c r="A215">
        <v>214</v>
      </c>
      <c r="B215">
        <v>29</v>
      </c>
      <c r="C215">
        <v>1</v>
      </c>
      <c r="D215" t="s">
        <v>175</v>
      </c>
      <c r="E215" t="s">
        <v>176</v>
      </c>
      <c r="F215" t="s">
        <v>86</v>
      </c>
      <c r="G215">
        <v>1998</v>
      </c>
      <c r="H215" t="s">
        <v>1322</v>
      </c>
      <c r="I215" t="s">
        <v>1323</v>
      </c>
      <c r="J215">
        <v>-18.683333000000001</v>
      </c>
      <c r="K215">
        <v>146.58333300000001</v>
      </c>
      <c r="L215" t="s">
        <v>370</v>
      </c>
      <c r="M215" t="s">
        <v>410</v>
      </c>
      <c r="N215" t="s">
        <v>594</v>
      </c>
      <c r="O215" t="s">
        <v>288</v>
      </c>
      <c r="P215" t="s">
        <v>289</v>
      </c>
      <c r="Q215" t="s">
        <v>291</v>
      </c>
      <c r="R215" t="s">
        <v>327</v>
      </c>
      <c r="S215" t="s">
        <v>717</v>
      </c>
      <c r="T215" t="s">
        <v>331</v>
      </c>
      <c r="U215">
        <v>5</v>
      </c>
      <c r="V215" t="s">
        <v>551</v>
      </c>
      <c r="W215">
        <v>1996</v>
      </c>
      <c r="X215" t="s">
        <v>292</v>
      </c>
      <c r="Y215" t="s">
        <v>759</v>
      </c>
      <c r="Z215" t="s">
        <v>760</v>
      </c>
      <c r="AA215" t="s">
        <v>761</v>
      </c>
      <c r="AB215" t="s">
        <v>762</v>
      </c>
      <c r="AC215" t="s">
        <v>763</v>
      </c>
      <c r="AD215" t="s">
        <v>340</v>
      </c>
      <c r="AE215" t="s">
        <v>311</v>
      </c>
      <c r="AF215" t="s">
        <v>342</v>
      </c>
      <c r="AH215" t="s">
        <v>311</v>
      </c>
      <c r="AI215" t="s">
        <v>311</v>
      </c>
      <c r="AJ215" t="s">
        <v>311</v>
      </c>
      <c r="AK215" t="s">
        <v>317</v>
      </c>
      <c r="AL215" t="s">
        <v>357</v>
      </c>
      <c r="AM215" t="s">
        <v>764</v>
      </c>
      <c r="AN215" t="s">
        <v>584</v>
      </c>
      <c r="AO215" t="s">
        <v>1284</v>
      </c>
      <c r="AP215" t="s">
        <v>887</v>
      </c>
      <c r="AQ215" t="s">
        <v>887</v>
      </c>
      <c r="AR215">
        <v>973.56321839080397</v>
      </c>
      <c r="AS215">
        <v>43.678160919536026</v>
      </c>
      <c r="AT215" t="s">
        <v>311</v>
      </c>
      <c r="AU215">
        <v>4</v>
      </c>
      <c r="AV215">
        <v>860.919540229885</v>
      </c>
      <c r="AW215">
        <v>36.781609195401984</v>
      </c>
      <c r="AX215" t="s">
        <v>311</v>
      </c>
      <c r="AY215">
        <v>4</v>
      </c>
      <c r="AZ215" t="s">
        <v>1678</v>
      </c>
      <c r="BA215" t="s">
        <v>1680</v>
      </c>
      <c r="BB215">
        <v>1</v>
      </c>
      <c r="BC215" t="s">
        <v>1672</v>
      </c>
      <c r="BD215" t="s">
        <v>311</v>
      </c>
      <c r="BE215" t="s">
        <v>1881</v>
      </c>
      <c r="BF215">
        <v>0.495</v>
      </c>
      <c r="BG215">
        <v>0.03</v>
      </c>
      <c r="BH215">
        <v>0.38500000000000001</v>
      </c>
      <c r="BI215">
        <v>0.06</v>
      </c>
      <c r="BJ215" t="s">
        <v>311</v>
      </c>
      <c r="BK215" t="s">
        <v>311</v>
      </c>
      <c r="BL215" t="s">
        <v>311</v>
      </c>
      <c r="BM215" t="s">
        <v>311</v>
      </c>
      <c r="BN215" t="s">
        <v>311</v>
      </c>
      <c r="BO215" t="s">
        <v>311</v>
      </c>
      <c r="BP215" t="s">
        <v>311</v>
      </c>
      <c r="BQ215" t="s">
        <v>311</v>
      </c>
      <c r="BR215" t="s">
        <v>311</v>
      </c>
      <c r="BS215" t="s">
        <v>311</v>
      </c>
      <c r="BT215" t="s">
        <v>311</v>
      </c>
      <c r="BU215" t="s">
        <v>311</v>
      </c>
      <c r="BV215" t="s">
        <v>311</v>
      </c>
      <c r="BW215" t="s">
        <v>311</v>
      </c>
      <c r="BX215" t="s">
        <v>1126</v>
      </c>
      <c r="BY215" t="s">
        <v>1203</v>
      </c>
      <c r="BZ215" s="6">
        <v>1.675</v>
      </c>
      <c r="CA215">
        <v>28.4</v>
      </c>
      <c r="CB215" t="s">
        <v>1209</v>
      </c>
      <c r="CC215" t="s">
        <v>1209</v>
      </c>
      <c r="CD215" t="s">
        <v>311</v>
      </c>
      <c r="CE215" t="s">
        <v>311</v>
      </c>
      <c r="CF215" t="s">
        <v>311</v>
      </c>
      <c r="CG215" t="s">
        <v>311</v>
      </c>
      <c r="CH215" t="s">
        <v>311</v>
      </c>
      <c r="CI215" t="s">
        <v>311</v>
      </c>
      <c r="CJ215" s="38">
        <v>0</v>
      </c>
      <c r="CK215" s="38">
        <v>0</v>
      </c>
      <c r="CL215" s="38" t="s">
        <v>311</v>
      </c>
      <c r="CM215" s="38" t="s">
        <v>311</v>
      </c>
      <c r="CN215" s="38" t="s">
        <v>311</v>
      </c>
      <c r="CO215" s="38" t="s">
        <v>311</v>
      </c>
      <c r="CP215" s="38" t="s">
        <v>311</v>
      </c>
      <c r="CQ215" t="s">
        <v>1728</v>
      </c>
      <c r="CR215" t="s">
        <v>1325</v>
      </c>
    </row>
    <row r="216" spans="1:96">
      <c r="A216">
        <v>215</v>
      </c>
      <c r="B216">
        <v>30</v>
      </c>
      <c r="C216">
        <v>1</v>
      </c>
      <c r="D216" t="s">
        <v>232</v>
      </c>
      <c r="E216" t="s">
        <v>233</v>
      </c>
      <c r="F216" t="s">
        <v>234</v>
      </c>
      <c r="G216">
        <v>2001</v>
      </c>
      <c r="H216" t="s">
        <v>1326</v>
      </c>
      <c r="I216" t="s">
        <v>1327</v>
      </c>
      <c r="J216">
        <v>48.359071999999998</v>
      </c>
      <c r="K216">
        <v>-4.5588290000000002</v>
      </c>
      <c r="L216" t="s">
        <v>323</v>
      </c>
      <c r="M216" t="s">
        <v>518</v>
      </c>
      <c r="N216" t="s">
        <v>600</v>
      </c>
      <c r="O216" t="s">
        <v>532</v>
      </c>
      <c r="P216" t="s">
        <v>693</v>
      </c>
      <c r="Q216" t="s">
        <v>333</v>
      </c>
      <c r="R216" t="s">
        <v>328</v>
      </c>
      <c r="S216" t="s">
        <v>311</v>
      </c>
      <c r="T216" t="s">
        <v>330</v>
      </c>
      <c r="U216">
        <v>5</v>
      </c>
      <c r="V216" t="s">
        <v>559</v>
      </c>
      <c r="W216" t="s">
        <v>311</v>
      </c>
      <c r="X216" t="s">
        <v>292</v>
      </c>
      <c r="Y216" t="s">
        <v>617</v>
      </c>
      <c r="Z216" t="s">
        <v>537</v>
      </c>
      <c r="AA216" t="s">
        <v>538</v>
      </c>
      <c r="AB216" t="s">
        <v>615</v>
      </c>
      <c r="AC216" t="s">
        <v>616</v>
      </c>
      <c r="AD216" t="s">
        <v>292</v>
      </c>
      <c r="AE216" t="s">
        <v>914</v>
      </c>
      <c r="AF216" t="s">
        <v>342</v>
      </c>
      <c r="AH216" t="s">
        <v>820</v>
      </c>
      <c r="AI216" t="s">
        <v>915</v>
      </c>
      <c r="AJ216" t="s">
        <v>916</v>
      </c>
      <c r="AK216" t="s">
        <v>925</v>
      </c>
      <c r="AL216" t="s">
        <v>925</v>
      </c>
      <c r="AM216" t="s">
        <v>859</v>
      </c>
      <c r="AN216" t="s">
        <v>584</v>
      </c>
      <c r="AO216" t="s">
        <v>345</v>
      </c>
      <c r="AP216" t="s">
        <v>614</v>
      </c>
      <c r="AQ216" t="s">
        <v>887</v>
      </c>
      <c r="AR216">
        <v>0.35</v>
      </c>
      <c r="AS216">
        <v>4.2553191489361708E-2</v>
      </c>
      <c r="AT216" t="s">
        <v>311</v>
      </c>
      <c r="AU216">
        <v>3</v>
      </c>
      <c r="AV216">
        <v>0.31</v>
      </c>
      <c r="AW216">
        <v>3.0395136778115495E-2</v>
      </c>
      <c r="AX216" t="s">
        <v>311</v>
      </c>
      <c r="AY216">
        <v>3</v>
      </c>
      <c r="AZ216" t="s">
        <v>1677</v>
      </c>
      <c r="BA216" t="s">
        <v>1679</v>
      </c>
      <c r="BB216" t="s">
        <v>311</v>
      </c>
      <c r="BC216" t="s">
        <v>1672</v>
      </c>
      <c r="BD216" t="s">
        <v>311</v>
      </c>
      <c r="BE216" t="s">
        <v>1880</v>
      </c>
      <c r="BF216">
        <v>30</v>
      </c>
      <c r="BG216" t="s">
        <v>311</v>
      </c>
      <c r="BH216">
        <v>0.3</v>
      </c>
      <c r="BI216" t="s">
        <v>311</v>
      </c>
      <c r="BJ216">
        <v>11</v>
      </c>
      <c r="BK216" t="s">
        <v>311</v>
      </c>
      <c r="BL216">
        <v>10</v>
      </c>
      <c r="BM216" t="s">
        <v>311</v>
      </c>
      <c r="BN216" t="s">
        <v>311</v>
      </c>
      <c r="BO216" t="s">
        <v>311</v>
      </c>
      <c r="BP216" s="6" t="s">
        <v>311</v>
      </c>
      <c r="BQ216" s="6" t="s">
        <v>311</v>
      </c>
      <c r="BR216" s="6" t="s">
        <v>311</v>
      </c>
      <c r="BS216" s="6" t="s">
        <v>311</v>
      </c>
      <c r="BT216" s="6" t="s">
        <v>311</v>
      </c>
      <c r="BU216" s="6" t="s">
        <v>311</v>
      </c>
      <c r="BV216" s="6" t="s">
        <v>311</v>
      </c>
      <c r="BW216" s="6" t="s">
        <v>311</v>
      </c>
      <c r="BX216" s="6" t="s">
        <v>1126</v>
      </c>
      <c r="BY216" t="s">
        <v>1203</v>
      </c>
      <c r="BZ216">
        <v>10.3</v>
      </c>
      <c r="CA216">
        <v>18</v>
      </c>
      <c r="CB216" t="s">
        <v>1209</v>
      </c>
      <c r="CC216" t="s">
        <v>1209</v>
      </c>
      <c r="CD216" t="s">
        <v>311</v>
      </c>
      <c r="CE216" t="s">
        <v>311</v>
      </c>
      <c r="CF216" t="s">
        <v>311</v>
      </c>
      <c r="CG216" t="s">
        <v>311</v>
      </c>
      <c r="CH216" t="s">
        <v>311</v>
      </c>
      <c r="CI216" t="s">
        <v>311</v>
      </c>
      <c r="CJ216" s="38">
        <v>2</v>
      </c>
      <c r="CK216" s="38">
        <v>0.5</v>
      </c>
      <c r="CL216" s="38">
        <v>20.5</v>
      </c>
      <c r="CM216" s="38">
        <v>20.6</v>
      </c>
      <c r="CN216" s="38" t="s">
        <v>311</v>
      </c>
      <c r="CO216" s="38" t="s">
        <v>311</v>
      </c>
      <c r="CP216" s="38">
        <v>0.5</v>
      </c>
      <c r="CQ216" t="s">
        <v>1729</v>
      </c>
      <c r="CR216" t="s">
        <v>1573</v>
      </c>
    </row>
    <row r="217" spans="1:96">
      <c r="A217">
        <v>216</v>
      </c>
      <c r="B217">
        <v>30</v>
      </c>
      <c r="C217">
        <v>2</v>
      </c>
      <c r="D217" t="s">
        <v>232</v>
      </c>
      <c r="E217" t="s">
        <v>233</v>
      </c>
      <c r="F217" t="s">
        <v>234</v>
      </c>
      <c r="G217">
        <v>2001</v>
      </c>
      <c r="H217" t="s">
        <v>1326</v>
      </c>
      <c r="I217" t="s">
        <v>1327</v>
      </c>
      <c r="J217">
        <v>48.359071999999998</v>
      </c>
      <c r="K217">
        <v>-4.5588290000000002</v>
      </c>
      <c r="L217" t="s">
        <v>323</v>
      </c>
      <c r="M217" t="s">
        <v>518</v>
      </c>
      <c r="N217" t="s">
        <v>600</v>
      </c>
      <c r="O217" t="s">
        <v>532</v>
      </c>
      <c r="P217" t="s">
        <v>693</v>
      </c>
      <c r="Q217" t="s">
        <v>333</v>
      </c>
      <c r="R217" t="s">
        <v>328</v>
      </c>
      <c r="S217" t="s">
        <v>311</v>
      </c>
      <c r="T217" t="s">
        <v>330</v>
      </c>
      <c r="U217">
        <v>5</v>
      </c>
      <c r="V217" t="s">
        <v>559</v>
      </c>
      <c r="W217" t="s">
        <v>311</v>
      </c>
      <c r="X217" t="s">
        <v>292</v>
      </c>
      <c r="Y217" t="s">
        <v>617</v>
      </c>
      <c r="Z217" t="s">
        <v>537</v>
      </c>
      <c r="AA217" t="s">
        <v>538</v>
      </c>
      <c r="AB217" t="s">
        <v>615</v>
      </c>
      <c r="AC217" t="s">
        <v>616</v>
      </c>
      <c r="AD217" t="s">
        <v>292</v>
      </c>
      <c r="AE217" t="s">
        <v>923</v>
      </c>
      <c r="AF217" t="s">
        <v>342</v>
      </c>
      <c r="AH217" t="s">
        <v>820</v>
      </c>
      <c r="AI217" t="s">
        <v>924</v>
      </c>
      <c r="AJ217" t="s">
        <v>918</v>
      </c>
      <c r="AK217" t="s">
        <v>925</v>
      </c>
      <c r="AL217" t="s">
        <v>925</v>
      </c>
      <c r="AM217" t="s">
        <v>859</v>
      </c>
      <c r="AN217" t="s">
        <v>584</v>
      </c>
      <c r="AO217" t="s">
        <v>345</v>
      </c>
      <c r="AP217" t="s">
        <v>614</v>
      </c>
      <c r="AQ217" t="s">
        <v>887</v>
      </c>
      <c r="AR217">
        <v>0.49</v>
      </c>
      <c r="AS217">
        <v>2.4316109422492405E-2</v>
      </c>
      <c r="AT217" t="s">
        <v>311</v>
      </c>
      <c r="AU217">
        <v>3</v>
      </c>
      <c r="AV217">
        <v>0.42</v>
      </c>
      <c r="AW217">
        <v>3.0395136778115495E-2</v>
      </c>
      <c r="AX217" t="s">
        <v>311</v>
      </c>
      <c r="AY217">
        <v>3</v>
      </c>
      <c r="AZ217" t="s">
        <v>1677</v>
      </c>
      <c r="BA217" t="s">
        <v>1679</v>
      </c>
      <c r="BB217" t="s">
        <v>311</v>
      </c>
      <c r="BC217" t="s">
        <v>1672</v>
      </c>
      <c r="BD217" t="s">
        <v>311</v>
      </c>
      <c r="BE217" t="s">
        <v>1880</v>
      </c>
      <c r="BF217">
        <v>30</v>
      </c>
      <c r="BG217" t="s">
        <v>311</v>
      </c>
      <c r="BH217">
        <v>0.3</v>
      </c>
      <c r="BI217" t="s">
        <v>311</v>
      </c>
      <c r="BJ217">
        <v>11</v>
      </c>
      <c r="BK217" t="s">
        <v>311</v>
      </c>
      <c r="BL217">
        <v>10</v>
      </c>
      <c r="BM217" t="s">
        <v>311</v>
      </c>
      <c r="BN217" t="s">
        <v>311</v>
      </c>
      <c r="BO217" t="s">
        <v>311</v>
      </c>
      <c r="BP217" s="6" t="s">
        <v>311</v>
      </c>
      <c r="BQ217" s="6" t="s">
        <v>311</v>
      </c>
      <c r="BR217" s="6" t="s">
        <v>311</v>
      </c>
      <c r="BS217" s="6" t="s">
        <v>311</v>
      </c>
      <c r="BT217" s="6" t="s">
        <v>311</v>
      </c>
      <c r="BU217" s="6" t="s">
        <v>311</v>
      </c>
      <c r="BV217" s="6" t="s">
        <v>311</v>
      </c>
      <c r="BW217" s="6" t="s">
        <v>311</v>
      </c>
      <c r="BX217" s="6" t="s">
        <v>1126</v>
      </c>
      <c r="BY217" t="s">
        <v>1203</v>
      </c>
      <c r="BZ217">
        <v>10.3</v>
      </c>
      <c r="CA217">
        <v>18</v>
      </c>
      <c r="CB217" t="s">
        <v>1209</v>
      </c>
      <c r="CC217" t="s">
        <v>1209</v>
      </c>
      <c r="CD217" t="s">
        <v>311</v>
      </c>
      <c r="CE217" t="s">
        <v>311</v>
      </c>
      <c r="CF217" t="s">
        <v>311</v>
      </c>
      <c r="CG217" t="s">
        <v>311</v>
      </c>
      <c r="CH217" t="s">
        <v>311</v>
      </c>
      <c r="CI217" t="s">
        <v>311</v>
      </c>
      <c r="CJ217" s="38">
        <v>2</v>
      </c>
      <c r="CK217" s="38">
        <v>0.5</v>
      </c>
      <c r="CL217" s="38">
        <v>20.5</v>
      </c>
      <c r="CM217" s="38">
        <v>20.6</v>
      </c>
      <c r="CN217" s="38" t="s">
        <v>311</v>
      </c>
      <c r="CO217" s="38" t="s">
        <v>311</v>
      </c>
      <c r="CP217" s="38">
        <v>0.5</v>
      </c>
      <c r="CQ217" t="s">
        <v>1729</v>
      </c>
      <c r="CR217" t="s">
        <v>940</v>
      </c>
    </row>
    <row r="218" spans="1:96">
      <c r="A218">
        <v>217</v>
      </c>
      <c r="B218">
        <v>30</v>
      </c>
      <c r="C218">
        <v>3</v>
      </c>
      <c r="D218" t="s">
        <v>232</v>
      </c>
      <c r="E218" t="s">
        <v>233</v>
      </c>
      <c r="F218" t="s">
        <v>234</v>
      </c>
      <c r="G218">
        <v>2001</v>
      </c>
      <c r="H218" t="s">
        <v>1326</v>
      </c>
      <c r="I218" t="s">
        <v>1327</v>
      </c>
      <c r="J218">
        <v>48.359071999999998</v>
      </c>
      <c r="K218">
        <v>-4.5588290000000002</v>
      </c>
      <c r="L218" t="s">
        <v>323</v>
      </c>
      <c r="M218" t="s">
        <v>518</v>
      </c>
      <c r="N218" t="s">
        <v>600</v>
      </c>
      <c r="O218" t="s">
        <v>532</v>
      </c>
      <c r="P218" t="s">
        <v>693</v>
      </c>
      <c r="Q218" t="s">
        <v>333</v>
      </c>
      <c r="R218" t="s">
        <v>328</v>
      </c>
      <c r="S218" t="s">
        <v>311</v>
      </c>
      <c r="T218" t="s">
        <v>330</v>
      </c>
      <c r="U218">
        <v>5</v>
      </c>
      <c r="V218" t="s">
        <v>559</v>
      </c>
      <c r="W218" t="s">
        <v>311</v>
      </c>
      <c r="X218" t="s">
        <v>292</v>
      </c>
      <c r="Y218" t="s">
        <v>617</v>
      </c>
      <c r="Z218" t="s">
        <v>537</v>
      </c>
      <c r="AA218" t="s">
        <v>538</v>
      </c>
      <c r="AB218" t="s">
        <v>615</v>
      </c>
      <c r="AC218" t="s">
        <v>616</v>
      </c>
      <c r="AD218" t="s">
        <v>292</v>
      </c>
      <c r="AE218" t="s">
        <v>922</v>
      </c>
      <c r="AF218" t="s">
        <v>342</v>
      </c>
      <c r="AH218" t="s">
        <v>343</v>
      </c>
      <c r="AI218" t="s">
        <v>921</v>
      </c>
      <c r="AJ218" t="s">
        <v>919</v>
      </c>
      <c r="AK218" t="s">
        <v>925</v>
      </c>
      <c r="AL218" t="s">
        <v>925</v>
      </c>
      <c r="AM218" t="s">
        <v>859</v>
      </c>
      <c r="AN218" t="s">
        <v>584</v>
      </c>
      <c r="AO218" t="s">
        <v>345</v>
      </c>
      <c r="AP218" t="s">
        <v>614</v>
      </c>
      <c r="AQ218" t="s">
        <v>887</v>
      </c>
      <c r="AR218">
        <v>0.46</v>
      </c>
      <c r="AS218">
        <v>1.8237082066869283E-2</v>
      </c>
      <c r="AT218" t="s">
        <v>311</v>
      </c>
      <c r="AU218">
        <v>3</v>
      </c>
      <c r="AV218">
        <v>0.43</v>
      </c>
      <c r="AW218">
        <v>2.4316109422492387E-2</v>
      </c>
      <c r="AX218" t="s">
        <v>311</v>
      </c>
      <c r="AY218">
        <v>3</v>
      </c>
      <c r="AZ218" t="s">
        <v>1677</v>
      </c>
      <c r="BA218" t="s">
        <v>1679</v>
      </c>
      <c r="BB218" t="s">
        <v>311</v>
      </c>
      <c r="BC218" t="s">
        <v>1672</v>
      </c>
      <c r="BD218" t="s">
        <v>311</v>
      </c>
      <c r="BE218" t="s">
        <v>1880</v>
      </c>
      <c r="BF218">
        <v>30</v>
      </c>
      <c r="BG218" t="s">
        <v>311</v>
      </c>
      <c r="BH218">
        <v>0.3</v>
      </c>
      <c r="BI218" t="s">
        <v>311</v>
      </c>
      <c r="BJ218">
        <v>11</v>
      </c>
      <c r="BK218" t="s">
        <v>311</v>
      </c>
      <c r="BL218">
        <v>10</v>
      </c>
      <c r="BM218" t="s">
        <v>311</v>
      </c>
      <c r="BN218" t="s">
        <v>311</v>
      </c>
      <c r="BO218" t="s">
        <v>311</v>
      </c>
      <c r="BP218" s="6" t="s">
        <v>311</v>
      </c>
      <c r="BQ218" s="6" t="s">
        <v>311</v>
      </c>
      <c r="BR218" s="6" t="s">
        <v>311</v>
      </c>
      <c r="BS218" s="6" t="s">
        <v>311</v>
      </c>
      <c r="BT218" s="6" t="s">
        <v>311</v>
      </c>
      <c r="BU218" s="6" t="s">
        <v>311</v>
      </c>
      <c r="BV218" s="6" t="s">
        <v>311</v>
      </c>
      <c r="BW218" s="6" t="s">
        <v>311</v>
      </c>
      <c r="BX218" s="6" t="s">
        <v>1126</v>
      </c>
      <c r="BY218" t="s">
        <v>1203</v>
      </c>
      <c r="BZ218">
        <v>10.3</v>
      </c>
      <c r="CA218">
        <v>18</v>
      </c>
      <c r="CB218" t="s">
        <v>1209</v>
      </c>
      <c r="CC218" t="s">
        <v>1209</v>
      </c>
      <c r="CD218" t="s">
        <v>311</v>
      </c>
      <c r="CE218" t="s">
        <v>311</v>
      </c>
      <c r="CF218" t="s">
        <v>311</v>
      </c>
      <c r="CG218" t="s">
        <v>311</v>
      </c>
      <c r="CH218" t="s">
        <v>311</v>
      </c>
      <c r="CI218" t="s">
        <v>311</v>
      </c>
      <c r="CJ218" s="38">
        <v>2</v>
      </c>
      <c r="CK218" s="38">
        <v>0.5</v>
      </c>
      <c r="CL218" s="38">
        <v>20.5</v>
      </c>
      <c r="CM218" s="38">
        <v>20.6</v>
      </c>
      <c r="CN218" s="38" t="s">
        <v>311</v>
      </c>
      <c r="CO218" s="38" t="s">
        <v>311</v>
      </c>
      <c r="CP218" s="38">
        <v>0.5</v>
      </c>
      <c r="CQ218" t="s">
        <v>1729</v>
      </c>
      <c r="CR218" t="s">
        <v>940</v>
      </c>
    </row>
    <row r="219" spans="1:96">
      <c r="A219">
        <v>218</v>
      </c>
      <c r="B219">
        <v>30</v>
      </c>
      <c r="C219">
        <v>4</v>
      </c>
      <c r="D219" t="s">
        <v>232</v>
      </c>
      <c r="E219" t="s">
        <v>233</v>
      </c>
      <c r="F219" t="s">
        <v>234</v>
      </c>
      <c r="G219">
        <v>2001</v>
      </c>
      <c r="H219" t="s">
        <v>1326</v>
      </c>
      <c r="I219" t="s">
        <v>1327</v>
      </c>
      <c r="J219">
        <v>48.359071999999998</v>
      </c>
      <c r="K219">
        <v>-4.5588290000000002</v>
      </c>
      <c r="L219" t="s">
        <v>323</v>
      </c>
      <c r="M219" t="s">
        <v>518</v>
      </c>
      <c r="N219" t="s">
        <v>600</v>
      </c>
      <c r="O219" t="s">
        <v>532</v>
      </c>
      <c r="P219" t="s">
        <v>693</v>
      </c>
      <c r="Q219" t="s">
        <v>333</v>
      </c>
      <c r="R219" t="s">
        <v>328</v>
      </c>
      <c r="S219" t="s">
        <v>311</v>
      </c>
      <c r="T219" t="s">
        <v>330</v>
      </c>
      <c r="U219">
        <v>5</v>
      </c>
      <c r="V219" t="s">
        <v>559</v>
      </c>
      <c r="W219" t="s">
        <v>311</v>
      </c>
      <c r="X219" t="s">
        <v>292</v>
      </c>
      <c r="Y219" t="s">
        <v>617</v>
      </c>
      <c r="Z219" t="s">
        <v>537</v>
      </c>
      <c r="AA219" t="s">
        <v>538</v>
      </c>
      <c r="AB219" t="s">
        <v>615</v>
      </c>
      <c r="AC219" t="s">
        <v>616</v>
      </c>
      <c r="AD219" t="s">
        <v>292</v>
      </c>
      <c r="AE219" t="s">
        <v>741</v>
      </c>
      <c r="AF219" t="s">
        <v>342</v>
      </c>
      <c r="AH219" t="s">
        <v>343</v>
      </c>
      <c r="AI219" t="s">
        <v>729</v>
      </c>
      <c r="AJ219" t="s">
        <v>920</v>
      </c>
      <c r="AK219" t="s">
        <v>925</v>
      </c>
      <c r="AL219" t="s">
        <v>925</v>
      </c>
      <c r="AM219" t="s">
        <v>859</v>
      </c>
      <c r="AN219" t="s">
        <v>584</v>
      </c>
      <c r="AO219" t="s">
        <v>345</v>
      </c>
      <c r="AP219" t="s">
        <v>614</v>
      </c>
      <c r="AQ219" t="s">
        <v>887</v>
      </c>
      <c r="AR219">
        <v>0.96</v>
      </c>
      <c r="AS219">
        <v>6.6869300911854127E-2</v>
      </c>
      <c r="AT219" t="s">
        <v>311</v>
      </c>
      <c r="AU219">
        <v>3</v>
      </c>
      <c r="AV219">
        <v>0.7</v>
      </c>
      <c r="AW219">
        <v>4.2553191489361743E-2</v>
      </c>
      <c r="AX219" t="s">
        <v>311</v>
      </c>
      <c r="AY219">
        <v>3</v>
      </c>
      <c r="AZ219" t="s">
        <v>1677</v>
      </c>
      <c r="BA219" t="s">
        <v>1679</v>
      </c>
      <c r="BB219" t="s">
        <v>311</v>
      </c>
      <c r="BC219" t="s">
        <v>1672</v>
      </c>
      <c r="BD219" t="s">
        <v>311</v>
      </c>
      <c r="BE219" t="s">
        <v>1880</v>
      </c>
      <c r="BF219">
        <v>30</v>
      </c>
      <c r="BG219" t="s">
        <v>311</v>
      </c>
      <c r="BH219">
        <v>0.3</v>
      </c>
      <c r="BI219" t="s">
        <v>311</v>
      </c>
      <c r="BJ219">
        <v>11</v>
      </c>
      <c r="BK219" t="s">
        <v>311</v>
      </c>
      <c r="BL219">
        <v>10</v>
      </c>
      <c r="BM219" t="s">
        <v>311</v>
      </c>
      <c r="BN219" t="s">
        <v>311</v>
      </c>
      <c r="BO219" t="s">
        <v>311</v>
      </c>
      <c r="BP219" s="6" t="s">
        <v>311</v>
      </c>
      <c r="BQ219" s="6" t="s">
        <v>311</v>
      </c>
      <c r="BR219" s="6" t="s">
        <v>311</v>
      </c>
      <c r="BS219" s="6" t="s">
        <v>311</v>
      </c>
      <c r="BT219" s="6" t="s">
        <v>311</v>
      </c>
      <c r="BU219" s="6" t="s">
        <v>311</v>
      </c>
      <c r="BV219" s="6" t="s">
        <v>311</v>
      </c>
      <c r="BW219" s="6" t="s">
        <v>311</v>
      </c>
      <c r="BX219" s="6" t="s">
        <v>1126</v>
      </c>
      <c r="BY219" t="s">
        <v>1203</v>
      </c>
      <c r="BZ219">
        <v>10.3</v>
      </c>
      <c r="CA219">
        <v>18</v>
      </c>
      <c r="CB219" t="s">
        <v>1209</v>
      </c>
      <c r="CC219" t="s">
        <v>1209</v>
      </c>
      <c r="CD219" t="s">
        <v>311</v>
      </c>
      <c r="CE219" t="s">
        <v>311</v>
      </c>
      <c r="CF219" t="s">
        <v>311</v>
      </c>
      <c r="CG219" t="s">
        <v>311</v>
      </c>
      <c r="CH219" t="s">
        <v>311</v>
      </c>
      <c r="CI219" t="s">
        <v>311</v>
      </c>
      <c r="CJ219" s="38">
        <v>2</v>
      </c>
      <c r="CK219" s="38">
        <v>0.5</v>
      </c>
      <c r="CL219" s="38">
        <v>20.5</v>
      </c>
      <c r="CM219" s="38">
        <v>20.6</v>
      </c>
      <c r="CN219" s="38" t="s">
        <v>311</v>
      </c>
      <c r="CO219" s="38" t="s">
        <v>311</v>
      </c>
      <c r="CP219" s="38">
        <v>0.5</v>
      </c>
      <c r="CQ219" t="s">
        <v>1729</v>
      </c>
      <c r="CR219" t="s">
        <v>940</v>
      </c>
    </row>
    <row r="220" spans="1:96">
      <c r="A220">
        <v>219</v>
      </c>
      <c r="B220">
        <v>30</v>
      </c>
      <c r="C220">
        <v>5</v>
      </c>
      <c r="D220" t="s">
        <v>232</v>
      </c>
      <c r="E220" t="s">
        <v>233</v>
      </c>
      <c r="F220" t="s">
        <v>234</v>
      </c>
      <c r="G220">
        <v>2001</v>
      </c>
      <c r="H220" t="s">
        <v>1328</v>
      </c>
      <c r="I220" t="s">
        <v>1329</v>
      </c>
      <c r="J220">
        <v>-41.501365999999997</v>
      </c>
      <c r="K220">
        <v>-72.938985000000002</v>
      </c>
      <c r="L220" t="s">
        <v>267</v>
      </c>
      <c r="M220" t="s">
        <v>267</v>
      </c>
      <c r="N220" t="s">
        <v>898</v>
      </c>
      <c r="O220" t="s">
        <v>288</v>
      </c>
      <c r="P220" t="s">
        <v>289</v>
      </c>
      <c r="Q220" t="s">
        <v>273</v>
      </c>
      <c r="R220" t="s">
        <v>328</v>
      </c>
      <c r="S220" t="s">
        <v>311</v>
      </c>
      <c r="T220" t="s">
        <v>330</v>
      </c>
      <c r="U220">
        <v>5</v>
      </c>
      <c r="V220" t="s">
        <v>559</v>
      </c>
      <c r="W220" t="s">
        <v>311</v>
      </c>
      <c r="X220" t="s">
        <v>292</v>
      </c>
      <c r="Y220" t="s">
        <v>536</v>
      </c>
      <c r="Z220" t="s">
        <v>537</v>
      </c>
      <c r="AA220" t="s">
        <v>538</v>
      </c>
      <c r="AB220" t="s">
        <v>539</v>
      </c>
      <c r="AC220" t="s">
        <v>907</v>
      </c>
      <c r="AD220" t="s">
        <v>292</v>
      </c>
      <c r="AE220" t="s">
        <v>914</v>
      </c>
      <c r="AF220" t="s">
        <v>342</v>
      </c>
      <c r="AH220" t="s">
        <v>820</v>
      </c>
      <c r="AI220" t="s">
        <v>915</v>
      </c>
      <c r="AJ220" t="s">
        <v>917</v>
      </c>
      <c r="AK220" t="s">
        <v>925</v>
      </c>
      <c r="AL220" t="s">
        <v>925</v>
      </c>
      <c r="AM220" t="s">
        <v>859</v>
      </c>
      <c r="AN220" t="s">
        <v>584</v>
      </c>
      <c r="AO220" t="s">
        <v>345</v>
      </c>
      <c r="AP220" t="s">
        <v>614</v>
      </c>
      <c r="AQ220" t="s">
        <v>887</v>
      </c>
      <c r="AR220">
        <v>0.43</v>
      </c>
      <c r="AS220">
        <v>4.8632218844984809E-2</v>
      </c>
      <c r="AT220" t="s">
        <v>311</v>
      </c>
      <c r="AU220">
        <v>3</v>
      </c>
      <c r="AV220">
        <v>0.39</v>
      </c>
      <c r="AW220">
        <v>4.2553191489361708E-2</v>
      </c>
      <c r="AX220" t="s">
        <v>311</v>
      </c>
      <c r="AY220">
        <v>3</v>
      </c>
      <c r="AZ220" t="s">
        <v>1677</v>
      </c>
      <c r="BA220" t="s">
        <v>1679</v>
      </c>
      <c r="BB220" t="s">
        <v>311</v>
      </c>
      <c r="BC220" t="s">
        <v>1672</v>
      </c>
      <c r="BD220" t="s">
        <v>311</v>
      </c>
      <c r="BE220" t="s">
        <v>1880</v>
      </c>
      <c r="BF220">
        <v>17.899999999999999</v>
      </c>
      <c r="BG220" t="s">
        <v>311</v>
      </c>
      <c r="BH220">
        <v>0.4</v>
      </c>
      <c r="BI220" t="s">
        <v>311</v>
      </c>
      <c r="BJ220">
        <v>3.9</v>
      </c>
      <c r="BK220" t="s">
        <v>311</v>
      </c>
      <c r="BL220">
        <v>3.9</v>
      </c>
      <c r="BM220" t="s">
        <v>311</v>
      </c>
      <c r="BN220" t="s">
        <v>311</v>
      </c>
      <c r="BO220" t="s">
        <v>311</v>
      </c>
      <c r="BP220" s="6" t="s">
        <v>311</v>
      </c>
      <c r="BQ220" s="6" t="s">
        <v>311</v>
      </c>
      <c r="BR220" s="6" t="s">
        <v>311</v>
      </c>
      <c r="BS220" s="6" t="s">
        <v>311</v>
      </c>
      <c r="BT220" s="6" t="s">
        <v>311</v>
      </c>
      <c r="BU220" s="6" t="s">
        <v>311</v>
      </c>
      <c r="BV220" s="6" t="s">
        <v>311</v>
      </c>
      <c r="BW220" s="6" t="s">
        <v>311</v>
      </c>
      <c r="BX220" s="6" t="s">
        <v>1126</v>
      </c>
      <c r="BY220" t="s">
        <v>1203</v>
      </c>
      <c r="BZ220">
        <v>4.3</v>
      </c>
      <c r="CA220">
        <v>10</v>
      </c>
      <c r="CB220" t="s">
        <v>1209</v>
      </c>
      <c r="CC220" t="s">
        <v>1209</v>
      </c>
      <c r="CD220" t="s">
        <v>311</v>
      </c>
      <c r="CE220" t="s">
        <v>311</v>
      </c>
      <c r="CF220" t="s">
        <v>311</v>
      </c>
      <c r="CG220" t="s">
        <v>311</v>
      </c>
      <c r="CH220" t="s">
        <v>311</v>
      </c>
      <c r="CI220" t="s">
        <v>311</v>
      </c>
      <c r="CJ220" s="38">
        <v>2</v>
      </c>
      <c r="CK220" s="38">
        <v>2</v>
      </c>
      <c r="CL220" s="38">
        <v>10.9</v>
      </c>
      <c r="CM220" s="38">
        <v>2.1</v>
      </c>
      <c r="CN220" s="38" t="s">
        <v>311</v>
      </c>
      <c r="CO220" s="38" t="s">
        <v>311</v>
      </c>
      <c r="CP220" s="38">
        <v>2</v>
      </c>
      <c r="CQ220" t="s">
        <v>1729</v>
      </c>
      <c r="CR220" t="s">
        <v>940</v>
      </c>
    </row>
    <row r="221" spans="1:96">
      <c r="A221">
        <v>220</v>
      </c>
      <c r="B221">
        <v>30</v>
      </c>
      <c r="C221">
        <v>6</v>
      </c>
      <c r="D221" t="s">
        <v>232</v>
      </c>
      <c r="E221" t="s">
        <v>233</v>
      </c>
      <c r="F221" t="s">
        <v>234</v>
      </c>
      <c r="G221">
        <v>2001</v>
      </c>
      <c r="H221" t="s">
        <v>1328</v>
      </c>
      <c r="I221" t="s">
        <v>1329</v>
      </c>
      <c r="J221">
        <v>-41.501365999999997</v>
      </c>
      <c r="K221">
        <v>-72.938985000000002</v>
      </c>
      <c r="L221" t="s">
        <v>267</v>
      </c>
      <c r="M221" t="s">
        <v>267</v>
      </c>
      <c r="N221" t="s">
        <v>898</v>
      </c>
      <c r="O221" t="s">
        <v>288</v>
      </c>
      <c r="P221" t="s">
        <v>289</v>
      </c>
      <c r="Q221" t="s">
        <v>273</v>
      </c>
      <c r="R221" t="s">
        <v>328</v>
      </c>
      <c r="S221" t="s">
        <v>311</v>
      </c>
      <c r="T221" t="s">
        <v>330</v>
      </c>
      <c r="U221">
        <v>5</v>
      </c>
      <c r="V221" t="s">
        <v>559</v>
      </c>
      <c r="W221" t="s">
        <v>311</v>
      </c>
      <c r="X221" t="s">
        <v>292</v>
      </c>
      <c r="Y221" t="s">
        <v>536</v>
      </c>
      <c r="Z221" t="s">
        <v>537</v>
      </c>
      <c r="AA221" t="s">
        <v>538</v>
      </c>
      <c r="AB221" t="s">
        <v>539</v>
      </c>
      <c r="AC221" t="s">
        <v>907</v>
      </c>
      <c r="AD221" t="s">
        <v>292</v>
      </c>
      <c r="AE221" t="s">
        <v>922</v>
      </c>
      <c r="AF221" t="s">
        <v>342</v>
      </c>
      <c r="AH221" t="s">
        <v>343</v>
      </c>
      <c r="AI221" t="s">
        <v>921</v>
      </c>
      <c r="AJ221" t="s">
        <v>919</v>
      </c>
      <c r="AK221" t="s">
        <v>925</v>
      </c>
      <c r="AL221" t="s">
        <v>925</v>
      </c>
      <c r="AM221" t="s">
        <v>859</v>
      </c>
      <c r="AN221" t="s">
        <v>584</v>
      </c>
      <c r="AO221" t="s">
        <v>345</v>
      </c>
      <c r="AP221" t="s">
        <v>614</v>
      </c>
      <c r="AQ221" t="s">
        <v>887</v>
      </c>
      <c r="AR221">
        <v>1.63</v>
      </c>
      <c r="AS221">
        <v>0.21276595744680857</v>
      </c>
      <c r="AT221" t="s">
        <v>311</v>
      </c>
      <c r="AU221">
        <v>3</v>
      </c>
      <c r="AV221">
        <v>0.8</v>
      </c>
      <c r="AW221">
        <v>5.4711246200607883E-2</v>
      </c>
      <c r="AX221" t="s">
        <v>311</v>
      </c>
      <c r="AY221">
        <v>3</v>
      </c>
      <c r="AZ221" t="s">
        <v>1677</v>
      </c>
      <c r="BA221" t="s">
        <v>1679</v>
      </c>
      <c r="BB221" t="s">
        <v>311</v>
      </c>
      <c r="BC221" t="s">
        <v>1672</v>
      </c>
      <c r="BD221" t="s">
        <v>311</v>
      </c>
      <c r="BE221" t="s">
        <v>1880</v>
      </c>
      <c r="BF221">
        <v>17.899999999999999</v>
      </c>
      <c r="BG221" t="s">
        <v>311</v>
      </c>
      <c r="BH221">
        <v>0.4</v>
      </c>
      <c r="BI221" t="s">
        <v>311</v>
      </c>
      <c r="BJ221">
        <v>3.9</v>
      </c>
      <c r="BK221" t="s">
        <v>311</v>
      </c>
      <c r="BL221">
        <v>3.9</v>
      </c>
      <c r="BM221" t="s">
        <v>311</v>
      </c>
      <c r="BN221" t="s">
        <v>311</v>
      </c>
      <c r="BO221" t="s">
        <v>311</v>
      </c>
      <c r="BP221" s="6" t="s">
        <v>311</v>
      </c>
      <c r="BQ221" s="6" t="s">
        <v>311</v>
      </c>
      <c r="BR221" s="6" t="s">
        <v>311</v>
      </c>
      <c r="BS221" s="6" t="s">
        <v>311</v>
      </c>
      <c r="BT221" s="6" t="s">
        <v>311</v>
      </c>
      <c r="BU221" s="6" t="s">
        <v>311</v>
      </c>
      <c r="BV221" s="6" t="s">
        <v>311</v>
      </c>
      <c r="BW221" s="6" t="s">
        <v>311</v>
      </c>
      <c r="BX221" s="6" t="s">
        <v>1126</v>
      </c>
      <c r="BY221" t="s">
        <v>1203</v>
      </c>
      <c r="BZ221">
        <v>4.3</v>
      </c>
      <c r="CA221">
        <v>18</v>
      </c>
      <c r="CB221" t="s">
        <v>1209</v>
      </c>
      <c r="CC221" t="s">
        <v>1209</v>
      </c>
      <c r="CD221" t="s">
        <v>311</v>
      </c>
      <c r="CE221" t="s">
        <v>311</v>
      </c>
      <c r="CF221" t="s">
        <v>311</v>
      </c>
      <c r="CG221" t="s">
        <v>311</v>
      </c>
      <c r="CH221" t="s">
        <v>311</v>
      </c>
      <c r="CI221" t="s">
        <v>311</v>
      </c>
      <c r="CJ221" s="38">
        <v>2</v>
      </c>
      <c r="CK221" s="38">
        <v>2</v>
      </c>
      <c r="CL221" s="38">
        <v>10.9</v>
      </c>
      <c r="CM221" s="38">
        <v>2.1</v>
      </c>
      <c r="CN221" s="38" t="s">
        <v>311</v>
      </c>
      <c r="CO221" s="38" t="s">
        <v>311</v>
      </c>
      <c r="CP221" s="38">
        <v>2</v>
      </c>
      <c r="CQ221" t="s">
        <v>1729</v>
      </c>
      <c r="CR221" t="s">
        <v>940</v>
      </c>
    </row>
    <row r="222" spans="1:96">
      <c r="A222">
        <v>221</v>
      </c>
      <c r="B222">
        <v>30</v>
      </c>
      <c r="C222">
        <v>7</v>
      </c>
      <c r="D222" t="s">
        <v>232</v>
      </c>
      <c r="E222" t="s">
        <v>233</v>
      </c>
      <c r="F222" t="s">
        <v>234</v>
      </c>
      <c r="G222">
        <v>2001</v>
      </c>
      <c r="H222" t="s">
        <v>1326</v>
      </c>
      <c r="I222" t="s">
        <v>1327</v>
      </c>
      <c r="J222">
        <v>48.359071999999998</v>
      </c>
      <c r="K222">
        <v>-4.5588290000000002</v>
      </c>
      <c r="L222" t="s">
        <v>323</v>
      </c>
      <c r="M222" t="s">
        <v>518</v>
      </c>
      <c r="N222" t="s">
        <v>600</v>
      </c>
      <c r="O222" t="s">
        <v>532</v>
      </c>
      <c r="P222" t="s">
        <v>693</v>
      </c>
      <c r="Q222" t="s">
        <v>333</v>
      </c>
      <c r="R222" t="s">
        <v>328</v>
      </c>
      <c r="S222" t="s">
        <v>311</v>
      </c>
      <c r="T222" t="s">
        <v>330</v>
      </c>
      <c r="U222">
        <v>5</v>
      </c>
      <c r="V222" t="s">
        <v>535</v>
      </c>
      <c r="W222" t="s">
        <v>311</v>
      </c>
      <c r="X222" t="s">
        <v>292</v>
      </c>
      <c r="Y222" t="s">
        <v>910</v>
      </c>
      <c r="Z222" t="s">
        <v>302</v>
      </c>
      <c r="AA222" t="s">
        <v>303</v>
      </c>
      <c r="AB222" t="s">
        <v>908</v>
      </c>
      <c r="AC222" t="s">
        <v>909</v>
      </c>
      <c r="AD222" t="s">
        <v>292</v>
      </c>
      <c r="AE222" t="s">
        <v>914</v>
      </c>
      <c r="AF222" t="s">
        <v>342</v>
      </c>
      <c r="AH222" t="s">
        <v>820</v>
      </c>
      <c r="AI222" t="s">
        <v>915</v>
      </c>
      <c r="AJ222" t="s">
        <v>916</v>
      </c>
      <c r="AK222" t="s">
        <v>925</v>
      </c>
      <c r="AL222" t="s">
        <v>925</v>
      </c>
      <c r="AM222" t="s">
        <v>859</v>
      </c>
      <c r="AN222" t="s">
        <v>584</v>
      </c>
      <c r="AO222" t="s">
        <v>345</v>
      </c>
      <c r="AP222" t="s">
        <v>614</v>
      </c>
      <c r="AQ222" t="s">
        <v>887</v>
      </c>
      <c r="AR222">
        <v>0.35</v>
      </c>
      <c r="AS222">
        <v>2.4316109422492387E-2</v>
      </c>
      <c r="AT222" t="s">
        <v>311</v>
      </c>
      <c r="AU222">
        <v>3</v>
      </c>
      <c r="AV222">
        <v>0.27</v>
      </c>
      <c r="AW222">
        <v>4.8632218844984809E-2</v>
      </c>
      <c r="AX222" t="s">
        <v>311</v>
      </c>
      <c r="AY222">
        <v>3</v>
      </c>
      <c r="AZ222" t="s">
        <v>1677</v>
      </c>
      <c r="BA222" t="s">
        <v>1679</v>
      </c>
      <c r="BB222" t="s">
        <v>311</v>
      </c>
      <c r="BC222" t="s">
        <v>1672</v>
      </c>
      <c r="BD222" t="s">
        <v>311</v>
      </c>
      <c r="BE222" t="s">
        <v>1880</v>
      </c>
      <c r="BF222">
        <v>46.5</v>
      </c>
      <c r="BG222" t="s">
        <v>311</v>
      </c>
      <c r="BH222">
        <v>0.3</v>
      </c>
      <c r="BI222" t="s">
        <v>311</v>
      </c>
      <c r="BJ222">
        <v>4.2</v>
      </c>
      <c r="BK222" t="s">
        <v>311</v>
      </c>
      <c r="BL222">
        <v>0.7</v>
      </c>
      <c r="BM222" t="s">
        <v>311</v>
      </c>
      <c r="BN222" t="s">
        <v>311</v>
      </c>
      <c r="BO222" t="s">
        <v>311</v>
      </c>
      <c r="BP222" s="6" t="s">
        <v>311</v>
      </c>
      <c r="BQ222" s="6" t="s">
        <v>311</v>
      </c>
      <c r="BR222" s="6" t="s">
        <v>311</v>
      </c>
      <c r="BS222" s="6" t="s">
        <v>311</v>
      </c>
      <c r="BT222" s="6" t="s">
        <v>311</v>
      </c>
      <c r="BU222" s="6" t="s">
        <v>311</v>
      </c>
      <c r="BV222" s="6" t="s">
        <v>311</v>
      </c>
      <c r="BW222" s="6" t="s">
        <v>311</v>
      </c>
      <c r="BX222" s="6" t="s">
        <v>1126</v>
      </c>
      <c r="BY222" t="s">
        <v>1203</v>
      </c>
      <c r="BZ222">
        <v>1</v>
      </c>
      <c r="CA222">
        <v>18</v>
      </c>
      <c r="CB222" t="s">
        <v>1209</v>
      </c>
      <c r="CC222" t="s">
        <v>1209</v>
      </c>
      <c r="CD222" t="s">
        <v>311</v>
      </c>
      <c r="CE222" t="s">
        <v>311</v>
      </c>
      <c r="CF222" t="s">
        <v>311</v>
      </c>
      <c r="CG222" t="s">
        <v>311</v>
      </c>
      <c r="CH222" t="s">
        <v>311</v>
      </c>
      <c r="CI222" t="s">
        <v>311</v>
      </c>
      <c r="CJ222" s="38">
        <v>2.2999999999999998</v>
      </c>
      <c r="CK222" s="38">
        <v>0.1</v>
      </c>
      <c r="CL222" s="38">
        <v>22</v>
      </c>
      <c r="CM222" s="38">
        <v>10</v>
      </c>
      <c r="CN222" s="38" t="s">
        <v>311</v>
      </c>
      <c r="CO222" s="38" t="s">
        <v>311</v>
      </c>
      <c r="CP222" s="38">
        <v>0.1</v>
      </c>
      <c r="CQ222" t="s">
        <v>1729</v>
      </c>
      <c r="CR222" t="s">
        <v>940</v>
      </c>
    </row>
    <row r="223" spans="1:96">
      <c r="A223">
        <v>222</v>
      </c>
      <c r="B223">
        <v>30</v>
      </c>
      <c r="C223">
        <v>8</v>
      </c>
      <c r="D223" t="s">
        <v>232</v>
      </c>
      <c r="E223" t="s">
        <v>233</v>
      </c>
      <c r="F223" t="s">
        <v>234</v>
      </c>
      <c r="G223">
        <v>2001</v>
      </c>
      <c r="H223" t="s">
        <v>1326</v>
      </c>
      <c r="I223" t="s">
        <v>1327</v>
      </c>
      <c r="J223">
        <v>48.359071999999998</v>
      </c>
      <c r="K223">
        <v>-4.5588290000000002</v>
      </c>
      <c r="L223" t="s">
        <v>323</v>
      </c>
      <c r="M223" t="s">
        <v>518</v>
      </c>
      <c r="N223" t="s">
        <v>600</v>
      </c>
      <c r="O223" t="s">
        <v>532</v>
      </c>
      <c r="P223" t="s">
        <v>693</v>
      </c>
      <c r="Q223" t="s">
        <v>333</v>
      </c>
      <c r="R223" t="s">
        <v>328</v>
      </c>
      <c r="S223" t="s">
        <v>311</v>
      </c>
      <c r="T223" t="s">
        <v>330</v>
      </c>
      <c r="U223">
        <v>5</v>
      </c>
      <c r="V223" t="s">
        <v>535</v>
      </c>
      <c r="W223" t="s">
        <v>311</v>
      </c>
      <c r="X223" t="s">
        <v>292</v>
      </c>
      <c r="Y223" t="s">
        <v>910</v>
      </c>
      <c r="Z223" t="s">
        <v>302</v>
      </c>
      <c r="AA223" t="s">
        <v>303</v>
      </c>
      <c r="AB223" t="s">
        <v>908</v>
      </c>
      <c r="AC223" t="s">
        <v>909</v>
      </c>
      <c r="AD223" t="s">
        <v>292</v>
      </c>
      <c r="AE223" t="s">
        <v>923</v>
      </c>
      <c r="AF223" t="s">
        <v>342</v>
      </c>
      <c r="AH223" t="s">
        <v>820</v>
      </c>
      <c r="AI223" t="s">
        <v>924</v>
      </c>
      <c r="AJ223" t="s">
        <v>918</v>
      </c>
      <c r="AK223" t="s">
        <v>925</v>
      </c>
      <c r="AL223" t="s">
        <v>925</v>
      </c>
      <c r="AM223" t="s">
        <v>859</v>
      </c>
      <c r="AN223" t="s">
        <v>584</v>
      </c>
      <c r="AO223" t="s">
        <v>345</v>
      </c>
      <c r="AP223" t="s">
        <v>614</v>
      </c>
      <c r="AQ223" t="s">
        <v>887</v>
      </c>
      <c r="AR223">
        <v>0.42</v>
      </c>
      <c r="AS223">
        <v>4.2553191489361708E-2</v>
      </c>
      <c r="AT223" t="s">
        <v>311</v>
      </c>
      <c r="AU223">
        <v>3</v>
      </c>
      <c r="AV223">
        <v>0.62</v>
      </c>
      <c r="AW223">
        <v>2.4316109422492422E-2</v>
      </c>
      <c r="AX223" t="s">
        <v>311</v>
      </c>
      <c r="AY223">
        <v>3</v>
      </c>
      <c r="AZ223" t="s">
        <v>1677</v>
      </c>
      <c r="BA223" t="s">
        <v>1679</v>
      </c>
      <c r="BB223" t="s">
        <v>311</v>
      </c>
      <c r="BC223" t="s">
        <v>1672</v>
      </c>
      <c r="BD223" t="s">
        <v>311</v>
      </c>
      <c r="BE223" t="s">
        <v>1880</v>
      </c>
      <c r="BF223">
        <v>46.5</v>
      </c>
      <c r="BG223" t="s">
        <v>311</v>
      </c>
      <c r="BH223">
        <v>0.3</v>
      </c>
      <c r="BI223" t="s">
        <v>311</v>
      </c>
      <c r="BJ223">
        <v>4.2</v>
      </c>
      <c r="BK223" t="s">
        <v>311</v>
      </c>
      <c r="BL223">
        <v>0.7</v>
      </c>
      <c r="BM223" t="s">
        <v>311</v>
      </c>
      <c r="BN223" t="s">
        <v>311</v>
      </c>
      <c r="BO223" t="s">
        <v>311</v>
      </c>
      <c r="BP223" s="6" t="s">
        <v>311</v>
      </c>
      <c r="BQ223" s="6" t="s">
        <v>311</v>
      </c>
      <c r="BR223" s="6" t="s">
        <v>311</v>
      </c>
      <c r="BS223" s="6" t="s">
        <v>311</v>
      </c>
      <c r="BT223" s="6" t="s">
        <v>311</v>
      </c>
      <c r="BU223" s="6" t="s">
        <v>311</v>
      </c>
      <c r="BV223" s="6" t="s">
        <v>311</v>
      </c>
      <c r="BW223" s="6" t="s">
        <v>311</v>
      </c>
      <c r="BX223" s="6" t="s">
        <v>1126</v>
      </c>
      <c r="BY223" t="s">
        <v>1203</v>
      </c>
      <c r="BZ223">
        <v>1</v>
      </c>
      <c r="CA223">
        <v>18</v>
      </c>
      <c r="CB223" t="s">
        <v>1209</v>
      </c>
      <c r="CC223" t="s">
        <v>1209</v>
      </c>
      <c r="CD223" t="s">
        <v>311</v>
      </c>
      <c r="CE223" t="s">
        <v>311</v>
      </c>
      <c r="CF223" t="s">
        <v>311</v>
      </c>
      <c r="CG223" t="s">
        <v>311</v>
      </c>
      <c r="CH223" t="s">
        <v>311</v>
      </c>
      <c r="CI223" t="s">
        <v>311</v>
      </c>
      <c r="CJ223" s="38">
        <v>2.2999999999999998</v>
      </c>
      <c r="CK223" s="38">
        <v>0.1</v>
      </c>
      <c r="CL223" s="38">
        <v>22</v>
      </c>
      <c r="CM223" s="38">
        <v>10</v>
      </c>
      <c r="CN223" s="38" t="s">
        <v>311</v>
      </c>
      <c r="CO223" s="38" t="s">
        <v>311</v>
      </c>
      <c r="CP223" s="38">
        <v>0.1</v>
      </c>
      <c r="CQ223" t="s">
        <v>1729</v>
      </c>
      <c r="CR223" t="s">
        <v>940</v>
      </c>
    </row>
    <row r="224" spans="1:96">
      <c r="A224">
        <v>223</v>
      </c>
      <c r="B224">
        <v>30</v>
      </c>
      <c r="C224">
        <v>9</v>
      </c>
      <c r="D224" t="s">
        <v>232</v>
      </c>
      <c r="E224" t="s">
        <v>233</v>
      </c>
      <c r="F224" t="s">
        <v>234</v>
      </c>
      <c r="G224">
        <v>2001</v>
      </c>
      <c r="H224" t="s">
        <v>1326</v>
      </c>
      <c r="I224" t="s">
        <v>1327</v>
      </c>
      <c r="J224">
        <v>48.359071999999998</v>
      </c>
      <c r="K224">
        <v>-4.5588290000000002</v>
      </c>
      <c r="L224" t="s">
        <v>323</v>
      </c>
      <c r="M224" t="s">
        <v>518</v>
      </c>
      <c r="N224" t="s">
        <v>600</v>
      </c>
      <c r="O224" t="s">
        <v>532</v>
      </c>
      <c r="P224" t="s">
        <v>693</v>
      </c>
      <c r="Q224" t="s">
        <v>333</v>
      </c>
      <c r="R224" t="s">
        <v>328</v>
      </c>
      <c r="S224" t="s">
        <v>311</v>
      </c>
      <c r="T224" t="s">
        <v>330</v>
      </c>
      <c r="U224">
        <v>5</v>
      </c>
      <c r="V224" t="s">
        <v>535</v>
      </c>
      <c r="W224" t="s">
        <v>311</v>
      </c>
      <c r="X224" t="s">
        <v>292</v>
      </c>
      <c r="Y224" t="s">
        <v>910</v>
      </c>
      <c r="Z224" t="s">
        <v>302</v>
      </c>
      <c r="AA224" t="s">
        <v>303</v>
      </c>
      <c r="AB224" t="s">
        <v>908</v>
      </c>
      <c r="AC224" t="s">
        <v>909</v>
      </c>
      <c r="AD224" t="s">
        <v>292</v>
      </c>
      <c r="AE224" t="s">
        <v>922</v>
      </c>
      <c r="AF224" t="s">
        <v>342</v>
      </c>
      <c r="AH224" t="s">
        <v>343</v>
      </c>
      <c r="AI224" t="s">
        <v>921</v>
      </c>
      <c r="AJ224" t="s">
        <v>919</v>
      </c>
      <c r="AK224" t="s">
        <v>925</v>
      </c>
      <c r="AL224" t="s">
        <v>925</v>
      </c>
      <c r="AM224" t="s">
        <v>859</v>
      </c>
      <c r="AN224" t="s">
        <v>584</v>
      </c>
      <c r="AO224" t="s">
        <v>345</v>
      </c>
      <c r="AP224" t="s">
        <v>614</v>
      </c>
      <c r="AQ224" t="s">
        <v>887</v>
      </c>
      <c r="AR224">
        <v>0</v>
      </c>
      <c r="AS224">
        <v>0</v>
      </c>
      <c r="AT224" t="s">
        <v>311</v>
      </c>
      <c r="AU224">
        <v>3</v>
      </c>
      <c r="AV224">
        <v>0.51</v>
      </c>
      <c r="AW224">
        <v>3.6474164133738614E-2</v>
      </c>
      <c r="AX224" t="s">
        <v>311</v>
      </c>
      <c r="AY224">
        <v>3</v>
      </c>
      <c r="AZ224" t="s">
        <v>1677</v>
      </c>
      <c r="BA224" t="s">
        <v>1679</v>
      </c>
      <c r="BB224" t="s">
        <v>311</v>
      </c>
      <c r="BC224" t="s">
        <v>1672</v>
      </c>
      <c r="BD224" t="s">
        <v>311</v>
      </c>
      <c r="BE224" t="s">
        <v>1880</v>
      </c>
      <c r="BF224">
        <v>46.5</v>
      </c>
      <c r="BG224" t="s">
        <v>311</v>
      </c>
      <c r="BH224">
        <v>0.3</v>
      </c>
      <c r="BI224" t="s">
        <v>311</v>
      </c>
      <c r="BJ224">
        <v>4.2</v>
      </c>
      <c r="BK224" t="s">
        <v>311</v>
      </c>
      <c r="BL224">
        <v>0.7</v>
      </c>
      <c r="BM224" t="s">
        <v>311</v>
      </c>
      <c r="BN224" t="s">
        <v>311</v>
      </c>
      <c r="BO224" t="s">
        <v>311</v>
      </c>
      <c r="BP224" s="6" t="s">
        <v>311</v>
      </c>
      <c r="BQ224" s="6" t="s">
        <v>311</v>
      </c>
      <c r="BR224" s="6" t="s">
        <v>311</v>
      </c>
      <c r="BS224" s="6" t="s">
        <v>311</v>
      </c>
      <c r="BT224" s="6" t="s">
        <v>311</v>
      </c>
      <c r="BU224" s="6" t="s">
        <v>311</v>
      </c>
      <c r="BV224" s="6" t="s">
        <v>311</v>
      </c>
      <c r="BW224" s="6" t="s">
        <v>311</v>
      </c>
      <c r="BX224" s="6" t="s">
        <v>1126</v>
      </c>
      <c r="BY224" t="s">
        <v>1203</v>
      </c>
      <c r="BZ224">
        <v>1</v>
      </c>
      <c r="CA224">
        <v>18</v>
      </c>
      <c r="CB224" t="s">
        <v>1209</v>
      </c>
      <c r="CC224" t="s">
        <v>1209</v>
      </c>
      <c r="CD224" t="s">
        <v>311</v>
      </c>
      <c r="CE224" t="s">
        <v>311</v>
      </c>
      <c r="CF224" t="s">
        <v>311</v>
      </c>
      <c r="CG224" t="s">
        <v>311</v>
      </c>
      <c r="CH224" t="s">
        <v>311</v>
      </c>
      <c r="CI224" t="s">
        <v>311</v>
      </c>
      <c r="CJ224" s="38">
        <v>2.2999999999999998</v>
      </c>
      <c r="CK224" s="38">
        <v>0.1</v>
      </c>
      <c r="CL224" s="38">
        <v>22</v>
      </c>
      <c r="CM224" s="38">
        <v>10</v>
      </c>
      <c r="CN224" s="38" t="s">
        <v>311</v>
      </c>
      <c r="CO224" s="38" t="s">
        <v>311</v>
      </c>
      <c r="CP224" s="38">
        <v>0.1</v>
      </c>
      <c r="CQ224" t="s">
        <v>1729</v>
      </c>
      <c r="CR224" t="s">
        <v>940</v>
      </c>
    </row>
    <row r="225" spans="1:96">
      <c r="A225">
        <v>224</v>
      </c>
      <c r="B225">
        <v>30</v>
      </c>
      <c r="C225">
        <v>10</v>
      </c>
      <c r="D225" t="s">
        <v>232</v>
      </c>
      <c r="E225" t="s">
        <v>233</v>
      </c>
      <c r="F225" t="s">
        <v>234</v>
      </c>
      <c r="G225">
        <v>2001</v>
      </c>
      <c r="H225" t="s">
        <v>1326</v>
      </c>
      <c r="I225" t="s">
        <v>1327</v>
      </c>
      <c r="J225">
        <v>48.359071999999998</v>
      </c>
      <c r="K225">
        <v>-4.5588290000000002</v>
      </c>
      <c r="L225" t="s">
        <v>323</v>
      </c>
      <c r="M225" t="s">
        <v>518</v>
      </c>
      <c r="N225" t="s">
        <v>600</v>
      </c>
      <c r="O225" t="s">
        <v>532</v>
      </c>
      <c r="P225" t="s">
        <v>693</v>
      </c>
      <c r="Q225" t="s">
        <v>333</v>
      </c>
      <c r="R225" t="s">
        <v>328</v>
      </c>
      <c r="S225" t="s">
        <v>311</v>
      </c>
      <c r="T225" t="s">
        <v>330</v>
      </c>
      <c r="U225">
        <v>5</v>
      </c>
      <c r="V225" t="s">
        <v>535</v>
      </c>
      <c r="W225" t="s">
        <v>311</v>
      </c>
      <c r="X225" t="s">
        <v>292</v>
      </c>
      <c r="Y225" t="s">
        <v>910</v>
      </c>
      <c r="Z225" t="s">
        <v>302</v>
      </c>
      <c r="AA225" t="s">
        <v>303</v>
      </c>
      <c r="AB225" t="s">
        <v>908</v>
      </c>
      <c r="AC225" t="s">
        <v>909</v>
      </c>
      <c r="AD225" t="s">
        <v>292</v>
      </c>
      <c r="AE225" t="s">
        <v>741</v>
      </c>
      <c r="AF225" t="s">
        <v>342</v>
      </c>
      <c r="AH225" t="s">
        <v>343</v>
      </c>
      <c r="AI225" t="s">
        <v>729</v>
      </c>
      <c r="AJ225" t="s">
        <v>920</v>
      </c>
      <c r="AK225" t="s">
        <v>925</v>
      </c>
      <c r="AL225" t="s">
        <v>925</v>
      </c>
      <c r="AM225" t="s">
        <v>859</v>
      </c>
      <c r="AN225" t="s">
        <v>584</v>
      </c>
      <c r="AO225" t="s">
        <v>345</v>
      </c>
      <c r="AP225" t="s">
        <v>614</v>
      </c>
      <c r="AQ225" t="s">
        <v>887</v>
      </c>
      <c r="AR225">
        <v>0.28999999999999998</v>
      </c>
      <c r="AS225">
        <v>2.4316109422492398E-2</v>
      </c>
      <c r="AT225" t="s">
        <v>311</v>
      </c>
      <c r="AU225">
        <v>3</v>
      </c>
      <c r="AV225">
        <v>0.57999999999999996</v>
      </c>
      <c r="AW225">
        <v>4.8632218844984795E-2</v>
      </c>
      <c r="AX225" t="s">
        <v>311</v>
      </c>
      <c r="AY225">
        <v>3</v>
      </c>
      <c r="AZ225" t="s">
        <v>1677</v>
      </c>
      <c r="BA225" t="s">
        <v>1679</v>
      </c>
      <c r="BB225" t="s">
        <v>311</v>
      </c>
      <c r="BC225" t="s">
        <v>1672</v>
      </c>
      <c r="BD225" t="s">
        <v>311</v>
      </c>
      <c r="BE225" t="s">
        <v>1880</v>
      </c>
      <c r="BF225">
        <v>46.5</v>
      </c>
      <c r="BG225" t="s">
        <v>311</v>
      </c>
      <c r="BH225">
        <v>0.3</v>
      </c>
      <c r="BI225" t="s">
        <v>311</v>
      </c>
      <c r="BJ225">
        <v>4.2</v>
      </c>
      <c r="BK225" t="s">
        <v>311</v>
      </c>
      <c r="BL225">
        <v>0.7</v>
      </c>
      <c r="BM225" t="s">
        <v>311</v>
      </c>
      <c r="BN225" t="s">
        <v>311</v>
      </c>
      <c r="BO225" t="s">
        <v>311</v>
      </c>
      <c r="BP225" s="6" t="s">
        <v>311</v>
      </c>
      <c r="BQ225" s="6" t="s">
        <v>311</v>
      </c>
      <c r="BR225" s="6" t="s">
        <v>311</v>
      </c>
      <c r="BS225" s="6" t="s">
        <v>311</v>
      </c>
      <c r="BT225" s="6" t="s">
        <v>311</v>
      </c>
      <c r="BU225" s="6" t="s">
        <v>311</v>
      </c>
      <c r="BV225" s="6" t="s">
        <v>311</v>
      </c>
      <c r="BW225" s="6" t="s">
        <v>311</v>
      </c>
      <c r="BX225" s="6" t="s">
        <v>1126</v>
      </c>
      <c r="BY225" t="s">
        <v>1203</v>
      </c>
      <c r="BZ225">
        <v>1</v>
      </c>
      <c r="CA225">
        <v>18</v>
      </c>
      <c r="CB225" t="s">
        <v>1209</v>
      </c>
      <c r="CC225" t="s">
        <v>1209</v>
      </c>
      <c r="CD225" t="s">
        <v>311</v>
      </c>
      <c r="CE225" t="s">
        <v>311</v>
      </c>
      <c r="CF225" t="s">
        <v>311</v>
      </c>
      <c r="CG225" t="s">
        <v>311</v>
      </c>
      <c r="CH225" t="s">
        <v>311</v>
      </c>
      <c r="CI225" t="s">
        <v>311</v>
      </c>
      <c r="CJ225" s="38">
        <v>2.2999999999999998</v>
      </c>
      <c r="CK225" s="38">
        <v>0.1</v>
      </c>
      <c r="CL225" s="38">
        <v>22</v>
      </c>
      <c r="CM225" s="38">
        <v>10</v>
      </c>
      <c r="CN225" s="38" t="s">
        <v>311</v>
      </c>
      <c r="CO225" s="38" t="s">
        <v>311</v>
      </c>
      <c r="CP225" s="38">
        <v>0.1</v>
      </c>
      <c r="CQ225" t="s">
        <v>1729</v>
      </c>
      <c r="CR225" t="s">
        <v>940</v>
      </c>
    </row>
    <row r="226" spans="1:96">
      <c r="A226">
        <v>225</v>
      </c>
      <c r="B226">
        <v>30</v>
      </c>
      <c r="C226">
        <v>11</v>
      </c>
      <c r="D226" t="s">
        <v>232</v>
      </c>
      <c r="E226" t="s">
        <v>233</v>
      </c>
      <c r="F226" t="s">
        <v>234</v>
      </c>
      <c r="G226">
        <v>2001</v>
      </c>
      <c r="H226" t="s">
        <v>1328</v>
      </c>
      <c r="I226" t="s">
        <v>1329</v>
      </c>
      <c r="J226">
        <v>-41.501365999999997</v>
      </c>
      <c r="K226">
        <v>-72.938985000000002</v>
      </c>
      <c r="L226" t="s">
        <v>267</v>
      </c>
      <c r="M226" t="s">
        <v>267</v>
      </c>
      <c r="N226" t="s">
        <v>898</v>
      </c>
      <c r="O226" t="s">
        <v>288</v>
      </c>
      <c r="P226" t="s">
        <v>289</v>
      </c>
      <c r="Q226" t="s">
        <v>273</v>
      </c>
      <c r="R226" t="s">
        <v>328</v>
      </c>
      <c r="S226" t="s">
        <v>311</v>
      </c>
      <c r="T226" t="s">
        <v>330</v>
      </c>
      <c r="U226">
        <v>5</v>
      </c>
      <c r="V226" t="s">
        <v>535</v>
      </c>
      <c r="W226" t="s">
        <v>311</v>
      </c>
      <c r="X226" t="s">
        <v>292</v>
      </c>
      <c r="Y226" t="s">
        <v>911</v>
      </c>
      <c r="Z226" t="s">
        <v>302</v>
      </c>
      <c r="AA226" t="s">
        <v>303</v>
      </c>
      <c r="AB226" t="s">
        <v>912</v>
      </c>
      <c r="AC226" t="s">
        <v>913</v>
      </c>
      <c r="AD226" t="s">
        <v>292</v>
      </c>
      <c r="AE226" t="s">
        <v>914</v>
      </c>
      <c r="AF226" t="s">
        <v>342</v>
      </c>
      <c r="AH226" t="s">
        <v>820</v>
      </c>
      <c r="AI226" t="s">
        <v>915</v>
      </c>
      <c r="AJ226" t="s">
        <v>917</v>
      </c>
      <c r="AK226" t="s">
        <v>925</v>
      </c>
      <c r="AL226" t="s">
        <v>925</v>
      </c>
      <c r="AM226" t="s">
        <v>859</v>
      </c>
      <c r="AN226" t="s">
        <v>584</v>
      </c>
      <c r="AO226" t="s">
        <v>345</v>
      </c>
      <c r="AP226" t="s">
        <v>614</v>
      </c>
      <c r="AQ226" t="s">
        <v>887</v>
      </c>
      <c r="AR226">
        <v>0.28999999999999998</v>
      </c>
      <c r="AS226">
        <v>3.0395136778115495E-2</v>
      </c>
      <c r="AT226" t="s">
        <v>311</v>
      </c>
      <c r="AU226">
        <v>3</v>
      </c>
      <c r="AV226">
        <v>0.23</v>
      </c>
      <c r="AW226">
        <v>2.4316109422492405E-2</v>
      </c>
      <c r="AX226" t="s">
        <v>311</v>
      </c>
      <c r="AY226">
        <v>3</v>
      </c>
      <c r="AZ226" t="s">
        <v>1677</v>
      </c>
      <c r="BA226" t="s">
        <v>1679</v>
      </c>
      <c r="BB226" t="s">
        <v>311</v>
      </c>
      <c r="BC226" t="s">
        <v>1672</v>
      </c>
      <c r="BD226" t="s">
        <v>311</v>
      </c>
      <c r="BE226" t="s">
        <v>1880</v>
      </c>
      <c r="BF226">
        <v>4.0999999999999996</v>
      </c>
      <c r="BG226" t="s">
        <v>311</v>
      </c>
      <c r="BH226">
        <v>0.7</v>
      </c>
      <c r="BI226" t="s">
        <v>311</v>
      </c>
      <c r="BJ226">
        <v>0.9</v>
      </c>
      <c r="BK226" t="s">
        <v>311</v>
      </c>
      <c r="BL226">
        <v>0.3</v>
      </c>
      <c r="BM226" t="s">
        <v>311</v>
      </c>
      <c r="BN226" t="s">
        <v>311</v>
      </c>
      <c r="BO226" t="s">
        <v>311</v>
      </c>
      <c r="BP226" s="6" t="s">
        <v>311</v>
      </c>
      <c r="BQ226" s="6" t="s">
        <v>311</v>
      </c>
      <c r="BR226" s="6" t="s">
        <v>311</v>
      </c>
      <c r="BS226" s="6" t="s">
        <v>311</v>
      </c>
      <c r="BT226" s="6" t="s">
        <v>311</v>
      </c>
      <c r="BU226" s="6" t="s">
        <v>311</v>
      </c>
      <c r="BV226" s="6" t="s">
        <v>311</v>
      </c>
      <c r="BW226" s="6" t="s">
        <v>311</v>
      </c>
      <c r="BX226" s="6" t="s">
        <v>1126</v>
      </c>
      <c r="BY226" t="s">
        <v>1203</v>
      </c>
      <c r="BZ226">
        <v>1</v>
      </c>
      <c r="CA226">
        <v>10</v>
      </c>
      <c r="CB226" t="s">
        <v>1209</v>
      </c>
      <c r="CC226" t="s">
        <v>1209</v>
      </c>
      <c r="CD226" t="s">
        <v>311</v>
      </c>
      <c r="CE226" t="s">
        <v>311</v>
      </c>
      <c r="CF226" t="s">
        <v>311</v>
      </c>
      <c r="CG226" t="s">
        <v>311</v>
      </c>
      <c r="CH226" t="s">
        <v>311</v>
      </c>
      <c r="CI226" t="s">
        <v>311</v>
      </c>
      <c r="CJ226" s="38">
        <v>0.2</v>
      </c>
      <c r="CK226" s="38">
        <v>0.1</v>
      </c>
      <c r="CL226" s="38">
        <v>25</v>
      </c>
      <c r="CM226" s="38">
        <v>10</v>
      </c>
      <c r="CN226" s="38" t="s">
        <v>311</v>
      </c>
      <c r="CO226" s="38" t="s">
        <v>311</v>
      </c>
      <c r="CP226" s="38">
        <v>0.1</v>
      </c>
      <c r="CQ226" t="s">
        <v>1729</v>
      </c>
      <c r="CR226" t="s">
        <v>940</v>
      </c>
    </row>
    <row r="227" spans="1:96">
      <c r="A227">
        <v>226</v>
      </c>
      <c r="B227">
        <v>30</v>
      </c>
      <c r="C227">
        <v>12</v>
      </c>
      <c r="D227" t="s">
        <v>232</v>
      </c>
      <c r="E227" t="s">
        <v>233</v>
      </c>
      <c r="F227" t="s">
        <v>234</v>
      </c>
      <c r="G227">
        <v>2001</v>
      </c>
      <c r="H227" t="s">
        <v>1328</v>
      </c>
      <c r="I227" t="s">
        <v>1329</v>
      </c>
      <c r="J227">
        <v>-41.501365999999997</v>
      </c>
      <c r="K227">
        <v>-72.938985000000002</v>
      </c>
      <c r="L227" t="s">
        <v>267</v>
      </c>
      <c r="M227" t="s">
        <v>267</v>
      </c>
      <c r="N227" t="s">
        <v>898</v>
      </c>
      <c r="O227" t="s">
        <v>288</v>
      </c>
      <c r="P227" t="s">
        <v>289</v>
      </c>
      <c r="Q227" t="s">
        <v>273</v>
      </c>
      <c r="R227" t="s">
        <v>328</v>
      </c>
      <c r="S227" t="s">
        <v>311</v>
      </c>
      <c r="T227" t="s">
        <v>330</v>
      </c>
      <c r="U227">
        <v>5</v>
      </c>
      <c r="V227" t="s">
        <v>535</v>
      </c>
      <c r="W227" t="s">
        <v>311</v>
      </c>
      <c r="X227" t="s">
        <v>292</v>
      </c>
      <c r="Y227" t="s">
        <v>911</v>
      </c>
      <c r="Z227" t="s">
        <v>302</v>
      </c>
      <c r="AA227" t="s">
        <v>303</v>
      </c>
      <c r="AB227" t="s">
        <v>912</v>
      </c>
      <c r="AC227" t="s">
        <v>913</v>
      </c>
      <c r="AD227" t="s">
        <v>292</v>
      </c>
      <c r="AE227" t="s">
        <v>922</v>
      </c>
      <c r="AF227" t="s">
        <v>342</v>
      </c>
      <c r="AH227" t="s">
        <v>343</v>
      </c>
      <c r="AI227" t="s">
        <v>921</v>
      </c>
      <c r="AJ227" t="s">
        <v>919</v>
      </c>
      <c r="AK227" t="s">
        <v>925</v>
      </c>
      <c r="AL227" t="s">
        <v>925</v>
      </c>
      <c r="AM227" t="s">
        <v>859</v>
      </c>
      <c r="AN227" t="s">
        <v>584</v>
      </c>
      <c r="AO227" t="s">
        <v>345</v>
      </c>
      <c r="AP227" t="s">
        <v>614</v>
      </c>
      <c r="AQ227" t="s">
        <v>887</v>
      </c>
      <c r="AR227">
        <v>0.15</v>
      </c>
      <c r="AS227">
        <v>3.64741641337386E-2</v>
      </c>
      <c r="AT227" t="s">
        <v>311</v>
      </c>
      <c r="AU227">
        <v>3</v>
      </c>
      <c r="AV227">
        <v>0.26</v>
      </c>
      <c r="AW227">
        <v>4.2553191489361708E-2</v>
      </c>
      <c r="AX227" t="s">
        <v>311</v>
      </c>
      <c r="AY227">
        <v>3</v>
      </c>
      <c r="AZ227" t="s">
        <v>1677</v>
      </c>
      <c r="BA227" t="s">
        <v>1679</v>
      </c>
      <c r="BB227" t="s">
        <v>311</v>
      </c>
      <c r="BC227" t="s">
        <v>1672</v>
      </c>
      <c r="BD227" t="s">
        <v>311</v>
      </c>
      <c r="BE227" t="s">
        <v>1880</v>
      </c>
      <c r="BF227">
        <v>4.0999999999999996</v>
      </c>
      <c r="BG227" t="s">
        <v>311</v>
      </c>
      <c r="BH227">
        <v>0.7</v>
      </c>
      <c r="BI227" t="s">
        <v>311</v>
      </c>
      <c r="BJ227">
        <v>0.9</v>
      </c>
      <c r="BK227" t="s">
        <v>311</v>
      </c>
      <c r="BL227">
        <v>0.3</v>
      </c>
      <c r="BM227" t="s">
        <v>311</v>
      </c>
      <c r="BN227" t="s">
        <v>311</v>
      </c>
      <c r="BO227" t="s">
        <v>311</v>
      </c>
      <c r="BP227" s="6" t="s">
        <v>311</v>
      </c>
      <c r="BQ227" s="6" t="s">
        <v>311</v>
      </c>
      <c r="BR227" s="6" t="s">
        <v>311</v>
      </c>
      <c r="BS227" s="6" t="s">
        <v>311</v>
      </c>
      <c r="BT227" s="6" t="s">
        <v>311</v>
      </c>
      <c r="BU227" s="6" t="s">
        <v>311</v>
      </c>
      <c r="BV227" s="6" t="s">
        <v>311</v>
      </c>
      <c r="BW227" s="6" t="s">
        <v>311</v>
      </c>
      <c r="BX227" s="6" t="s">
        <v>1126</v>
      </c>
      <c r="BY227" t="s">
        <v>1203</v>
      </c>
      <c r="BZ227">
        <v>1</v>
      </c>
      <c r="CA227">
        <v>18</v>
      </c>
      <c r="CB227" t="s">
        <v>1209</v>
      </c>
      <c r="CC227" t="s">
        <v>1209</v>
      </c>
      <c r="CD227" t="s">
        <v>311</v>
      </c>
      <c r="CE227" t="s">
        <v>311</v>
      </c>
      <c r="CF227" t="s">
        <v>311</v>
      </c>
      <c r="CG227" t="s">
        <v>311</v>
      </c>
      <c r="CH227" t="s">
        <v>311</v>
      </c>
      <c r="CI227" t="s">
        <v>311</v>
      </c>
      <c r="CJ227" s="38">
        <v>0.2</v>
      </c>
      <c r="CK227" s="38">
        <v>0.1</v>
      </c>
      <c r="CL227" s="38">
        <v>25</v>
      </c>
      <c r="CM227" s="38">
        <v>10</v>
      </c>
      <c r="CN227" s="38" t="s">
        <v>311</v>
      </c>
      <c r="CO227" s="38" t="s">
        <v>311</v>
      </c>
      <c r="CP227" s="38">
        <v>0.1</v>
      </c>
      <c r="CQ227" t="s">
        <v>1729</v>
      </c>
      <c r="CR227" t="s">
        <v>940</v>
      </c>
    </row>
    <row r="228" spans="1:96">
      <c r="A228">
        <v>227</v>
      </c>
      <c r="B228">
        <v>31</v>
      </c>
      <c r="C228">
        <v>1</v>
      </c>
      <c r="D228" t="s">
        <v>241</v>
      </c>
      <c r="E228" t="s">
        <v>242</v>
      </c>
      <c r="F228" t="s">
        <v>136</v>
      </c>
      <c r="G228">
        <v>1996</v>
      </c>
      <c r="H228" t="s">
        <v>508</v>
      </c>
      <c r="I228" t="s">
        <v>509</v>
      </c>
      <c r="J228">
        <v>16.8</v>
      </c>
      <c r="K228">
        <v>-88.083332999999996</v>
      </c>
      <c r="L228" t="s">
        <v>511</v>
      </c>
      <c r="M228" t="s">
        <v>510</v>
      </c>
      <c r="N228" t="s">
        <v>531</v>
      </c>
      <c r="O228" t="s">
        <v>532</v>
      </c>
      <c r="P228" t="s">
        <v>693</v>
      </c>
      <c r="Q228" t="s">
        <v>291</v>
      </c>
      <c r="R228" t="s">
        <v>788</v>
      </c>
      <c r="S228" t="s">
        <v>717</v>
      </c>
      <c r="T228" t="s">
        <v>331</v>
      </c>
      <c r="U228">
        <v>3</v>
      </c>
      <c r="V228" t="s">
        <v>311</v>
      </c>
      <c r="W228" t="s">
        <v>776</v>
      </c>
      <c r="X228" t="s">
        <v>292</v>
      </c>
      <c r="Y228" t="s">
        <v>779</v>
      </c>
      <c r="Z228" t="s">
        <v>1057</v>
      </c>
      <c r="AA228" t="s">
        <v>610</v>
      </c>
      <c r="AB228" t="s">
        <v>777</v>
      </c>
      <c r="AC228" t="s">
        <v>778</v>
      </c>
      <c r="AD228" t="s">
        <v>292</v>
      </c>
      <c r="AE228" t="s">
        <v>780</v>
      </c>
      <c r="AF228" t="s">
        <v>609</v>
      </c>
      <c r="AH228" t="s">
        <v>555</v>
      </c>
      <c r="AI228" t="s">
        <v>781</v>
      </c>
      <c r="AJ228" t="s">
        <v>782</v>
      </c>
      <c r="AK228" t="s">
        <v>605</v>
      </c>
      <c r="AL228" t="s">
        <v>649</v>
      </c>
      <c r="AM228" t="s">
        <v>1059</v>
      </c>
      <c r="AN228" t="s">
        <v>1456</v>
      </c>
      <c r="AO228" t="s">
        <v>1283</v>
      </c>
      <c r="AP228" t="s">
        <v>614</v>
      </c>
      <c r="AQ228" t="s">
        <v>887</v>
      </c>
      <c r="AR228">
        <v>0.73</v>
      </c>
      <c r="AS228" t="s">
        <v>311</v>
      </c>
      <c r="AT228">
        <v>0.12</v>
      </c>
      <c r="AU228">
        <v>6</v>
      </c>
      <c r="AV228">
        <v>0.35</v>
      </c>
      <c r="AW228" t="s">
        <v>311</v>
      </c>
      <c r="AX228">
        <v>0.1</v>
      </c>
      <c r="AY228">
        <v>6</v>
      </c>
      <c r="AZ228" t="s">
        <v>1055</v>
      </c>
      <c r="BA228" t="s">
        <v>1679</v>
      </c>
      <c r="BB228">
        <v>337</v>
      </c>
      <c r="BC228" t="s">
        <v>1672</v>
      </c>
      <c r="BD228" t="s">
        <v>311</v>
      </c>
      <c r="BE228" t="s">
        <v>1880</v>
      </c>
      <c r="BF228" t="s">
        <v>311</v>
      </c>
      <c r="BG228" t="s">
        <v>311</v>
      </c>
      <c r="BH228" t="s">
        <v>311</v>
      </c>
      <c r="BI228" t="s">
        <v>311</v>
      </c>
      <c r="BJ228" t="s">
        <v>311</v>
      </c>
      <c r="BK228" t="s">
        <v>311</v>
      </c>
      <c r="BL228" t="s">
        <v>311</v>
      </c>
      <c r="BM228" t="s">
        <v>311</v>
      </c>
      <c r="BN228" t="s">
        <v>311</v>
      </c>
      <c r="BO228" t="s">
        <v>311</v>
      </c>
      <c r="BP228" t="s">
        <v>311</v>
      </c>
      <c r="BQ228" t="s">
        <v>311</v>
      </c>
      <c r="BR228" t="s">
        <v>311</v>
      </c>
      <c r="BS228" t="s">
        <v>311</v>
      </c>
      <c r="BT228" t="s">
        <v>311</v>
      </c>
      <c r="BU228" t="s">
        <v>311</v>
      </c>
      <c r="BV228" t="s">
        <v>311</v>
      </c>
      <c r="BW228" t="s">
        <v>311</v>
      </c>
      <c r="BX228" t="s">
        <v>311</v>
      </c>
      <c r="BY228" t="s">
        <v>311</v>
      </c>
      <c r="BZ228">
        <v>0.77</v>
      </c>
      <c r="CA228">
        <v>25</v>
      </c>
      <c r="CB228" t="s">
        <v>1209</v>
      </c>
      <c r="CC228" t="s">
        <v>1210</v>
      </c>
      <c r="CD228" t="s">
        <v>311</v>
      </c>
      <c r="CE228" t="s">
        <v>311</v>
      </c>
      <c r="CF228" t="s">
        <v>311</v>
      </c>
      <c r="CG228" t="s">
        <v>1330</v>
      </c>
      <c r="CH228" t="s">
        <v>1331</v>
      </c>
      <c r="CI228">
        <v>0</v>
      </c>
      <c r="CJ228" s="38" t="s">
        <v>311</v>
      </c>
      <c r="CK228" s="38" t="s">
        <v>311</v>
      </c>
      <c r="CL228" s="38" t="s">
        <v>311</v>
      </c>
      <c r="CM228" s="38" t="s">
        <v>311</v>
      </c>
      <c r="CN228" s="38" t="s">
        <v>311</v>
      </c>
      <c r="CO228" s="38" t="s">
        <v>311</v>
      </c>
      <c r="CP228" s="38" t="s">
        <v>311</v>
      </c>
      <c r="CQ228" t="s">
        <v>1833</v>
      </c>
      <c r="CR228" t="s">
        <v>1570</v>
      </c>
    </row>
    <row r="229" spans="1:96">
      <c r="A229">
        <v>228</v>
      </c>
      <c r="B229">
        <v>31</v>
      </c>
      <c r="C229">
        <v>2</v>
      </c>
      <c r="D229" t="s">
        <v>241</v>
      </c>
      <c r="E229" t="s">
        <v>242</v>
      </c>
      <c r="F229" t="s">
        <v>136</v>
      </c>
      <c r="G229">
        <v>1996</v>
      </c>
      <c r="H229" t="s">
        <v>508</v>
      </c>
      <c r="I229" t="s">
        <v>509</v>
      </c>
      <c r="J229">
        <v>16.8</v>
      </c>
      <c r="K229">
        <v>-88.083332999999996</v>
      </c>
      <c r="L229" t="s">
        <v>511</v>
      </c>
      <c r="M229" t="s">
        <v>510</v>
      </c>
      <c r="N229" t="s">
        <v>531</v>
      </c>
      <c r="O229" t="s">
        <v>532</v>
      </c>
      <c r="P229" t="s">
        <v>693</v>
      </c>
      <c r="Q229" t="s">
        <v>291</v>
      </c>
      <c r="R229" t="s">
        <v>788</v>
      </c>
      <c r="S229" t="s">
        <v>311</v>
      </c>
      <c r="T229" t="s">
        <v>331</v>
      </c>
      <c r="U229">
        <v>3</v>
      </c>
      <c r="V229" t="s">
        <v>311</v>
      </c>
      <c r="W229" t="s">
        <v>776</v>
      </c>
      <c r="X229" t="s">
        <v>292</v>
      </c>
      <c r="Y229" t="s">
        <v>784</v>
      </c>
      <c r="Z229" t="s">
        <v>1057</v>
      </c>
      <c r="AA229" t="s">
        <v>610</v>
      </c>
      <c r="AB229" t="s">
        <v>790</v>
      </c>
      <c r="AC229" t="s">
        <v>783</v>
      </c>
      <c r="AD229" t="s">
        <v>292</v>
      </c>
      <c r="AE229" t="s">
        <v>780</v>
      </c>
      <c r="AF229" t="s">
        <v>609</v>
      </c>
      <c r="AH229" t="s">
        <v>555</v>
      </c>
      <c r="AI229" t="s">
        <v>781</v>
      </c>
      <c r="AJ229" t="s">
        <v>782</v>
      </c>
      <c r="AK229" t="s">
        <v>605</v>
      </c>
      <c r="AL229" t="s">
        <v>649</v>
      </c>
      <c r="AM229" t="s">
        <v>1059</v>
      </c>
      <c r="AN229" t="s">
        <v>1456</v>
      </c>
      <c r="AO229" t="s">
        <v>1283</v>
      </c>
      <c r="AP229" t="s">
        <v>614</v>
      </c>
      <c r="AQ229" t="s">
        <v>887</v>
      </c>
      <c r="AR229">
        <v>0.92</v>
      </c>
      <c r="AS229" t="s">
        <v>311</v>
      </c>
      <c r="AT229">
        <v>0.14000000000000001</v>
      </c>
      <c r="AU229">
        <v>6</v>
      </c>
      <c r="AV229">
        <v>0.35</v>
      </c>
      <c r="AW229" t="s">
        <v>311</v>
      </c>
      <c r="AX229">
        <v>0.1</v>
      </c>
      <c r="AY229">
        <v>6</v>
      </c>
      <c r="AZ229" t="s">
        <v>1055</v>
      </c>
      <c r="BA229" t="s">
        <v>1679</v>
      </c>
      <c r="BB229">
        <v>337</v>
      </c>
      <c r="BC229" t="s">
        <v>1672</v>
      </c>
      <c r="BD229" t="s">
        <v>311</v>
      </c>
      <c r="BE229" t="s">
        <v>1880</v>
      </c>
      <c r="BF229" t="s">
        <v>311</v>
      </c>
      <c r="BG229" t="s">
        <v>311</v>
      </c>
      <c r="BH229" t="s">
        <v>311</v>
      </c>
      <c r="BI229" t="s">
        <v>311</v>
      </c>
      <c r="BJ229" t="s">
        <v>311</v>
      </c>
      <c r="BK229" t="s">
        <v>311</v>
      </c>
      <c r="BL229" t="s">
        <v>311</v>
      </c>
      <c r="BM229" t="s">
        <v>311</v>
      </c>
      <c r="BN229" t="s">
        <v>311</v>
      </c>
      <c r="BO229" t="s">
        <v>311</v>
      </c>
      <c r="BP229" t="s">
        <v>311</v>
      </c>
      <c r="BQ229" t="s">
        <v>311</v>
      </c>
      <c r="BR229" t="s">
        <v>311</v>
      </c>
      <c r="BS229" t="s">
        <v>311</v>
      </c>
      <c r="BT229" t="s">
        <v>311</v>
      </c>
      <c r="BU229" t="s">
        <v>311</v>
      </c>
      <c r="BV229" t="s">
        <v>311</v>
      </c>
      <c r="BW229" t="s">
        <v>311</v>
      </c>
      <c r="BX229" t="s">
        <v>311</v>
      </c>
      <c r="BY229" t="s">
        <v>311</v>
      </c>
      <c r="BZ229">
        <v>0.77</v>
      </c>
      <c r="CA229">
        <v>25</v>
      </c>
      <c r="CB229" t="s">
        <v>1209</v>
      </c>
      <c r="CC229" t="s">
        <v>1210</v>
      </c>
      <c r="CD229" t="s">
        <v>311</v>
      </c>
      <c r="CE229" t="s">
        <v>311</v>
      </c>
      <c r="CF229" t="s">
        <v>311</v>
      </c>
      <c r="CG229" t="s">
        <v>1330</v>
      </c>
      <c r="CH229" t="s">
        <v>1331</v>
      </c>
      <c r="CI229">
        <v>0</v>
      </c>
      <c r="CJ229" s="38" t="s">
        <v>311</v>
      </c>
      <c r="CK229" s="38" t="s">
        <v>311</v>
      </c>
      <c r="CL229" s="38" t="s">
        <v>311</v>
      </c>
      <c r="CM229" s="38" t="s">
        <v>311</v>
      </c>
      <c r="CN229" s="38" t="s">
        <v>311</v>
      </c>
      <c r="CO229" s="38" t="s">
        <v>311</v>
      </c>
      <c r="CP229" s="38" t="s">
        <v>311</v>
      </c>
      <c r="CQ229" t="s">
        <v>1833</v>
      </c>
      <c r="CR229" t="s">
        <v>1570</v>
      </c>
    </row>
    <row r="230" spans="1:96">
      <c r="A230">
        <v>229</v>
      </c>
      <c r="B230">
        <v>31</v>
      </c>
      <c r="C230">
        <v>3</v>
      </c>
      <c r="D230" t="s">
        <v>241</v>
      </c>
      <c r="E230" t="s">
        <v>242</v>
      </c>
      <c r="F230" t="s">
        <v>136</v>
      </c>
      <c r="G230">
        <v>1996</v>
      </c>
      <c r="H230" t="s">
        <v>508</v>
      </c>
      <c r="I230" t="s">
        <v>509</v>
      </c>
      <c r="J230">
        <v>16.8</v>
      </c>
      <c r="K230">
        <v>-88.083332999999996</v>
      </c>
      <c r="L230" t="s">
        <v>511</v>
      </c>
      <c r="M230" t="s">
        <v>510</v>
      </c>
      <c r="N230" t="s">
        <v>531</v>
      </c>
      <c r="O230" t="s">
        <v>532</v>
      </c>
      <c r="P230" t="s">
        <v>693</v>
      </c>
      <c r="Q230" t="s">
        <v>291</v>
      </c>
      <c r="R230" t="s">
        <v>788</v>
      </c>
      <c r="S230" t="s">
        <v>717</v>
      </c>
      <c r="T230" t="s">
        <v>331</v>
      </c>
      <c r="U230">
        <v>3</v>
      </c>
      <c r="V230" t="s">
        <v>311</v>
      </c>
      <c r="W230" t="s">
        <v>776</v>
      </c>
      <c r="X230" t="s">
        <v>292</v>
      </c>
      <c r="Y230" t="s">
        <v>779</v>
      </c>
      <c r="Z230" t="s">
        <v>1057</v>
      </c>
      <c r="AA230" t="s">
        <v>610</v>
      </c>
      <c r="AB230" t="s">
        <v>777</v>
      </c>
      <c r="AC230" t="s">
        <v>778</v>
      </c>
      <c r="AD230" t="s">
        <v>292</v>
      </c>
      <c r="AE230" t="s">
        <v>780</v>
      </c>
      <c r="AF230" t="s">
        <v>609</v>
      </c>
      <c r="AH230" t="s">
        <v>555</v>
      </c>
      <c r="AI230" t="s">
        <v>781</v>
      </c>
      <c r="AJ230" t="s">
        <v>782</v>
      </c>
      <c r="AK230" t="s">
        <v>649</v>
      </c>
      <c r="AL230" t="s">
        <v>649</v>
      </c>
      <c r="AM230" t="s">
        <v>1059</v>
      </c>
      <c r="AN230" t="s">
        <v>1456</v>
      </c>
      <c r="AO230" t="s">
        <v>1293</v>
      </c>
      <c r="AP230" t="s">
        <v>614</v>
      </c>
      <c r="AQ230" t="s">
        <v>887</v>
      </c>
      <c r="AR230">
        <v>797</v>
      </c>
      <c r="AS230" t="s">
        <v>311</v>
      </c>
      <c r="AT230">
        <v>182</v>
      </c>
      <c r="AU230">
        <v>6</v>
      </c>
      <c r="AV230">
        <v>410</v>
      </c>
      <c r="AW230" t="s">
        <v>311</v>
      </c>
      <c r="AX230">
        <v>74</v>
      </c>
      <c r="AY230">
        <v>6</v>
      </c>
      <c r="AZ230" t="s">
        <v>1055</v>
      </c>
      <c r="BA230" t="s">
        <v>1679</v>
      </c>
      <c r="BB230">
        <v>337</v>
      </c>
      <c r="BC230" t="s">
        <v>1672</v>
      </c>
      <c r="BD230" t="s">
        <v>311</v>
      </c>
      <c r="BE230" t="s">
        <v>1880</v>
      </c>
      <c r="BF230" t="s">
        <v>311</v>
      </c>
      <c r="BG230" t="s">
        <v>311</v>
      </c>
      <c r="BH230" t="s">
        <v>311</v>
      </c>
      <c r="BI230" t="s">
        <v>311</v>
      </c>
      <c r="BJ230" t="s">
        <v>311</v>
      </c>
      <c r="BK230" t="s">
        <v>311</v>
      </c>
      <c r="BL230" t="s">
        <v>311</v>
      </c>
      <c r="BM230" t="s">
        <v>311</v>
      </c>
      <c r="BN230" t="s">
        <v>311</v>
      </c>
      <c r="BO230" t="s">
        <v>311</v>
      </c>
      <c r="BP230" t="s">
        <v>311</v>
      </c>
      <c r="BQ230" t="s">
        <v>311</v>
      </c>
      <c r="BR230" t="s">
        <v>311</v>
      </c>
      <c r="BS230" t="s">
        <v>311</v>
      </c>
      <c r="BT230" t="s">
        <v>311</v>
      </c>
      <c r="BU230" t="s">
        <v>311</v>
      </c>
      <c r="BV230" t="s">
        <v>311</v>
      </c>
      <c r="BW230" t="s">
        <v>311</v>
      </c>
      <c r="BX230" t="s">
        <v>311</v>
      </c>
      <c r="BY230" t="s">
        <v>311</v>
      </c>
      <c r="BZ230">
        <v>0.77</v>
      </c>
      <c r="CA230">
        <v>25</v>
      </c>
      <c r="CB230" t="s">
        <v>1209</v>
      </c>
      <c r="CC230" t="s">
        <v>1210</v>
      </c>
      <c r="CD230" t="s">
        <v>311</v>
      </c>
      <c r="CE230" t="s">
        <v>311</v>
      </c>
      <c r="CF230" t="s">
        <v>311</v>
      </c>
      <c r="CG230" t="s">
        <v>1330</v>
      </c>
      <c r="CH230" t="s">
        <v>1331</v>
      </c>
      <c r="CI230">
        <v>0</v>
      </c>
      <c r="CJ230" s="38" t="s">
        <v>311</v>
      </c>
      <c r="CK230" s="38" t="s">
        <v>311</v>
      </c>
      <c r="CL230" s="38" t="s">
        <v>311</v>
      </c>
      <c r="CM230" s="38" t="s">
        <v>311</v>
      </c>
      <c r="CN230" s="38" t="s">
        <v>311</v>
      </c>
      <c r="CO230" s="38" t="s">
        <v>311</v>
      </c>
      <c r="CP230" s="38" t="s">
        <v>311</v>
      </c>
      <c r="CQ230" t="s">
        <v>1833</v>
      </c>
      <c r="CR230" t="s">
        <v>1624</v>
      </c>
    </row>
    <row r="231" spans="1:96">
      <c r="A231">
        <v>230</v>
      </c>
      <c r="B231">
        <v>31</v>
      </c>
      <c r="C231">
        <v>4</v>
      </c>
      <c r="D231" t="s">
        <v>241</v>
      </c>
      <c r="E231" t="s">
        <v>242</v>
      </c>
      <c r="F231" t="s">
        <v>136</v>
      </c>
      <c r="G231">
        <v>1996</v>
      </c>
      <c r="H231" t="s">
        <v>508</v>
      </c>
      <c r="I231" t="s">
        <v>509</v>
      </c>
      <c r="J231">
        <v>16.8</v>
      </c>
      <c r="K231">
        <v>-88.083332999999996</v>
      </c>
      <c r="L231" t="s">
        <v>511</v>
      </c>
      <c r="M231" t="s">
        <v>510</v>
      </c>
      <c r="N231" t="s">
        <v>531</v>
      </c>
      <c r="O231" t="s">
        <v>532</v>
      </c>
      <c r="P231" t="s">
        <v>693</v>
      </c>
      <c r="Q231" t="s">
        <v>291</v>
      </c>
      <c r="R231" t="s">
        <v>788</v>
      </c>
      <c r="S231" t="s">
        <v>311</v>
      </c>
      <c r="T231" t="s">
        <v>331</v>
      </c>
      <c r="U231">
        <v>3</v>
      </c>
      <c r="V231" t="s">
        <v>311</v>
      </c>
      <c r="W231" t="s">
        <v>776</v>
      </c>
      <c r="X231" t="s">
        <v>292</v>
      </c>
      <c r="Y231" t="s">
        <v>784</v>
      </c>
      <c r="Z231" t="s">
        <v>1057</v>
      </c>
      <c r="AA231" t="s">
        <v>610</v>
      </c>
      <c r="AB231" t="s">
        <v>790</v>
      </c>
      <c r="AC231" t="s">
        <v>783</v>
      </c>
      <c r="AD231" t="s">
        <v>292</v>
      </c>
      <c r="AE231" t="s">
        <v>780</v>
      </c>
      <c r="AF231" t="s">
        <v>609</v>
      </c>
      <c r="AH231" t="s">
        <v>555</v>
      </c>
      <c r="AI231" t="s">
        <v>781</v>
      </c>
      <c r="AJ231" t="s">
        <v>782</v>
      </c>
      <c r="AK231" t="s">
        <v>649</v>
      </c>
      <c r="AL231" t="s">
        <v>649</v>
      </c>
      <c r="AM231" t="s">
        <v>1059</v>
      </c>
      <c r="AN231" t="s">
        <v>1456</v>
      </c>
      <c r="AO231" t="s">
        <v>1293</v>
      </c>
      <c r="AP231" t="s">
        <v>614</v>
      </c>
      <c r="AQ231" t="s">
        <v>887</v>
      </c>
      <c r="AR231">
        <v>522</v>
      </c>
      <c r="AS231" t="s">
        <v>311</v>
      </c>
      <c r="AT231">
        <v>95</v>
      </c>
      <c r="AU231">
        <v>6</v>
      </c>
      <c r="AV231">
        <v>410</v>
      </c>
      <c r="AW231" t="s">
        <v>311</v>
      </c>
      <c r="AX231">
        <v>74</v>
      </c>
      <c r="AY231">
        <v>6</v>
      </c>
      <c r="AZ231" t="s">
        <v>1055</v>
      </c>
      <c r="BA231" t="s">
        <v>1679</v>
      </c>
      <c r="BB231">
        <v>337</v>
      </c>
      <c r="BC231" t="s">
        <v>1672</v>
      </c>
      <c r="BD231" t="s">
        <v>311</v>
      </c>
      <c r="BE231" t="s">
        <v>1880</v>
      </c>
      <c r="BF231" t="s">
        <v>311</v>
      </c>
      <c r="BG231" t="s">
        <v>311</v>
      </c>
      <c r="BH231" t="s">
        <v>311</v>
      </c>
      <c r="BI231" t="s">
        <v>311</v>
      </c>
      <c r="BJ231" t="s">
        <v>311</v>
      </c>
      <c r="BK231" t="s">
        <v>311</v>
      </c>
      <c r="BL231" t="s">
        <v>311</v>
      </c>
      <c r="BM231" t="s">
        <v>311</v>
      </c>
      <c r="BN231" t="s">
        <v>311</v>
      </c>
      <c r="BO231" t="s">
        <v>311</v>
      </c>
      <c r="BP231" t="s">
        <v>311</v>
      </c>
      <c r="BQ231" t="s">
        <v>311</v>
      </c>
      <c r="BR231" t="s">
        <v>311</v>
      </c>
      <c r="BS231" t="s">
        <v>311</v>
      </c>
      <c r="BT231" t="s">
        <v>311</v>
      </c>
      <c r="BU231" t="s">
        <v>311</v>
      </c>
      <c r="BV231" t="s">
        <v>311</v>
      </c>
      <c r="BW231" t="s">
        <v>311</v>
      </c>
      <c r="BX231" t="s">
        <v>311</v>
      </c>
      <c r="BY231" t="s">
        <v>311</v>
      </c>
      <c r="BZ231">
        <v>0.77</v>
      </c>
      <c r="CA231">
        <v>25</v>
      </c>
      <c r="CB231" t="s">
        <v>1209</v>
      </c>
      <c r="CC231" t="s">
        <v>1210</v>
      </c>
      <c r="CD231" t="s">
        <v>311</v>
      </c>
      <c r="CE231" t="s">
        <v>311</v>
      </c>
      <c r="CF231" t="s">
        <v>311</v>
      </c>
      <c r="CG231" t="s">
        <v>1330</v>
      </c>
      <c r="CH231" t="s">
        <v>1331</v>
      </c>
      <c r="CI231">
        <v>0</v>
      </c>
      <c r="CJ231" s="38" t="s">
        <v>311</v>
      </c>
      <c r="CK231" s="38" t="s">
        <v>311</v>
      </c>
      <c r="CL231" s="38" t="s">
        <v>311</v>
      </c>
      <c r="CM231" s="38" t="s">
        <v>311</v>
      </c>
      <c r="CN231" s="38" t="s">
        <v>311</v>
      </c>
      <c r="CO231" s="38" t="s">
        <v>311</v>
      </c>
      <c r="CP231" s="38" t="s">
        <v>311</v>
      </c>
      <c r="CQ231" t="s">
        <v>1833</v>
      </c>
      <c r="CR231" t="s">
        <v>1624</v>
      </c>
    </row>
    <row r="232" spans="1:96">
      <c r="A232">
        <v>231</v>
      </c>
      <c r="B232">
        <v>32</v>
      </c>
      <c r="C232">
        <v>1</v>
      </c>
      <c r="D232" t="s">
        <v>256</v>
      </c>
      <c r="E232" t="s">
        <v>257</v>
      </c>
      <c r="F232" t="s">
        <v>258</v>
      </c>
      <c r="G232">
        <v>1983</v>
      </c>
      <c r="H232" t="s">
        <v>514</v>
      </c>
      <c r="I232" t="s">
        <v>515</v>
      </c>
      <c r="J232">
        <v>17.757762</v>
      </c>
      <c r="K232">
        <v>-64.605750999999998</v>
      </c>
      <c r="L232" t="s">
        <v>361</v>
      </c>
      <c r="M232" t="s">
        <v>516</v>
      </c>
      <c r="N232" t="s">
        <v>531</v>
      </c>
      <c r="O232" t="s">
        <v>532</v>
      </c>
      <c r="P232" t="s">
        <v>693</v>
      </c>
      <c r="Q232" t="s">
        <v>291</v>
      </c>
      <c r="R232" t="s">
        <v>550</v>
      </c>
      <c r="S232" t="s">
        <v>789</v>
      </c>
      <c r="T232" t="s">
        <v>331</v>
      </c>
      <c r="U232">
        <v>1</v>
      </c>
      <c r="V232" t="s">
        <v>311</v>
      </c>
      <c r="W232" t="s">
        <v>1835</v>
      </c>
      <c r="X232" t="s">
        <v>309</v>
      </c>
      <c r="Y232" t="s">
        <v>546</v>
      </c>
      <c r="Z232" t="s">
        <v>302</v>
      </c>
      <c r="AA232" t="s">
        <v>303</v>
      </c>
      <c r="AB232" t="s">
        <v>791</v>
      </c>
      <c r="AC232" t="s">
        <v>792</v>
      </c>
      <c r="AD232" t="s">
        <v>292</v>
      </c>
      <c r="AE232" t="s">
        <v>598</v>
      </c>
      <c r="AF232" t="s">
        <v>304</v>
      </c>
      <c r="AH232" t="s">
        <v>305</v>
      </c>
      <c r="AI232" t="s">
        <v>1043</v>
      </c>
      <c r="AJ232" t="s">
        <v>793</v>
      </c>
      <c r="AK232" t="s">
        <v>683</v>
      </c>
      <c r="AL232" t="s">
        <v>684</v>
      </c>
      <c r="AM232" t="s">
        <v>1059</v>
      </c>
      <c r="AN232" t="s">
        <v>583</v>
      </c>
      <c r="AO232" t="s">
        <v>606</v>
      </c>
      <c r="AP232" s="32" t="s">
        <v>537</v>
      </c>
      <c r="AQ232" t="s">
        <v>614</v>
      </c>
      <c r="AR232">
        <v>5.43</v>
      </c>
      <c r="AS232">
        <v>0.6</v>
      </c>
      <c r="AT232" t="s">
        <v>311</v>
      </c>
      <c r="AU232">
        <v>13</v>
      </c>
      <c r="AV232">
        <v>3.18</v>
      </c>
      <c r="AW232">
        <v>0.63</v>
      </c>
      <c r="AX232" t="s">
        <v>311</v>
      </c>
      <c r="AY232">
        <v>13</v>
      </c>
      <c r="AZ232" t="s">
        <v>1055</v>
      </c>
      <c r="BA232" t="s">
        <v>1679</v>
      </c>
      <c r="BB232">
        <v>365</v>
      </c>
      <c r="BC232" t="s">
        <v>1672</v>
      </c>
      <c r="BD232" t="s">
        <v>1764</v>
      </c>
      <c r="BE232" t="s">
        <v>1880</v>
      </c>
      <c r="BF232">
        <v>0.9</v>
      </c>
      <c r="BG232" t="s">
        <v>311</v>
      </c>
      <c r="BH232">
        <v>0.2</v>
      </c>
      <c r="BI232" t="s">
        <v>311</v>
      </c>
      <c r="BJ232" t="s">
        <v>311</v>
      </c>
      <c r="BK232" t="s">
        <v>311</v>
      </c>
      <c r="BL232" t="s">
        <v>311</v>
      </c>
      <c r="BM232" t="s">
        <v>311</v>
      </c>
      <c r="BN232" t="s">
        <v>311</v>
      </c>
      <c r="BO232" t="s">
        <v>311</v>
      </c>
      <c r="BP232" t="s">
        <v>311</v>
      </c>
      <c r="BQ232" t="s">
        <v>311</v>
      </c>
      <c r="BR232" t="s">
        <v>311</v>
      </c>
      <c r="BS232" t="s">
        <v>311</v>
      </c>
      <c r="BT232" t="s">
        <v>311</v>
      </c>
      <c r="BU232" t="s">
        <v>311</v>
      </c>
      <c r="BV232" t="s">
        <v>311</v>
      </c>
      <c r="BW232" t="s">
        <v>311</v>
      </c>
      <c r="BX232" s="6" t="s">
        <v>1126</v>
      </c>
      <c r="BY232" t="s">
        <v>1203</v>
      </c>
      <c r="BZ232">
        <v>0.2</v>
      </c>
      <c r="CA232">
        <v>28.7</v>
      </c>
      <c r="CB232" t="s">
        <v>1210</v>
      </c>
      <c r="CC232" t="s">
        <v>1209</v>
      </c>
      <c r="CD232" t="s">
        <v>1332</v>
      </c>
      <c r="CE232" t="s">
        <v>1333</v>
      </c>
      <c r="CF232">
        <v>0</v>
      </c>
      <c r="CG232" t="s">
        <v>311</v>
      </c>
      <c r="CH232" t="s">
        <v>311</v>
      </c>
      <c r="CI232" t="s">
        <v>311</v>
      </c>
      <c r="CJ232" s="38" t="s">
        <v>311</v>
      </c>
      <c r="CK232" s="38" t="s">
        <v>311</v>
      </c>
      <c r="CL232" s="38" t="s">
        <v>311</v>
      </c>
      <c r="CM232" s="38" t="s">
        <v>311</v>
      </c>
      <c r="CN232" s="38" t="s">
        <v>311</v>
      </c>
      <c r="CO232" s="38" t="s">
        <v>311</v>
      </c>
      <c r="CP232" s="38" t="s">
        <v>311</v>
      </c>
      <c r="CQ232" t="s">
        <v>1838</v>
      </c>
      <c r="CR232" t="s">
        <v>1895</v>
      </c>
    </row>
    <row r="233" spans="1:96">
      <c r="A233">
        <v>232</v>
      </c>
      <c r="B233">
        <v>32</v>
      </c>
      <c r="C233">
        <v>2</v>
      </c>
      <c r="D233" t="s">
        <v>256</v>
      </c>
      <c r="E233" t="s">
        <v>257</v>
      </c>
      <c r="F233" t="s">
        <v>258</v>
      </c>
      <c r="G233">
        <v>1983</v>
      </c>
      <c r="H233" t="s">
        <v>514</v>
      </c>
      <c r="I233" t="s">
        <v>515</v>
      </c>
      <c r="J233">
        <v>17.757762</v>
      </c>
      <c r="K233">
        <v>-64.605750999999998</v>
      </c>
      <c r="L233" t="s">
        <v>361</v>
      </c>
      <c r="M233" t="s">
        <v>516</v>
      </c>
      <c r="N233" t="s">
        <v>531</v>
      </c>
      <c r="O233" t="s">
        <v>532</v>
      </c>
      <c r="P233" t="s">
        <v>693</v>
      </c>
      <c r="Q233" t="s">
        <v>291</v>
      </c>
      <c r="R233" t="s">
        <v>550</v>
      </c>
      <c r="S233" t="s">
        <v>789</v>
      </c>
      <c r="T233" t="s">
        <v>331</v>
      </c>
      <c r="U233">
        <v>1</v>
      </c>
      <c r="V233" t="s">
        <v>311</v>
      </c>
      <c r="W233" t="s">
        <v>1836</v>
      </c>
      <c r="X233" t="s">
        <v>309</v>
      </c>
      <c r="Y233" t="s">
        <v>546</v>
      </c>
      <c r="Z233" t="s">
        <v>302</v>
      </c>
      <c r="AA233" t="s">
        <v>303</v>
      </c>
      <c r="AB233" t="s">
        <v>791</v>
      </c>
      <c r="AC233" t="s">
        <v>792</v>
      </c>
      <c r="AD233" t="s">
        <v>292</v>
      </c>
      <c r="AE233" t="s">
        <v>598</v>
      </c>
      <c r="AF233" t="s">
        <v>304</v>
      </c>
      <c r="AH233" t="s">
        <v>305</v>
      </c>
      <c r="AI233" t="s">
        <v>1043</v>
      </c>
      <c r="AJ233" t="s">
        <v>793</v>
      </c>
      <c r="AK233" t="s">
        <v>683</v>
      </c>
      <c r="AL233" t="s">
        <v>684</v>
      </c>
      <c r="AM233" t="s">
        <v>1059</v>
      </c>
      <c r="AN233" t="s">
        <v>583</v>
      </c>
      <c r="AO233" t="s">
        <v>606</v>
      </c>
      <c r="AP233" s="32" t="s">
        <v>537</v>
      </c>
      <c r="AQ233" t="s">
        <v>614</v>
      </c>
      <c r="AR233">
        <v>3.45</v>
      </c>
      <c r="AS233">
        <v>0.42</v>
      </c>
      <c r="AT233" t="s">
        <v>311</v>
      </c>
      <c r="AU233">
        <v>13</v>
      </c>
      <c r="AV233">
        <v>2.87</v>
      </c>
      <c r="AW233">
        <v>0.2</v>
      </c>
      <c r="AX233" t="s">
        <v>311</v>
      </c>
      <c r="AY233">
        <v>13</v>
      </c>
      <c r="AZ233" t="s">
        <v>1055</v>
      </c>
      <c r="BA233" t="s">
        <v>1679</v>
      </c>
      <c r="BB233">
        <v>243</v>
      </c>
      <c r="BC233" t="s">
        <v>1672</v>
      </c>
      <c r="BD233" t="s">
        <v>1763</v>
      </c>
      <c r="BE233" t="s">
        <v>1880</v>
      </c>
      <c r="BF233">
        <v>0.9</v>
      </c>
      <c r="BG233" t="s">
        <v>311</v>
      </c>
      <c r="BH233">
        <v>0.2</v>
      </c>
      <c r="BI233" t="s">
        <v>311</v>
      </c>
      <c r="BJ233" t="s">
        <v>311</v>
      </c>
      <c r="BK233" t="s">
        <v>311</v>
      </c>
      <c r="BL233" t="s">
        <v>311</v>
      </c>
      <c r="BM233" t="s">
        <v>311</v>
      </c>
      <c r="BN233" t="s">
        <v>311</v>
      </c>
      <c r="BO233" t="s">
        <v>311</v>
      </c>
      <c r="BP233" t="s">
        <v>311</v>
      </c>
      <c r="BQ233" t="s">
        <v>311</v>
      </c>
      <c r="BR233" t="s">
        <v>311</v>
      </c>
      <c r="BS233" t="s">
        <v>311</v>
      </c>
      <c r="BT233" t="s">
        <v>311</v>
      </c>
      <c r="BU233" t="s">
        <v>311</v>
      </c>
      <c r="BV233" t="s">
        <v>311</v>
      </c>
      <c r="BW233" t="s">
        <v>311</v>
      </c>
      <c r="BX233" s="6" t="s">
        <v>1126</v>
      </c>
      <c r="BY233" t="s">
        <v>1203</v>
      </c>
      <c r="BZ233">
        <v>0.2</v>
      </c>
      <c r="CA233">
        <v>28.7</v>
      </c>
      <c r="CB233" t="s">
        <v>1210</v>
      </c>
      <c r="CC233" t="s">
        <v>1209</v>
      </c>
      <c r="CD233" t="s">
        <v>1332</v>
      </c>
      <c r="CE233" t="s">
        <v>1333</v>
      </c>
      <c r="CF233">
        <v>0</v>
      </c>
      <c r="CG233" t="s">
        <v>311</v>
      </c>
      <c r="CH233" t="s">
        <v>311</v>
      </c>
      <c r="CI233" t="s">
        <v>311</v>
      </c>
      <c r="CJ233" s="38" t="s">
        <v>311</v>
      </c>
      <c r="CK233" s="38" t="s">
        <v>311</v>
      </c>
      <c r="CL233" s="38" t="s">
        <v>311</v>
      </c>
      <c r="CM233" s="38" t="s">
        <v>311</v>
      </c>
      <c r="CN233" s="38" t="s">
        <v>311</v>
      </c>
      <c r="CO233" s="38" t="s">
        <v>311</v>
      </c>
      <c r="CP233" s="38" t="s">
        <v>311</v>
      </c>
      <c r="CQ233" t="s">
        <v>1834</v>
      </c>
      <c r="CR233" t="s">
        <v>1837</v>
      </c>
    </row>
    <row r="234" spans="1:96">
      <c r="A234">
        <v>233</v>
      </c>
      <c r="B234">
        <v>33</v>
      </c>
      <c r="C234">
        <v>1</v>
      </c>
      <c r="D234" t="s">
        <v>525</v>
      </c>
      <c r="E234" t="s">
        <v>526</v>
      </c>
      <c r="F234" t="s">
        <v>136</v>
      </c>
      <c r="G234">
        <v>2007</v>
      </c>
      <c r="H234" t="s">
        <v>1334</v>
      </c>
      <c r="I234" t="s">
        <v>1335</v>
      </c>
      <c r="J234">
        <v>48.383333</v>
      </c>
      <c r="K234">
        <v>-124.666667</v>
      </c>
      <c r="L234" t="s">
        <v>361</v>
      </c>
      <c r="M234" t="s">
        <v>527</v>
      </c>
      <c r="N234" t="s">
        <v>531</v>
      </c>
      <c r="O234" t="s">
        <v>288</v>
      </c>
      <c r="P234" t="s">
        <v>693</v>
      </c>
      <c r="Q234" t="s">
        <v>333</v>
      </c>
      <c r="R234" t="s">
        <v>795</v>
      </c>
      <c r="S234" t="s">
        <v>1131</v>
      </c>
      <c r="T234" t="s">
        <v>331</v>
      </c>
      <c r="U234">
        <v>1</v>
      </c>
      <c r="V234" t="s">
        <v>535</v>
      </c>
      <c r="W234">
        <v>2005</v>
      </c>
      <c r="X234" t="s">
        <v>292</v>
      </c>
      <c r="Y234" t="s">
        <v>536</v>
      </c>
      <c r="Z234" t="s">
        <v>537</v>
      </c>
      <c r="AA234" t="s">
        <v>538</v>
      </c>
      <c r="AB234" t="s">
        <v>539</v>
      </c>
      <c r="AC234" t="s">
        <v>673</v>
      </c>
      <c r="AD234" t="s">
        <v>340</v>
      </c>
      <c r="AE234" t="s">
        <v>311</v>
      </c>
      <c r="AF234" t="s">
        <v>342</v>
      </c>
      <c r="AH234" t="s">
        <v>311</v>
      </c>
      <c r="AI234" t="s">
        <v>311</v>
      </c>
      <c r="AJ234" t="s">
        <v>311</v>
      </c>
      <c r="AK234" t="s">
        <v>649</v>
      </c>
      <c r="AL234" t="s">
        <v>649</v>
      </c>
      <c r="AM234" t="s">
        <v>1059</v>
      </c>
      <c r="AN234" t="s">
        <v>584</v>
      </c>
      <c r="AO234" t="s">
        <v>541</v>
      </c>
      <c r="AP234" s="32" t="s">
        <v>537</v>
      </c>
      <c r="AQ234" t="s">
        <v>614</v>
      </c>
      <c r="AR234">
        <v>2857</v>
      </c>
      <c r="AS234">
        <v>1589</v>
      </c>
      <c r="AT234" t="s">
        <v>311</v>
      </c>
      <c r="AU234">
        <v>10</v>
      </c>
      <c r="AV234">
        <v>671</v>
      </c>
      <c r="AW234">
        <v>181</v>
      </c>
      <c r="AX234" t="s">
        <v>311</v>
      </c>
      <c r="AY234">
        <v>10</v>
      </c>
      <c r="AZ234" t="s">
        <v>1678</v>
      </c>
      <c r="BA234" t="s">
        <v>1679</v>
      </c>
      <c r="BB234">
        <v>14</v>
      </c>
      <c r="BC234" t="s">
        <v>1672</v>
      </c>
      <c r="BD234" t="s">
        <v>311</v>
      </c>
      <c r="BE234" t="s">
        <v>1880</v>
      </c>
      <c r="BF234">
        <v>12.711864406779601</v>
      </c>
      <c r="BG234">
        <v>2.2881355932203995</v>
      </c>
      <c r="BH234">
        <v>8.3898305084745708</v>
      </c>
      <c r="BI234">
        <v>1.5254237288135588</v>
      </c>
      <c r="BJ234">
        <v>14.1605839416058</v>
      </c>
      <c r="BK234">
        <v>2.7737226277372002</v>
      </c>
      <c r="BL234">
        <v>11.8248175182481</v>
      </c>
      <c r="BM234">
        <v>1.3138686131387001</v>
      </c>
      <c r="BN234" t="s">
        <v>311</v>
      </c>
      <c r="BO234" t="s">
        <v>311</v>
      </c>
      <c r="BP234" t="s">
        <v>311</v>
      </c>
      <c r="BQ234" t="s">
        <v>311</v>
      </c>
      <c r="BR234" t="s">
        <v>311</v>
      </c>
      <c r="BS234" t="s">
        <v>311</v>
      </c>
      <c r="BT234" t="s">
        <v>311</v>
      </c>
      <c r="BU234" t="s">
        <v>311</v>
      </c>
      <c r="BV234" t="s">
        <v>311</v>
      </c>
      <c r="BW234" t="s">
        <v>311</v>
      </c>
      <c r="BX234" s="6" t="s">
        <v>1126</v>
      </c>
      <c r="BY234" t="s">
        <v>1203</v>
      </c>
      <c r="BZ234">
        <v>20.486076598151243</v>
      </c>
      <c r="CA234">
        <v>14</v>
      </c>
      <c r="CB234" t="s">
        <v>1210</v>
      </c>
      <c r="CC234" t="s">
        <v>1209</v>
      </c>
      <c r="CD234" t="s">
        <v>1336</v>
      </c>
      <c r="CE234" t="s">
        <v>1337</v>
      </c>
      <c r="CF234">
        <v>100</v>
      </c>
      <c r="CG234" t="s">
        <v>311</v>
      </c>
      <c r="CH234" t="s">
        <v>311</v>
      </c>
      <c r="CI234" t="s">
        <v>311</v>
      </c>
      <c r="CJ234" s="38">
        <v>2.3271889400921602</v>
      </c>
      <c r="CK234" s="38">
        <v>1.7281105990783401</v>
      </c>
      <c r="CL234" s="38" t="s">
        <v>311</v>
      </c>
      <c r="CM234" s="38" t="s">
        <v>311</v>
      </c>
      <c r="CN234" s="38" t="s">
        <v>311</v>
      </c>
      <c r="CO234" s="38" t="s">
        <v>311</v>
      </c>
      <c r="CP234" s="38">
        <v>1.7281105990783401</v>
      </c>
      <c r="CQ234" t="s">
        <v>1730</v>
      </c>
      <c r="CR234" t="s">
        <v>1564</v>
      </c>
    </row>
    <row r="235" spans="1:96">
      <c r="A235">
        <v>234</v>
      </c>
      <c r="B235">
        <v>33</v>
      </c>
      <c r="C235">
        <v>2</v>
      </c>
      <c r="D235" t="s">
        <v>525</v>
      </c>
      <c r="E235" t="s">
        <v>526</v>
      </c>
      <c r="F235" t="s">
        <v>136</v>
      </c>
      <c r="G235">
        <v>2007</v>
      </c>
      <c r="H235" t="s">
        <v>1334</v>
      </c>
      <c r="I235" t="s">
        <v>1335</v>
      </c>
      <c r="J235">
        <v>48.383333</v>
      </c>
      <c r="K235">
        <v>-124.666667</v>
      </c>
      <c r="L235" t="s">
        <v>361</v>
      </c>
      <c r="M235" t="s">
        <v>527</v>
      </c>
      <c r="N235" t="s">
        <v>531</v>
      </c>
      <c r="O235" t="s">
        <v>288</v>
      </c>
      <c r="P235" t="s">
        <v>693</v>
      </c>
      <c r="Q235" t="s">
        <v>333</v>
      </c>
      <c r="R235" t="s">
        <v>795</v>
      </c>
      <c r="S235" t="s">
        <v>1131</v>
      </c>
      <c r="T235" t="s">
        <v>331</v>
      </c>
      <c r="U235">
        <v>1</v>
      </c>
      <c r="V235" t="s">
        <v>535</v>
      </c>
      <c r="W235">
        <v>2005</v>
      </c>
      <c r="X235" t="s">
        <v>292</v>
      </c>
      <c r="Y235" t="s">
        <v>536</v>
      </c>
      <c r="Z235" t="s">
        <v>537</v>
      </c>
      <c r="AA235" t="s">
        <v>538</v>
      </c>
      <c r="AB235" t="s">
        <v>539</v>
      </c>
      <c r="AC235" t="s">
        <v>673</v>
      </c>
      <c r="AD235" t="s">
        <v>340</v>
      </c>
      <c r="AE235" t="s">
        <v>311</v>
      </c>
      <c r="AF235" t="s">
        <v>342</v>
      </c>
      <c r="AH235" t="s">
        <v>311</v>
      </c>
      <c r="AI235" t="s">
        <v>311</v>
      </c>
      <c r="AJ235" t="s">
        <v>311</v>
      </c>
      <c r="AK235" t="s">
        <v>649</v>
      </c>
      <c r="AL235" t="s">
        <v>649</v>
      </c>
      <c r="AM235" t="s">
        <v>1059</v>
      </c>
      <c r="AN235" t="s">
        <v>584</v>
      </c>
      <c r="AO235" t="s">
        <v>541</v>
      </c>
      <c r="AP235" s="32" t="s">
        <v>537</v>
      </c>
      <c r="AQ235" t="s">
        <v>614</v>
      </c>
      <c r="AR235">
        <v>8071</v>
      </c>
      <c r="AS235">
        <v>7130</v>
      </c>
      <c r="AT235" t="s">
        <v>311</v>
      </c>
      <c r="AU235">
        <v>10</v>
      </c>
      <c r="AV235">
        <v>1019</v>
      </c>
      <c r="AW235">
        <v>359</v>
      </c>
      <c r="AX235" t="s">
        <v>311</v>
      </c>
      <c r="AY235">
        <v>10</v>
      </c>
      <c r="AZ235" t="s">
        <v>1678</v>
      </c>
      <c r="BA235" t="s">
        <v>1679</v>
      </c>
      <c r="BB235">
        <v>14</v>
      </c>
      <c r="BC235" t="s">
        <v>1672</v>
      </c>
      <c r="BD235" t="s">
        <v>311</v>
      </c>
      <c r="BE235" t="s">
        <v>1880</v>
      </c>
      <c r="BF235">
        <v>12.711864406779601</v>
      </c>
      <c r="BG235">
        <v>2.2881355932203995</v>
      </c>
      <c r="BH235">
        <v>8.3898305084745708</v>
      </c>
      <c r="BI235">
        <v>1.5254237288135588</v>
      </c>
      <c r="BJ235">
        <v>14.1605839416058</v>
      </c>
      <c r="BK235">
        <v>2.7737226277372002</v>
      </c>
      <c r="BL235">
        <v>11.8248175182481</v>
      </c>
      <c r="BM235">
        <v>1.3138686131387001</v>
      </c>
      <c r="BN235" t="s">
        <v>311</v>
      </c>
      <c r="BO235" t="s">
        <v>311</v>
      </c>
      <c r="BP235" t="s">
        <v>311</v>
      </c>
      <c r="BQ235" t="s">
        <v>311</v>
      </c>
      <c r="BR235" t="s">
        <v>311</v>
      </c>
      <c r="BS235" t="s">
        <v>311</v>
      </c>
      <c r="BT235" t="s">
        <v>311</v>
      </c>
      <c r="BU235" t="s">
        <v>311</v>
      </c>
      <c r="BV235" t="s">
        <v>311</v>
      </c>
      <c r="BW235" t="s">
        <v>311</v>
      </c>
      <c r="BX235" s="6" t="s">
        <v>1126</v>
      </c>
      <c r="BY235" t="s">
        <v>1203</v>
      </c>
      <c r="BZ235">
        <v>20.486076598151243</v>
      </c>
      <c r="CA235">
        <v>14</v>
      </c>
      <c r="CB235" t="s">
        <v>1210</v>
      </c>
      <c r="CC235" t="s">
        <v>1209</v>
      </c>
      <c r="CD235" t="s">
        <v>1336</v>
      </c>
      <c r="CE235" t="s">
        <v>1337</v>
      </c>
      <c r="CF235">
        <v>100</v>
      </c>
      <c r="CG235" t="s">
        <v>311</v>
      </c>
      <c r="CH235" t="s">
        <v>311</v>
      </c>
      <c r="CI235" t="s">
        <v>311</v>
      </c>
      <c r="CJ235" s="38">
        <v>2.3271889400921602</v>
      </c>
      <c r="CK235" s="38">
        <v>1.7281105990783401</v>
      </c>
      <c r="CL235" s="38" t="s">
        <v>311</v>
      </c>
      <c r="CM235" s="38" t="s">
        <v>311</v>
      </c>
      <c r="CN235" s="38" t="s">
        <v>311</v>
      </c>
      <c r="CO235" s="38" t="s">
        <v>311</v>
      </c>
      <c r="CP235" s="38">
        <v>1.7281105990783401</v>
      </c>
      <c r="CQ235" t="s">
        <v>1730</v>
      </c>
      <c r="CR235" t="s">
        <v>1565</v>
      </c>
    </row>
    <row r="236" spans="1:96">
      <c r="A236">
        <v>235</v>
      </c>
      <c r="B236">
        <v>33</v>
      </c>
      <c r="C236">
        <v>3</v>
      </c>
      <c r="D236" t="s">
        <v>525</v>
      </c>
      <c r="E236" t="s">
        <v>526</v>
      </c>
      <c r="F236" t="s">
        <v>136</v>
      </c>
      <c r="G236">
        <v>2007</v>
      </c>
      <c r="H236" t="s">
        <v>1334</v>
      </c>
      <c r="I236" t="s">
        <v>1335</v>
      </c>
      <c r="J236">
        <v>48.383333</v>
      </c>
      <c r="K236">
        <v>-124.666667</v>
      </c>
      <c r="L236" t="s">
        <v>361</v>
      </c>
      <c r="M236" t="s">
        <v>527</v>
      </c>
      <c r="N236" t="s">
        <v>531</v>
      </c>
      <c r="O236" t="s">
        <v>288</v>
      </c>
      <c r="P236" t="s">
        <v>693</v>
      </c>
      <c r="Q236" t="s">
        <v>333</v>
      </c>
      <c r="R236" t="s">
        <v>795</v>
      </c>
      <c r="S236" t="s">
        <v>1131</v>
      </c>
      <c r="T236" t="s">
        <v>331</v>
      </c>
      <c r="U236">
        <v>2</v>
      </c>
      <c r="V236" t="s">
        <v>535</v>
      </c>
      <c r="W236">
        <v>2005</v>
      </c>
      <c r="X236" t="s">
        <v>292</v>
      </c>
      <c r="Y236" t="s">
        <v>536</v>
      </c>
      <c r="Z236" t="s">
        <v>537</v>
      </c>
      <c r="AA236" t="s">
        <v>538</v>
      </c>
      <c r="AB236" t="s">
        <v>539</v>
      </c>
      <c r="AC236" t="s">
        <v>673</v>
      </c>
      <c r="AD236" t="s">
        <v>292</v>
      </c>
      <c r="AE236" t="s">
        <v>798</v>
      </c>
      <c r="AF236" t="s">
        <v>567</v>
      </c>
      <c r="AG236" t="s">
        <v>1901</v>
      </c>
      <c r="AH236" t="s">
        <v>591</v>
      </c>
      <c r="AI236" t="s">
        <v>796</v>
      </c>
      <c r="AJ236" t="s">
        <v>797</v>
      </c>
      <c r="AK236" t="s">
        <v>317</v>
      </c>
      <c r="AL236" t="s">
        <v>357</v>
      </c>
      <c r="AM236" t="s">
        <v>1059</v>
      </c>
      <c r="AN236" t="s">
        <v>584</v>
      </c>
      <c r="AO236" t="s">
        <v>870</v>
      </c>
      <c r="AP236" t="s">
        <v>614</v>
      </c>
      <c r="AQ236" t="s">
        <v>614</v>
      </c>
      <c r="AR236">
        <v>18.213058419243918</v>
      </c>
      <c r="AS236">
        <v>5.6006893515486693</v>
      </c>
      <c r="AT236" t="s">
        <v>311</v>
      </c>
      <c r="AU236">
        <v>5</v>
      </c>
      <c r="AV236">
        <v>2.31958762886598</v>
      </c>
      <c r="AW236">
        <v>1.2225993347230601</v>
      </c>
      <c r="AX236" t="s">
        <v>311</v>
      </c>
      <c r="AY236">
        <v>5</v>
      </c>
      <c r="AZ236" t="s">
        <v>1055</v>
      </c>
      <c r="BA236" t="s">
        <v>1679</v>
      </c>
      <c r="BB236">
        <v>70</v>
      </c>
      <c r="BC236" t="s">
        <v>1672</v>
      </c>
      <c r="BD236" t="s">
        <v>311</v>
      </c>
      <c r="BE236" t="s">
        <v>1880</v>
      </c>
      <c r="BF236">
        <v>12.711864406779601</v>
      </c>
      <c r="BG236">
        <v>2.2881355932203995</v>
      </c>
      <c r="BH236">
        <v>8.3898305084745708</v>
      </c>
      <c r="BI236">
        <v>1.5254237288135588</v>
      </c>
      <c r="BJ236">
        <v>14.1605839416058</v>
      </c>
      <c r="BK236">
        <v>2.7737226277372002</v>
      </c>
      <c r="BL236">
        <v>11.8248175182481</v>
      </c>
      <c r="BM236">
        <v>1.3138686131387001</v>
      </c>
      <c r="BN236" t="s">
        <v>311</v>
      </c>
      <c r="BO236" t="s">
        <v>311</v>
      </c>
      <c r="BP236" t="s">
        <v>311</v>
      </c>
      <c r="BQ236" t="s">
        <v>311</v>
      </c>
      <c r="BR236" t="s">
        <v>311</v>
      </c>
      <c r="BS236" t="s">
        <v>311</v>
      </c>
      <c r="BT236" t="s">
        <v>311</v>
      </c>
      <c r="BU236" t="s">
        <v>311</v>
      </c>
      <c r="BV236" t="s">
        <v>311</v>
      </c>
      <c r="BW236" t="s">
        <v>311</v>
      </c>
      <c r="BX236" s="6" t="s">
        <v>1126</v>
      </c>
      <c r="BY236" t="s">
        <v>1203</v>
      </c>
      <c r="BZ236">
        <v>20.486076598151243</v>
      </c>
      <c r="CA236">
        <v>14</v>
      </c>
      <c r="CB236" t="s">
        <v>1210</v>
      </c>
      <c r="CC236" t="s">
        <v>1209</v>
      </c>
      <c r="CD236" t="s">
        <v>1336</v>
      </c>
      <c r="CE236" t="s">
        <v>1337</v>
      </c>
      <c r="CF236">
        <v>100</v>
      </c>
      <c r="CG236" t="s">
        <v>311</v>
      </c>
      <c r="CH236" t="s">
        <v>311</v>
      </c>
      <c r="CI236" t="s">
        <v>311</v>
      </c>
      <c r="CJ236" s="38">
        <v>2.3271889400921602</v>
      </c>
      <c r="CK236" s="38">
        <v>1.7281105990783401</v>
      </c>
      <c r="CL236" s="38" t="s">
        <v>311</v>
      </c>
      <c r="CM236" s="38" t="s">
        <v>311</v>
      </c>
      <c r="CN236" s="38" t="s">
        <v>311</v>
      </c>
      <c r="CO236" s="38" t="s">
        <v>311</v>
      </c>
      <c r="CP236" s="38">
        <v>1.7281105990783401</v>
      </c>
      <c r="CQ236" t="s">
        <v>1731</v>
      </c>
      <c r="CR236" t="s">
        <v>1176</v>
      </c>
    </row>
    <row r="237" spans="1:96" s="30" customFormat="1">
      <c r="A237">
        <v>236</v>
      </c>
      <c r="B237" s="30">
        <v>33</v>
      </c>
      <c r="C237" s="30">
        <v>4</v>
      </c>
      <c r="D237" s="30" t="s">
        <v>525</v>
      </c>
      <c r="E237" s="30" t="s">
        <v>526</v>
      </c>
      <c r="F237" s="30" t="s">
        <v>136</v>
      </c>
      <c r="G237" s="30">
        <v>2007</v>
      </c>
      <c r="H237" s="30" t="s">
        <v>1334</v>
      </c>
      <c r="I237" s="30" t="s">
        <v>1335</v>
      </c>
      <c r="J237" s="30">
        <v>48.383333</v>
      </c>
      <c r="K237" s="30">
        <v>-124.666667</v>
      </c>
      <c r="L237" s="30" t="s">
        <v>361</v>
      </c>
      <c r="M237" s="30" t="s">
        <v>527</v>
      </c>
      <c r="N237" s="30" t="s">
        <v>531</v>
      </c>
      <c r="O237" s="30" t="s">
        <v>288</v>
      </c>
      <c r="P237" s="30" t="s">
        <v>693</v>
      </c>
      <c r="Q237" s="30" t="s">
        <v>333</v>
      </c>
      <c r="R237" s="30" t="s">
        <v>795</v>
      </c>
      <c r="S237" s="30" t="s">
        <v>1131</v>
      </c>
      <c r="T237" s="30" t="s">
        <v>331</v>
      </c>
      <c r="U237" s="30">
        <v>2</v>
      </c>
      <c r="V237" s="30" t="s">
        <v>535</v>
      </c>
      <c r="W237" s="30">
        <v>2005</v>
      </c>
      <c r="X237" s="30" t="s">
        <v>292</v>
      </c>
      <c r="Y237" s="30" t="s">
        <v>536</v>
      </c>
      <c r="Z237" s="30" t="s">
        <v>537</v>
      </c>
      <c r="AA237" s="30" t="s">
        <v>538</v>
      </c>
      <c r="AB237" s="30" t="s">
        <v>539</v>
      </c>
      <c r="AC237" s="30" t="s">
        <v>673</v>
      </c>
      <c r="AD237" s="30" t="s">
        <v>292</v>
      </c>
      <c r="AE237" s="30" t="s">
        <v>798</v>
      </c>
      <c r="AF237" s="30" t="s">
        <v>567</v>
      </c>
      <c r="AG237" s="30" t="s">
        <v>1901</v>
      </c>
      <c r="AH237" s="30" t="s">
        <v>591</v>
      </c>
      <c r="AI237" s="30" t="s">
        <v>796</v>
      </c>
      <c r="AJ237" s="30" t="s">
        <v>797</v>
      </c>
      <c r="AK237" s="30" t="s">
        <v>317</v>
      </c>
      <c r="AL237" s="30" t="s">
        <v>357</v>
      </c>
      <c r="AM237" s="30" t="s">
        <v>1059</v>
      </c>
      <c r="AN237" s="30" t="s">
        <v>584</v>
      </c>
      <c r="AO237" s="30" t="s">
        <v>870</v>
      </c>
      <c r="AP237" s="30" t="s">
        <v>887</v>
      </c>
      <c r="AQ237" s="30" t="s">
        <v>614</v>
      </c>
      <c r="AR237" s="30">
        <v>24.398625429553199</v>
      </c>
      <c r="AS237" s="30">
        <v>5.2405498281787004</v>
      </c>
      <c r="AT237" s="30" t="s">
        <v>311</v>
      </c>
      <c r="AU237" s="30">
        <v>5</v>
      </c>
      <c r="AV237" s="30">
        <v>7.90378006872852</v>
      </c>
      <c r="AW237" s="30">
        <v>2.7491408934707797</v>
      </c>
      <c r="AX237" s="30" t="s">
        <v>311</v>
      </c>
      <c r="AY237" s="30">
        <v>5</v>
      </c>
      <c r="AZ237" s="30" t="s">
        <v>1055</v>
      </c>
      <c r="BA237" s="30" t="s">
        <v>1679</v>
      </c>
      <c r="BB237">
        <v>70</v>
      </c>
      <c r="BC237" s="30" t="s">
        <v>1673</v>
      </c>
      <c r="BD237" s="30" t="s">
        <v>1763</v>
      </c>
      <c r="BE237" s="30" t="s">
        <v>1880</v>
      </c>
      <c r="BF237" s="30">
        <v>12.711864406779601</v>
      </c>
      <c r="BG237" s="30">
        <v>2.2881355932203995</v>
      </c>
      <c r="BH237" s="30">
        <v>8.3898305084745708</v>
      </c>
      <c r="BI237" s="30">
        <v>1.5254237288135588</v>
      </c>
      <c r="BJ237" s="30">
        <v>14.1605839416058</v>
      </c>
      <c r="BK237" s="30">
        <v>2.7737226277372002</v>
      </c>
      <c r="BL237" s="30">
        <v>11.8248175182481</v>
      </c>
      <c r="BM237" s="30">
        <v>1.3138686131387001</v>
      </c>
      <c r="BN237" s="30" t="s">
        <v>311</v>
      </c>
      <c r="BO237" s="30" t="s">
        <v>311</v>
      </c>
      <c r="BP237" s="30" t="s">
        <v>311</v>
      </c>
      <c r="BQ237" s="30" t="s">
        <v>311</v>
      </c>
      <c r="BR237" s="30" t="s">
        <v>311</v>
      </c>
      <c r="BS237" s="30" t="s">
        <v>311</v>
      </c>
      <c r="BT237" s="30" t="s">
        <v>311</v>
      </c>
      <c r="BU237" s="30" t="s">
        <v>311</v>
      </c>
      <c r="BV237" s="30" t="s">
        <v>311</v>
      </c>
      <c r="BW237" s="30" t="s">
        <v>311</v>
      </c>
      <c r="BX237" s="31" t="s">
        <v>1126</v>
      </c>
      <c r="BY237" s="30" t="s">
        <v>1203</v>
      </c>
      <c r="BZ237" s="30">
        <v>20.486076598151243</v>
      </c>
      <c r="CA237" s="30">
        <v>14</v>
      </c>
      <c r="CB237" s="30" t="s">
        <v>1210</v>
      </c>
      <c r="CC237" s="30" t="s">
        <v>1209</v>
      </c>
      <c r="CD237" s="30" t="s">
        <v>1336</v>
      </c>
      <c r="CE237" s="30" t="s">
        <v>1337</v>
      </c>
      <c r="CF237" s="30">
        <v>100</v>
      </c>
      <c r="CG237" s="30" t="s">
        <v>311</v>
      </c>
      <c r="CH237" s="30" t="s">
        <v>311</v>
      </c>
      <c r="CI237" s="30" t="s">
        <v>311</v>
      </c>
      <c r="CJ237" s="38">
        <v>2.3271889400921602</v>
      </c>
      <c r="CK237" s="38">
        <v>1.7281105990783401</v>
      </c>
      <c r="CL237" s="38" t="s">
        <v>311</v>
      </c>
      <c r="CM237" s="38" t="s">
        <v>311</v>
      </c>
      <c r="CN237" s="38" t="s">
        <v>311</v>
      </c>
      <c r="CO237" s="38" t="s">
        <v>311</v>
      </c>
      <c r="CP237" s="38">
        <v>1.7281105990783401</v>
      </c>
      <c r="CQ237" s="30" t="s">
        <v>1840</v>
      </c>
      <c r="CR237" s="30" t="s">
        <v>1839</v>
      </c>
    </row>
    <row r="238" spans="1:96">
      <c r="A238">
        <v>237</v>
      </c>
      <c r="B238">
        <v>34</v>
      </c>
      <c r="C238">
        <v>1</v>
      </c>
      <c r="D238" t="s">
        <v>1031</v>
      </c>
      <c r="E238" t="s">
        <v>1032</v>
      </c>
      <c r="F238" t="s">
        <v>75</v>
      </c>
      <c r="G238">
        <v>2021</v>
      </c>
      <c r="H238" t="s">
        <v>1035</v>
      </c>
      <c r="I238" t="s">
        <v>1036</v>
      </c>
      <c r="J238">
        <v>16.884</v>
      </c>
      <c r="K238">
        <v>-88.106999999999999</v>
      </c>
      <c r="L238" t="s">
        <v>511</v>
      </c>
      <c r="M238" t="s">
        <v>1037</v>
      </c>
      <c r="N238" t="s">
        <v>531</v>
      </c>
      <c r="O238" t="s">
        <v>532</v>
      </c>
      <c r="P238" t="s">
        <v>693</v>
      </c>
      <c r="Q238" t="s">
        <v>291</v>
      </c>
      <c r="R238" t="s">
        <v>788</v>
      </c>
      <c r="S238" t="s">
        <v>311</v>
      </c>
      <c r="T238" t="s">
        <v>331</v>
      </c>
      <c r="U238">
        <v>1</v>
      </c>
      <c r="V238" t="s">
        <v>752</v>
      </c>
      <c r="W238">
        <v>2019</v>
      </c>
      <c r="X238" t="s">
        <v>340</v>
      </c>
      <c r="Y238" t="s">
        <v>311</v>
      </c>
      <c r="Z238" t="s">
        <v>563</v>
      </c>
      <c r="AA238" t="s">
        <v>303</v>
      </c>
      <c r="AB238" t="s">
        <v>311</v>
      </c>
      <c r="AC238" t="s">
        <v>311</v>
      </c>
      <c r="AD238" t="s">
        <v>292</v>
      </c>
      <c r="AE238" t="s">
        <v>780</v>
      </c>
      <c r="AF238" t="s">
        <v>609</v>
      </c>
      <c r="AH238" t="s">
        <v>555</v>
      </c>
      <c r="AI238" t="s">
        <v>781</v>
      </c>
      <c r="AJ238" t="s">
        <v>782</v>
      </c>
      <c r="AK238" t="s">
        <v>649</v>
      </c>
      <c r="AL238" t="s">
        <v>649</v>
      </c>
      <c r="AM238" t="s">
        <v>1059</v>
      </c>
      <c r="AN238" t="s">
        <v>1279</v>
      </c>
      <c r="AO238" t="s">
        <v>606</v>
      </c>
      <c r="AP238" t="s">
        <v>887</v>
      </c>
      <c r="AQ238" t="s">
        <v>887</v>
      </c>
      <c r="AR238">
        <v>2104</v>
      </c>
      <c r="AS238">
        <v>529.6</v>
      </c>
      <c r="AT238" t="s">
        <v>311</v>
      </c>
      <c r="AU238">
        <v>5</v>
      </c>
      <c r="AV238">
        <v>935.7</v>
      </c>
      <c r="AW238">
        <v>229</v>
      </c>
      <c r="AX238" t="s">
        <v>311</v>
      </c>
      <c r="AY238">
        <v>5</v>
      </c>
      <c r="AZ238" t="s">
        <v>1677</v>
      </c>
      <c r="BA238" t="s">
        <v>1680</v>
      </c>
      <c r="BB238">
        <v>0</v>
      </c>
      <c r="BC238" t="s">
        <v>1672</v>
      </c>
      <c r="BD238" t="s">
        <v>311</v>
      </c>
      <c r="BE238" t="s">
        <v>1880</v>
      </c>
      <c r="BF238" t="s">
        <v>311</v>
      </c>
      <c r="BG238" t="s">
        <v>311</v>
      </c>
      <c r="BH238" t="s">
        <v>311</v>
      </c>
      <c r="BI238" t="s">
        <v>311</v>
      </c>
      <c r="BJ238">
        <v>0.7</v>
      </c>
      <c r="BK238">
        <v>0.17</v>
      </c>
      <c r="BL238">
        <v>1.37</v>
      </c>
      <c r="BM238">
        <v>0.16</v>
      </c>
      <c r="BN238">
        <v>9</v>
      </c>
      <c r="BO238">
        <v>9</v>
      </c>
      <c r="BP238">
        <v>12.7</v>
      </c>
      <c r="BQ238">
        <v>3.77</v>
      </c>
      <c r="BR238">
        <v>25.3</v>
      </c>
      <c r="BS238">
        <v>9.2100000000000009</v>
      </c>
      <c r="BT238" t="s">
        <v>311</v>
      </c>
      <c r="BU238" t="s">
        <v>311</v>
      </c>
      <c r="BV238" t="s">
        <v>311</v>
      </c>
      <c r="BW238" t="s">
        <v>311</v>
      </c>
      <c r="BX238" s="6" t="s">
        <v>1126</v>
      </c>
      <c r="BY238" t="s">
        <v>1203</v>
      </c>
      <c r="BZ238">
        <v>0.77</v>
      </c>
      <c r="CA238">
        <v>25</v>
      </c>
      <c r="CB238" t="s">
        <v>1210</v>
      </c>
      <c r="CC238" t="s">
        <v>1210</v>
      </c>
      <c r="CD238" t="s">
        <v>1330</v>
      </c>
      <c r="CE238" t="s">
        <v>776</v>
      </c>
      <c r="CF238">
        <v>0</v>
      </c>
      <c r="CG238" t="s">
        <v>1330</v>
      </c>
      <c r="CH238" t="s">
        <v>1331</v>
      </c>
      <c r="CI238">
        <v>0</v>
      </c>
      <c r="CJ238" s="38" t="s">
        <v>311</v>
      </c>
      <c r="CK238" s="38" t="s">
        <v>311</v>
      </c>
      <c r="CL238" s="38" t="s">
        <v>311</v>
      </c>
      <c r="CM238" s="38" t="s">
        <v>311</v>
      </c>
      <c r="CN238" s="38">
        <v>1.07</v>
      </c>
      <c r="CO238" s="38">
        <v>2.23</v>
      </c>
      <c r="CP238" s="38" t="s">
        <v>311</v>
      </c>
      <c r="CQ238" t="s">
        <v>1732</v>
      </c>
      <c r="CR238" t="s">
        <v>1338</v>
      </c>
    </row>
    <row r="239" spans="1:96">
      <c r="A239">
        <v>238</v>
      </c>
      <c r="B239">
        <v>35</v>
      </c>
      <c r="C239">
        <v>1</v>
      </c>
      <c r="D239" t="s">
        <v>1033</v>
      </c>
      <c r="E239" t="s">
        <v>1034</v>
      </c>
      <c r="F239" t="s">
        <v>20</v>
      </c>
      <c r="G239">
        <v>2020</v>
      </c>
      <c r="H239" t="s">
        <v>1038</v>
      </c>
      <c r="I239" t="s">
        <v>1039</v>
      </c>
      <c r="J239">
        <v>26.266970000000001</v>
      </c>
      <c r="K239">
        <v>-76.94126</v>
      </c>
      <c r="L239" t="s">
        <v>358</v>
      </c>
      <c r="M239" t="s">
        <v>364</v>
      </c>
      <c r="N239" t="s">
        <v>531</v>
      </c>
      <c r="O239" t="s">
        <v>532</v>
      </c>
      <c r="P239" t="s">
        <v>693</v>
      </c>
      <c r="Q239" t="s">
        <v>419</v>
      </c>
      <c r="R239" t="s">
        <v>550</v>
      </c>
      <c r="S239" t="s">
        <v>717</v>
      </c>
      <c r="T239" t="s">
        <v>331</v>
      </c>
      <c r="U239">
        <v>2</v>
      </c>
      <c r="V239" t="s">
        <v>311</v>
      </c>
      <c r="W239" t="s">
        <v>1040</v>
      </c>
      <c r="X239" t="s">
        <v>340</v>
      </c>
      <c r="Y239" t="s">
        <v>311</v>
      </c>
      <c r="Z239" t="s">
        <v>302</v>
      </c>
      <c r="AA239" t="s">
        <v>303</v>
      </c>
      <c r="AB239" t="s">
        <v>311</v>
      </c>
      <c r="AC239" t="s">
        <v>311</v>
      </c>
      <c r="AD239" t="s">
        <v>292</v>
      </c>
      <c r="AE239" t="s">
        <v>598</v>
      </c>
      <c r="AF239" t="s">
        <v>304</v>
      </c>
      <c r="AH239" t="s">
        <v>305</v>
      </c>
      <c r="AI239" t="s">
        <v>547</v>
      </c>
      <c r="AJ239" t="s">
        <v>1041</v>
      </c>
      <c r="AK239" t="s">
        <v>718</v>
      </c>
      <c r="AL239" t="s">
        <v>1045</v>
      </c>
      <c r="AM239" t="s">
        <v>1059</v>
      </c>
      <c r="AN239" t="s">
        <v>583</v>
      </c>
      <c r="AO239" t="s">
        <v>1286</v>
      </c>
      <c r="AP239" t="s">
        <v>614</v>
      </c>
      <c r="AQ239" t="s">
        <v>887</v>
      </c>
      <c r="AR239">
        <v>0.32865109999999997</v>
      </c>
      <c r="AS239" t="s">
        <v>311</v>
      </c>
      <c r="AT239">
        <v>5.5393980000000002E-2</v>
      </c>
      <c r="AU239">
        <v>13</v>
      </c>
      <c r="AV239">
        <v>0.3048997</v>
      </c>
      <c r="AW239" t="s">
        <v>311</v>
      </c>
      <c r="AX239">
        <v>4.3531569999999999E-2</v>
      </c>
      <c r="AY239">
        <v>10</v>
      </c>
      <c r="AZ239" t="s">
        <v>1055</v>
      </c>
      <c r="BA239" t="s">
        <v>1679</v>
      </c>
      <c r="BB239">
        <v>304</v>
      </c>
      <c r="BC239" t="s">
        <v>1672</v>
      </c>
      <c r="BD239" t="s">
        <v>311</v>
      </c>
      <c r="BE239" t="s">
        <v>1880</v>
      </c>
      <c r="BF239">
        <v>1.54355400696864</v>
      </c>
      <c r="BG239">
        <v>0.64808362369338002</v>
      </c>
      <c r="BH239">
        <v>0.184668989547038</v>
      </c>
      <c r="BI239">
        <v>6.2717770034842996E-2</v>
      </c>
      <c r="BJ239" t="s">
        <v>311</v>
      </c>
      <c r="BK239" t="s">
        <v>311</v>
      </c>
      <c r="BL239" t="s">
        <v>311</v>
      </c>
      <c r="BM239" t="s">
        <v>311</v>
      </c>
      <c r="BN239" t="s">
        <v>311</v>
      </c>
      <c r="BO239" t="s">
        <v>311</v>
      </c>
      <c r="BP239" t="s">
        <v>311</v>
      </c>
      <c r="BQ239" t="s">
        <v>311</v>
      </c>
      <c r="BR239" t="s">
        <v>311</v>
      </c>
      <c r="BS239" t="s">
        <v>311</v>
      </c>
      <c r="BT239">
        <v>1.54355400696864</v>
      </c>
      <c r="BU239">
        <v>0.64808362369338002</v>
      </c>
      <c r="BV239">
        <v>0.184668989547038</v>
      </c>
      <c r="BW239">
        <v>6.2717770034842996E-2</v>
      </c>
      <c r="BX239" s="6" t="s">
        <v>1127</v>
      </c>
      <c r="BY239" s="6" t="s">
        <v>1200</v>
      </c>
      <c r="BZ239">
        <v>3.4000000000000002E-2</v>
      </c>
      <c r="CA239">
        <v>30</v>
      </c>
      <c r="CB239" t="s">
        <v>1209</v>
      </c>
      <c r="CC239" t="s">
        <v>1210</v>
      </c>
      <c r="CD239" t="s">
        <v>311</v>
      </c>
      <c r="CE239" t="s">
        <v>311</v>
      </c>
      <c r="CF239" t="s">
        <v>311</v>
      </c>
      <c r="CG239" t="s">
        <v>1236</v>
      </c>
      <c r="CH239">
        <v>2008</v>
      </c>
      <c r="CI239">
        <v>0</v>
      </c>
      <c r="CJ239" s="38">
        <v>0.103736263736263</v>
      </c>
      <c r="CK239" s="38">
        <v>1.8021978021978E-2</v>
      </c>
      <c r="CL239" s="38" t="s">
        <v>311</v>
      </c>
      <c r="CM239" s="38" t="s">
        <v>311</v>
      </c>
      <c r="CN239" s="38" t="s">
        <v>311</v>
      </c>
      <c r="CO239" s="38" t="s">
        <v>311</v>
      </c>
      <c r="CP239" s="38" t="s">
        <v>311</v>
      </c>
      <c r="CQ239" t="s">
        <v>1733</v>
      </c>
      <c r="CR239" t="s">
        <v>1339</v>
      </c>
    </row>
    <row r="240" spans="1:96">
      <c r="A240">
        <v>239</v>
      </c>
      <c r="B240">
        <v>35</v>
      </c>
      <c r="C240">
        <v>2</v>
      </c>
      <c r="D240" t="s">
        <v>1033</v>
      </c>
      <c r="E240" t="s">
        <v>1034</v>
      </c>
      <c r="F240" t="s">
        <v>20</v>
      </c>
      <c r="G240">
        <v>2020</v>
      </c>
      <c r="H240" t="s">
        <v>1038</v>
      </c>
      <c r="I240" t="s">
        <v>1039</v>
      </c>
      <c r="J240">
        <v>26.266970000000001</v>
      </c>
      <c r="K240">
        <v>-76.94126</v>
      </c>
      <c r="L240" t="s">
        <v>358</v>
      </c>
      <c r="M240" t="s">
        <v>364</v>
      </c>
      <c r="N240" t="s">
        <v>531</v>
      </c>
      <c r="O240" t="s">
        <v>532</v>
      </c>
      <c r="P240" t="s">
        <v>693</v>
      </c>
      <c r="Q240" t="s">
        <v>419</v>
      </c>
      <c r="R240" t="s">
        <v>550</v>
      </c>
      <c r="S240" t="s">
        <v>717</v>
      </c>
      <c r="T240" t="s">
        <v>331</v>
      </c>
      <c r="U240">
        <v>2</v>
      </c>
      <c r="V240" t="s">
        <v>311</v>
      </c>
      <c r="W240" t="s">
        <v>1040</v>
      </c>
      <c r="X240" t="s">
        <v>340</v>
      </c>
      <c r="Y240" t="s">
        <v>311</v>
      </c>
      <c r="Z240" t="s">
        <v>302</v>
      </c>
      <c r="AA240" t="s">
        <v>303</v>
      </c>
      <c r="AB240" t="s">
        <v>311</v>
      </c>
      <c r="AC240" t="s">
        <v>311</v>
      </c>
      <c r="AD240" t="s">
        <v>292</v>
      </c>
      <c r="AE240" t="s">
        <v>1042</v>
      </c>
      <c r="AF240" t="s">
        <v>304</v>
      </c>
      <c r="AH240" t="s">
        <v>305</v>
      </c>
      <c r="AI240" t="s">
        <v>1043</v>
      </c>
      <c r="AJ240" t="s">
        <v>1044</v>
      </c>
      <c r="AK240" t="s">
        <v>718</v>
      </c>
      <c r="AL240" t="s">
        <v>1045</v>
      </c>
      <c r="AM240" t="s">
        <v>1059</v>
      </c>
      <c r="AN240" t="s">
        <v>583</v>
      </c>
      <c r="AO240" t="s">
        <v>1286</v>
      </c>
      <c r="AP240" t="s">
        <v>614</v>
      </c>
      <c r="AQ240" t="s">
        <v>887</v>
      </c>
      <c r="AR240">
        <v>0.50125969999999997</v>
      </c>
      <c r="AS240" t="s">
        <v>311</v>
      </c>
      <c r="AT240">
        <v>4.4934149999999999E-2</v>
      </c>
      <c r="AU240">
        <v>14</v>
      </c>
      <c r="AV240">
        <v>0.3885729</v>
      </c>
      <c r="AW240" t="s">
        <v>311</v>
      </c>
      <c r="AX240">
        <v>0.16197868000000001</v>
      </c>
      <c r="AY240">
        <v>15</v>
      </c>
      <c r="AZ240" t="s">
        <v>1055</v>
      </c>
      <c r="BA240" t="s">
        <v>1679</v>
      </c>
      <c r="BB240">
        <v>304</v>
      </c>
      <c r="BC240" t="s">
        <v>1672</v>
      </c>
      <c r="BD240" t="s">
        <v>311</v>
      </c>
      <c r="BE240" t="s">
        <v>1880</v>
      </c>
      <c r="BF240">
        <v>1.54355400696864</v>
      </c>
      <c r="BG240">
        <v>0.64808362369338002</v>
      </c>
      <c r="BH240">
        <v>0.184668989547038</v>
      </c>
      <c r="BI240">
        <v>6.2717770034842996E-2</v>
      </c>
      <c r="BJ240" t="s">
        <v>311</v>
      </c>
      <c r="BK240" t="s">
        <v>311</v>
      </c>
      <c r="BL240" t="s">
        <v>311</v>
      </c>
      <c r="BM240" t="s">
        <v>311</v>
      </c>
      <c r="BN240" t="s">
        <v>311</v>
      </c>
      <c r="BO240" t="s">
        <v>311</v>
      </c>
      <c r="BP240" t="s">
        <v>311</v>
      </c>
      <c r="BQ240" t="s">
        <v>311</v>
      </c>
      <c r="BR240" t="s">
        <v>311</v>
      </c>
      <c r="BS240" t="s">
        <v>311</v>
      </c>
      <c r="BT240">
        <v>1.54355400696864</v>
      </c>
      <c r="BU240">
        <v>0.64808362369338002</v>
      </c>
      <c r="BV240">
        <v>0.184668989547038</v>
      </c>
      <c r="BW240">
        <v>6.2717770034842996E-2</v>
      </c>
      <c r="BX240" s="6" t="s">
        <v>1127</v>
      </c>
      <c r="BY240" s="6" t="s">
        <v>1200</v>
      </c>
      <c r="BZ240">
        <v>3.4000000000000002E-2</v>
      </c>
      <c r="CA240">
        <v>30</v>
      </c>
      <c r="CB240" t="s">
        <v>1209</v>
      </c>
      <c r="CC240" t="s">
        <v>1210</v>
      </c>
      <c r="CD240" t="s">
        <v>311</v>
      </c>
      <c r="CE240" t="s">
        <v>311</v>
      </c>
      <c r="CF240" t="s">
        <v>311</v>
      </c>
      <c r="CG240" t="s">
        <v>1236</v>
      </c>
      <c r="CH240">
        <v>2008</v>
      </c>
      <c r="CI240">
        <v>0</v>
      </c>
      <c r="CJ240" s="38">
        <v>0.103736263736263</v>
      </c>
      <c r="CK240" s="38">
        <v>1.8021978021978E-2</v>
      </c>
      <c r="CL240" s="38" t="s">
        <v>311</v>
      </c>
      <c r="CM240" s="38" t="s">
        <v>311</v>
      </c>
      <c r="CN240" s="38" t="s">
        <v>311</v>
      </c>
      <c r="CO240" s="38" t="s">
        <v>311</v>
      </c>
      <c r="CP240" s="38" t="s">
        <v>311</v>
      </c>
      <c r="CQ240" t="s">
        <v>1733</v>
      </c>
      <c r="CR240" t="s">
        <v>1197</v>
      </c>
    </row>
    <row r="241" spans="1:96">
      <c r="A241">
        <v>240</v>
      </c>
      <c r="B241">
        <v>35</v>
      </c>
      <c r="C241">
        <v>3</v>
      </c>
      <c r="D241" t="s">
        <v>1033</v>
      </c>
      <c r="E241" t="s">
        <v>1034</v>
      </c>
      <c r="F241" t="s">
        <v>20</v>
      </c>
      <c r="G241">
        <v>2020</v>
      </c>
      <c r="H241" t="s">
        <v>1038</v>
      </c>
      <c r="I241" t="s">
        <v>1039</v>
      </c>
      <c r="J241">
        <v>26.266970000000001</v>
      </c>
      <c r="K241">
        <v>-76.94126</v>
      </c>
      <c r="L241" t="s">
        <v>358</v>
      </c>
      <c r="M241" t="s">
        <v>364</v>
      </c>
      <c r="N241" t="s">
        <v>531</v>
      </c>
      <c r="O241" t="s">
        <v>532</v>
      </c>
      <c r="P241" t="s">
        <v>693</v>
      </c>
      <c r="Q241" t="s">
        <v>419</v>
      </c>
      <c r="R241" t="s">
        <v>550</v>
      </c>
      <c r="S241" t="s">
        <v>717</v>
      </c>
      <c r="T241" t="s">
        <v>331</v>
      </c>
      <c r="U241">
        <v>2</v>
      </c>
      <c r="V241" t="s">
        <v>311</v>
      </c>
      <c r="W241" t="s">
        <v>1040</v>
      </c>
      <c r="X241" t="s">
        <v>340</v>
      </c>
      <c r="Y241" t="s">
        <v>311</v>
      </c>
      <c r="Z241" t="s">
        <v>302</v>
      </c>
      <c r="AA241" t="s">
        <v>303</v>
      </c>
      <c r="AB241" t="s">
        <v>311</v>
      </c>
      <c r="AC241" t="s">
        <v>311</v>
      </c>
      <c r="AD241" t="s">
        <v>340</v>
      </c>
      <c r="AE241" t="s">
        <v>311</v>
      </c>
      <c r="AF241" t="s">
        <v>802</v>
      </c>
      <c r="AH241" t="s">
        <v>820</v>
      </c>
      <c r="AI241" t="s">
        <v>311</v>
      </c>
      <c r="AJ241" t="s">
        <v>311</v>
      </c>
      <c r="AK241" t="s">
        <v>663</v>
      </c>
      <c r="AL241" t="s">
        <v>1045</v>
      </c>
      <c r="AM241" t="s">
        <v>1059</v>
      </c>
      <c r="AN241" t="s">
        <v>584</v>
      </c>
      <c r="AO241" t="s">
        <v>345</v>
      </c>
      <c r="AP241" t="s">
        <v>887</v>
      </c>
      <c r="AQ241" t="s">
        <v>887</v>
      </c>
      <c r="AR241" s="15">
        <v>1053326</v>
      </c>
      <c r="AS241" t="s">
        <v>311</v>
      </c>
      <c r="AT241" s="15">
        <v>402967.5</v>
      </c>
      <c r="AU241" s="15">
        <v>12</v>
      </c>
      <c r="AV241" s="15">
        <v>1012864</v>
      </c>
      <c r="AW241" t="s">
        <v>311</v>
      </c>
      <c r="AX241" s="15">
        <v>678594.6</v>
      </c>
      <c r="AY241" s="15">
        <v>10</v>
      </c>
      <c r="AZ241" t="s">
        <v>1677</v>
      </c>
      <c r="BA241" t="s">
        <v>1679</v>
      </c>
      <c r="BB241">
        <v>304</v>
      </c>
      <c r="BC241" t="s">
        <v>1672</v>
      </c>
      <c r="BD241" t="s">
        <v>311</v>
      </c>
      <c r="BE241" t="s">
        <v>1881</v>
      </c>
      <c r="BF241">
        <v>1.54355400696864</v>
      </c>
      <c r="BG241">
        <v>0.64808362369338002</v>
      </c>
      <c r="BH241">
        <v>0.184668989547038</v>
      </c>
      <c r="BI241">
        <v>6.2717770034842996E-2</v>
      </c>
      <c r="BJ241" t="s">
        <v>311</v>
      </c>
      <c r="BK241" t="s">
        <v>311</v>
      </c>
      <c r="BL241" t="s">
        <v>311</v>
      </c>
      <c r="BM241" t="s">
        <v>311</v>
      </c>
      <c r="BN241" t="s">
        <v>311</v>
      </c>
      <c r="BO241" t="s">
        <v>311</v>
      </c>
      <c r="BP241" t="s">
        <v>311</v>
      </c>
      <c r="BQ241" t="s">
        <v>311</v>
      </c>
      <c r="BR241" t="s">
        <v>311</v>
      </c>
      <c r="BS241" t="s">
        <v>311</v>
      </c>
      <c r="BT241">
        <v>1.54355400696864</v>
      </c>
      <c r="BU241">
        <v>0.64808362369338002</v>
      </c>
      <c r="BV241">
        <v>0.184668989547038</v>
      </c>
      <c r="BW241">
        <v>6.2717770034842996E-2</v>
      </c>
      <c r="BX241" s="6" t="s">
        <v>1127</v>
      </c>
      <c r="BY241" s="6" t="s">
        <v>1200</v>
      </c>
      <c r="BZ241">
        <v>3.4000000000000002E-2</v>
      </c>
      <c r="CA241" s="15">
        <v>30</v>
      </c>
      <c r="CB241" s="15" t="s">
        <v>1209</v>
      </c>
      <c r="CC241" s="15" t="s">
        <v>1210</v>
      </c>
      <c r="CD241" t="s">
        <v>311</v>
      </c>
      <c r="CE241" t="s">
        <v>311</v>
      </c>
      <c r="CF241" t="s">
        <v>311</v>
      </c>
      <c r="CG241" t="s">
        <v>1236</v>
      </c>
      <c r="CH241">
        <v>2008</v>
      </c>
      <c r="CI241">
        <v>0</v>
      </c>
      <c r="CJ241" s="38">
        <v>0.103736263736263</v>
      </c>
      <c r="CK241" s="38">
        <v>1.8021978021978E-2</v>
      </c>
      <c r="CL241" s="38" t="s">
        <v>311</v>
      </c>
      <c r="CM241" s="38" t="s">
        <v>311</v>
      </c>
      <c r="CN241" s="38" t="s">
        <v>311</v>
      </c>
      <c r="CO241" s="38" t="s">
        <v>311</v>
      </c>
      <c r="CP241" s="40" t="s">
        <v>311</v>
      </c>
      <c r="CQ241" t="s">
        <v>1734</v>
      </c>
      <c r="CR241" t="s">
        <v>1625</v>
      </c>
    </row>
    <row r="242" spans="1:96">
      <c r="A242">
        <v>241</v>
      </c>
      <c r="B242">
        <v>35</v>
      </c>
      <c r="C242">
        <v>4</v>
      </c>
      <c r="D242" t="s">
        <v>1033</v>
      </c>
      <c r="E242" t="s">
        <v>1034</v>
      </c>
      <c r="F242" t="s">
        <v>20</v>
      </c>
      <c r="G242">
        <v>2020</v>
      </c>
      <c r="H242" t="s">
        <v>1038</v>
      </c>
      <c r="I242" t="s">
        <v>1039</v>
      </c>
      <c r="J242">
        <v>26.266970000000001</v>
      </c>
      <c r="K242">
        <v>-76.94126</v>
      </c>
      <c r="L242" t="s">
        <v>358</v>
      </c>
      <c r="M242" t="s">
        <v>364</v>
      </c>
      <c r="N242" t="s">
        <v>531</v>
      </c>
      <c r="O242" t="s">
        <v>532</v>
      </c>
      <c r="P242" t="s">
        <v>693</v>
      </c>
      <c r="Q242" t="s">
        <v>419</v>
      </c>
      <c r="R242" t="s">
        <v>550</v>
      </c>
      <c r="S242" t="s">
        <v>717</v>
      </c>
      <c r="T242" t="s">
        <v>331</v>
      </c>
      <c r="U242">
        <v>2</v>
      </c>
      <c r="V242" t="s">
        <v>311</v>
      </c>
      <c r="W242" t="s">
        <v>1040</v>
      </c>
      <c r="X242" t="s">
        <v>340</v>
      </c>
      <c r="Y242" t="s">
        <v>311</v>
      </c>
      <c r="Z242" t="s">
        <v>302</v>
      </c>
      <c r="AA242" t="s">
        <v>303</v>
      </c>
      <c r="AB242" t="s">
        <v>311</v>
      </c>
      <c r="AC242" t="s">
        <v>311</v>
      </c>
      <c r="AD242" t="s">
        <v>340</v>
      </c>
      <c r="AE242" t="s">
        <v>311</v>
      </c>
      <c r="AF242" t="s">
        <v>802</v>
      </c>
      <c r="AH242" t="s">
        <v>820</v>
      </c>
      <c r="AI242" t="s">
        <v>311</v>
      </c>
      <c r="AJ242" t="s">
        <v>311</v>
      </c>
      <c r="AK242" t="s">
        <v>663</v>
      </c>
      <c r="AL242" t="s">
        <v>1045</v>
      </c>
      <c r="AM242" t="s">
        <v>1059</v>
      </c>
      <c r="AN242" t="s">
        <v>584</v>
      </c>
      <c r="AO242" t="s">
        <v>345</v>
      </c>
      <c r="AP242" t="s">
        <v>887</v>
      </c>
      <c r="AQ242" t="s">
        <v>887</v>
      </c>
      <c r="AR242" s="15">
        <v>1579943</v>
      </c>
      <c r="AS242" t="s">
        <v>311</v>
      </c>
      <c r="AT242" s="15">
        <v>796151.8</v>
      </c>
      <c r="AU242">
        <v>14</v>
      </c>
      <c r="AV242" s="15">
        <v>1283973</v>
      </c>
      <c r="AW242" t="s">
        <v>311</v>
      </c>
      <c r="AX242" s="15">
        <v>613608</v>
      </c>
      <c r="AY242">
        <v>15</v>
      </c>
      <c r="AZ242" t="s">
        <v>1677</v>
      </c>
      <c r="BA242" t="s">
        <v>1679</v>
      </c>
      <c r="BB242">
        <v>304</v>
      </c>
      <c r="BC242" t="s">
        <v>1672</v>
      </c>
      <c r="BD242" t="s">
        <v>311</v>
      </c>
      <c r="BE242" t="s">
        <v>1881</v>
      </c>
      <c r="BF242">
        <v>1.54355400696864</v>
      </c>
      <c r="BG242">
        <v>0.64808362369338002</v>
      </c>
      <c r="BH242">
        <v>0.184668989547038</v>
      </c>
      <c r="BI242">
        <v>6.2717770034842996E-2</v>
      </c>
      <c r="BJ242" t="s">
        <v>311</v>
      </c>
      <c r="BK242" t="s">
        <v>311</v>
      </c>
      <c r="BL242" t="s">
        <v>311</v>
      </c>
      <c r="BM242" t="s">
        <v>311</v>
      </c>
      <c r="BN242" t="s">
        <v>311</v>
      </c>
      <c r="BO242" t="s">
        <v>311</v>
      </c>
      <c r="BP242" t="s">
        <v>311</v>
      </c>
      <c r="BQ242" t="s">
        <v>311</v>
      </c>
      <c r="BR242" t="s">
        <v>311</v>
      </c>
      <c r="BS242" t="s">
        <v>311</v>
      </c>
      <c r="BT242">
        <v>1.54355400696864</v>
      </c>
      <c r="BU242">
        <v>0.64808362369338002</v>
      </c>
      <c r="BV242">
        <v>0.184668989547038</v>
      </c>
      <c r="BW242">
        <v>6.2717770034842996E-2</v>
      </c>
      <c r="BX242" s="6" t="s">
        <v>1127</v>
      </c>
      <c r="BY242" s="6" t="s">
        <v>1200</v>
      </c>
      <c r="BZ242">
        <v>3.4000000000000002E-2</v>
      </c>
      <c r="CA242">
        <v>30</v>
      </c>
      <c r="CB242" t="s">
        <v>1209</v>
      </c>
      <c r="CC242" t="s">
        <v>1210</v>
      </c>
      <c r="CD242" t="s">
        <v>311</v>
      </c>
      <c r="CE242" t="s">
        <v>311</v>
      </c>
      <c r="CF242" t="s">
        <v>311</v>
      </c>
      <c r="CG242" t="s">
        <v>1236</v>
      </c>
      <c r="CH242">
        <v>2008</v>
      </c>
      <c r="CI242">
        <v>0</v>
      </c>
      <c r="CJ242" s="38">
        <v>0.103736263736263</v>
      </c>
      <c r="CK242" s="38">
        <v>1.8021978021978E-2</v>
      </c>
      <c r="CL242" s="38" t="s">
        <v>311</v>
      </c>
      <c r="CM242" s="38" t="s">
        <v>311</v>
      </c>
      <c r="CN242" s="38" t="s">
        <v>311</v>
      </c>
      <c r="CO242" s="38" t="s">
        <v>311</v>
      </c>
      <c r="CP242" s="38" t="s">
        <v>311</v>
      </c>
      <c r="CQ242" t="s">
        <v>1735</v>
      </c>
      <c r="CR242" t="s">
        <v>1626</v>
      </c>
    </row>
    <row r="243" spans="1:96" s="27" customFormat="1">
      <c r="A243">
        <v>242</v>
      </c>
      <c r="B243" s="27">
        <v>36</v>
      </c>
      <c r="C243" s="27">
        <v>1</v>
      </c>
      <c r="D243" s="27" t="s">
        <v>1047</v>
      </c>
      <c r="E243" s="27" t="s">
        <v>1048</v>
      </c>
      <c r="F243" s="27" t="s">
        <v>29</v>
      </c>
      <c r="G243" s="27">
        <v>2021</v>
      </c>
      <c r="H243" s="27" t="s">
        <v>1341</v>
      </c>
      <c r="I243" s="27" t="s">
        <v>1342</v>
      </c>
      <c r="J243" s="27">
        <v>34.697561999999998</v>
      </c>
      <c r="K243" s="27">
        <v>-76.589178000000004</v>
      </c>
      <c r="L243" s="27" t="s">
        <v>361</v>
      </c>
      <c r="M243" s="27" t="s">
        <v>1049</v>
      </c>
      <c r="N243" s="27" t="s">
        <v>531</v>
      </c>
      <c r="O243" s="27" t="s">
        <v>532</v>
      </c>
      <c r="P243" s="27" t="s">
        <v>693</v>
      </c>
      <c r="Q243" s="27" t="s">
        <v>333</v>
      </c>
      <c r="R243" s="27" t="s">
        <v>1050</v>
      </c>
      <c r="S243" s="27" t="s">
        <v>311</v>
      </c>
      <c r="T243" s="27" t="s">
        <v>331</v>
      </c>
      <c r="U243" s="27">
        <v>4</v>
      </c>
      <c r="V243" s="27" t="s">
        <v>559</v>
      </c>
      <c r="W243" s="27">
        <v>2018</v>
      </c>
      <c r="X243" s="27" t="s">
        <v>292</v>
      </c>
      <c r="Y243" s="27" t="s">
        <v>685</v>
      </c>
      <c r="Z243" s="27" t="s">
        <v>537</v>
      </c>
      <c r="AA243" s="27" t="s">
        <v>538</v>
      </c>
      <c r="AB243" s="27" t="s">
        <v>686</v>
      </c>
      <c r="AC243" s="27" t="s">
        <v>687</v>
      </c>
      <c r="AD243" s="27" t="s">
        <v>292</v>
      </c>
      <c r="AE243" s="27" t="s">
        <v>618</v>
      </c>
      <c r="AF243" s="27" t="s">
        <v>552</v>
      </c>
      <c r="AH243" s="27" t="s">
        <v>555</v>
      </c>
      <c r="AI243" s="27" t="s">
        <v>619</v>
      </c>
      <c r="AJ243" s="27" t="s">
        <v>620</v>
      </c>
      <c r="AK243" s="27" t="s">
        <v>821</v>
      </c>
      <c r="AL243" s="27" t="s">
        <v>357</v>
      </c>
      <c r="AM243" s="27" t="s">
        <v>1059</v>
      </c>
      <c r="AN243" s="27" t="s">
        <v>1279</v>
      </c>
      <c r="AO243" s="27" t="s">
        <v>870</v>
      </c>
      <c r="AP243" s="27" t="s">
        <v>614</v>
      </c>
      <c r="AQ243" s="27" t="s">
        <v>887</v>
      </c>
      <c r="AR243" s="27">
        <v>510.63829787233999</v>
      </c>
      <c r="AS243" s="27">
        <v>129.255319148936</v>
      </c>
      <c r="AT243" s="27" t="s">
        <v>311</v>
      </c>
      <c r="AU243" s="27">
        <v>5</v>
      </c>
      <c r="AV243" s="27">
        <v>0</v>
      </c>
      <c r="AW243" s="27">
        <v>51.063829787233999</v>
      </c>
      <c r="AX243" s="27" t="s">
        <v>311</v>
      </c>
      <c r="AY243" s="27">
        <v>5</v>
      </c>
      <c r="AZ243" s="27" t="s">
        <v>1677</v>
      </c>
      <c r="BA243" s="27" t="s">
        <v>1679</v>
      </c>
      <c r="BB243">
        <v>181</v>
      </c>
      <c r="BC243" s="27" t="s">
        <v>1672</v>
      </c>
      <c r="BD243" s="27" t="s">
        <v>311</v>
      </c>
      <c r="BE243" s="27" t="s">
        <v>1880</v>
      </c>
      <c r="BF243" s="27" t="s">
        <v>311</v>
      </c>
      <c r="BG243" s="27" t="s">
        <v>311</v>
      </c>
      <c r="BH243" s="27" t="s">
        <v>311</v>
      </c>
      <c r="BI243" s="27" t="s">
        <v>311</v>
      </c>
      <c r="BJ243" s="27" t="s">
        <v>311</v>
      </c>
      <c r="BK243" s="27" t="s">
        <v>311</v>
      </c>
      <c r="BL243" s="27" t="s">
        <v>311</v>
      </c>
      <c r="BM243" s="27" t="s">
        <v>311</v>
      </c>
      <c r="BN243" s="27" t="s">
        <v>311</v>
      </c>
      <c r="BO243" s="27" t="s">
        <v>311</v>
      </c>
      <c r="BP243" s="27" t="s">
        <v>311</v>
      </c>
      <c r="BQ243" s="27" t="s">
        <v>311</v>
      </c>
      <c r="BR243" s="27" t="s">
        <v>311</v>
      </c>
      <c r="BS243" s="27" t="s">
        <v>311</v>
      </c>
      <c r="BT243" s="27" t="s">
        <v>311</v>
      </c>
      <c r="BU243" s="27" t="s">
        <v>311</v>
      </c>
      <c r="BV243" s="27" t="s">
        <v>311</v>
      </c>
      <c r="BW243" s="27" t="s">
        <v>311</v>
      </c>
      <c r="BX243" s="27" t="s">
        <v>311</v>
      </c>
      <c r="BY243" s="27" t="s">
        <v>311</v>
      </c>
      <c r="BZ243" s="27">
        <v>4.1000000000000002E-2</v>
      </c>
      <c r="CA243" s="27">
        <v>25</v>
      </c>
      <c r="CB243" s="27" t="s">
        <v>1210</v>
      </c>
      <c r="CC243" s="27" t="s">
        <v>1210</v>
      </c>
      <c r="CD243" s="27" t="s">
        <v>1340</v>
      </c>
      <c r="CE243" s="27" t="s">
        <v>1343</v>
      </c>
      <c r="CF243" s="27">
        <v>0</v>
      </c>
      <c r="CG243" s="27" t="s">
        <v>1344</v>
      </c>
      <c r="CH243" s="27" t="s">
        <v>1345</v>
      </c>
      <c r="CI243" s="27">
        <v>30</v>
      </c>
      <c r="CJ243" s="38" t="s">
        <v>311</v>
      </c>
      <c r="CK243" s="38" t="s">
        <v>311</v>
      </c>
      <c r="CL243" s="38" t="s">
        <v>311</v>
      </c>
      <c r="CM243" s="38" t="s">
        <v>311</v>
      </c>
      <c r="CN243" s="38" t="s">
        <v>311</v>
      </c>
      <c r="CO243" s="38" t="s">
        <v>311</v>
      </c>
      <c r="CP243" s="38" t="s">
        <v>311</v>
      </c>
      <c r="CQ243" s="27" t="s">
        <v>1843</v>
      </c>
      <c r="CR243" s="27" t="s">
        <v>1179</v>
      </c>
    </row>
    <row r="244" spans="1:96" s="25" customFormat="1">
      <c r="A244">
        <v>243</v>
      </c>
      <c r="B244" s="25">
        <v>36</v>
      </c>
      <c r="C244" s="25">
        <v>2</v>
      </c>
      <c r="D244" s="25" t="s">
        <v>1047</v>
      </c>
      <c r="E244" s="25" t="s">
        <v>1048</v>
      </c>
      <c r="F244" s="25" t="s">
        <v>29</v>
      </c>
      <c r="G244" s="25">
        <v>2021</v>
      </c>
      <c r="H244" s="25" t="s">
        <v>1341</v>
      </c>
      <c r="I244" s="25" t="s">
        <v>1342</v>
      </c>
      <c r="J244" s="25">
        <v>34.697561999999998</v>
      </c>
      <c r="K244" s="25">
        <v>-76.589178000000004</v>
      </c>
      <c r="L244" s="25" t="s">
        <v>361</v>
      </c>
      <c r="M244" s="25" t="s">
        <v>1049</v>
      </c>
      <c r="N244" s="25" t="s">
        <v>531</v>
      </c>
      <c r="O244" s="25" t="s">
        <v>532</v>
      </c>
      <c r="P244" s="25" t="s">
        <v>693</v>
      </c>
      <c r="Q244" s="25" t="s">
        <v>333</v>
      </c>
      <c r="R244" s="25" t="s">
        <v>1050</v>
      </c>
      <c r="S244" s="25" t="s">
        <v>311</v>
      </c>
      <c r="T244" s="25" t="s">
        <v>331</v>
      </c>
      <c r="U244" s="25">
        <v>4</v>
      </c>
      <c r="V244" s="25" t="s">
        <v>559</v>
      </c>
      <c r="W244" s="25">
        <v>2018</v>
      </c>
      <c r="X244" s="25" t="s">
        <v>292</v>
      </c>
      <c r="Y244" s="25" t="s">
        <v>685</v>
      </c>
      <c r="Z244" s="25" t="s">
        <v>537</v>
      </c>
      <c r="AA244" s="25" t="s">
        <v>538</v>
      </c>
      <c r="AB244" s="25" t="s">
        <v>686</v>
      </c>
      <c r="AC244" s="25" t="s">
        <v>687</v>
      </c>
      <c r="AD244" s="25" t="s">
        <v>292</v>
      </c>
      <c r="AE244" s="25" t="s">
        <v>618</v>
      </c>
      <c r="AF244" s="25" t="s">
        <v>552</v>
      </c>
      <c r="AH244" s="25" t="s">
        <v>555</v>
      </c>
      <c r="AI244" s="25" t="s">
        <v>619</v>
      </c>
      <c r="AJ244" s="25" t="s">
        <v>620</v>
      </c>
      <c r="AK244" s="25" t="s">
        <v>1571</v>
      </c>
      <c r="AL244" s="25" t="s">
        <v>357</v>
      </c>
      <c r="AM244" s="25" t="s">
        <v>1059</v>
      </c>
      <c r="AN244" s="25" t="s">
        <v>1291</v>
      </c>
      <c r="AO244" s="25" t="s">
        <v>606</v>
      </c>
      <c r="AP244" s="25" t="s">
        <v>614</v>
      </c>
      <c r="AQ244" s="25" t="s">
        <v>887</v>
      </c>
      <c r="AR244" s="25">
        <v>3.1043478260869501</v>
      </c>
      <c r="AS244" s="25">
        <v>0.66521739130434998</v>
      </c>
      <c r="AT244" s="25" t="s">
        <v>311</v>
      </c>
      <c r="AU244" s="25">
        <v>5</v>
      </c>
      <c r="AV244" s="25">
        <v>0.36521739130434699</v>
      </c>
      <c r="AW244" s="25">
        <v>0.208695652173913</v>
      </c>
      <c r="AX244" s="25" t="s">
        <v>311</v>
      </c>
      <c r="AY244" s="25">
        <v>5</v>
      </c>
      <c r="AZ244" s="25" t="s">
        <v>1677</v>
      </c>
      <c r="BA244" s="25" t="s">
        <v>1679</v>
      </c>
      <c r="BB244">
        <v>181</v>
      </c>
      <c r="BC244" s="25" t="s">
        <v>1672</v>
      </c>
      <c r="BD244" s="25" t="s">
        <v>311</v>
      </c>
      <c r="BE244" s="25" t="s">
        <v>1880</v>
      </c>
      <c r="BF244" s="25" t="s">
        <v>311</v>
      </c>
      <c r="BG244" s="25" t="s">
        <v>311</v>
      </c>
      <c r="BH244" s="25" t="s">
        <v>311</v>
      </c>
      <c r="BI244" s="25" t="s">
        <v>311</v>
      </c>
      <c r="BJ244" s="25" t="s">
        <v>311</v>
      </c>
      <c r="BK244" s="25" t="s">
        <v>311</v>
      </c>
      <c r="BL244" s="25" t="s">
        <v>311</v>
      </c>
      <c r="BM244" s="25" t="s">
        <v>311</v>
      </c>
      <c r="BN244" s="25" t="s">
        <v>311</v>
      </c>
      <c r="BO244" s="25" t="s">
        <v>311</v>
      </c>
      <c r="BP244" s="25" t="s">
        <v>311</v>
      </c>
      <c r="BQ244" s="25" t="s">
        <v>311</v>
      </c>
      <c r="BR244" s="25" t="s">
        <v>311</v>
      </c>
      <c r="BS244" s="25" t="s">
        <v>311</v>
      </c>
      <c r="BT244" s="25" t="s">
        <v>311</v>
      </c>
      <c r="BU244" s="25" t="s">
        <v>311</v>
      </c>
      <c r="BV244" s="25" t="s">
        <v>311</v>
      </c>
      <c r="BW244" s="25" t="s">
        <v>311</v>
      </c>
      <c r="BX244" s="25" t="s">
        <v>311</v>
      </c>
      <c r="BY244" s="25" t="s">
        <v>311</v>
      </c>
      <c r="BZ244" s="25">
        <v>4.1000000000000002E-2</v>
      </c>
      <c r="CA244" s="25">
        <v>25</v>
      </c>
      <c r="CB244" s="25" t="s">
        <v>1210</v>
      </c>
      <c r="CC244" s="25" t="s">
        <v>1210</v>
      </c>
      <c r="CD244" s="25" t="s">
        <v>1340</v>
      </c>
      <c r="CE244" s="25" t="s">
        <v>1343</v>
      </c>
      <c r="CF244" s="25">
        <v>0</v>
      </c>
      <c r="CG244" s="25" t="s">
        <v>1344</v>
      </c>
      <c r="CH244" s="25" t="s">
        <v>1345</v>
      </c>
      <c r="CI244" s="25">
        <v>30</v>
      </c>
      <c r="CJ244" s="38" t="s">
        <v>311</v>
      </c>
      <c r="CK244" s="38" t="s">
        <v>311</v>
      </c>
      <c r="CL244" s="38" t="s">
        <v>311</v>
      </c>
      <c r="CM244" s="38" t="s">
        <v>311</v>
      </c>
      <c r="CN244" s="38" t="s">
        <v>311</v>
      </c>
      <c r="CO244" s="38" t="s">
        <v>311</v>
      </c>
      <c r="CP244" s="38" t="s">
        <v>311</v>
      </c>
      <c r="CQ244" s="25" t="s">
        <v>1842</v>
      </c>
      <c r="CR244" s="25" t="s">
        <v>1841</v>
      </c>
    </row>
    <row r="245" spans="1:96" s="27" customFormat="1">
      <c r="A245">
        <v>244</v>
      </c>
      <c r="B245" s="27">
        <v>36</v>
      </c>
      <c r="C245" s="27">
        <v>3</v>
      </c>
      <c r="D245" s="27" t="s">
        <v>1047</v>
      </c>
      <c r="E245" s="27" t="s">
        <v>1048</v>
      </c>
      <c r="F245" s="27" t="s">
        <v>29</v>
      </c>
      <c r="G245" s="27">
        <v>2021</v>
      </c>
      <c r="H245" s="27" t="s">
        <v>1341</v>
      </c>
      <c r="I245" s="27" t="s">
        <v>1342</v>
      </c>
      <c r="J245" s="27">
        <v>34.697561999999998</v>
      </c>
      <c r="K245" s="27">
        <v>-76.589178000000004</v>
      </c>
      <c r="L245" s="27" t="s">
        <v>361</v>
      </c>
      <c r="M245" s="27" t="s">
        <v>1049</v>
      </c>
      <c r="N245" s="27" t="s">
        <v>531</v>
      </c>
      <c r="O245" s="27" t="s">
        <v>532</v>
      </c>
      <c r="P245" s="27" t="s">
        <v>693</v>
      </c>
      <c r="Q245" s="27" t="s">
        <v>333</v>
      </c>
      <c r="R245" s="27" t="s">
        <v>1050</v>
      </c>
      <c r="S245" s="27" t="s">
        <v>311</v>
      </c>
      <c r="T245" s="27" t="s">
        <v>331</v>
      </c>
      <c r="U245" s="27">
        <v>4</v>
      </c>
      <c r="V245" s="27" t="s">
        <v>535</v>
      </c>
      <c r="W245" s="27">
        <v>2018</v>
      </c>
      <c r="X245" s="27" t="s">
        <v>292</v>
      </c>
      <c r="Y245" s="27" t="s">
        <v>685</v>
      </c>
      <c r="Z245" s="27" t="s">
        <v>537</v>
      </c>
      <c r="AA245" s="27" t="s">
        <v>538</v>
      </c>
      <c r="AB245" s="27" t="s">
        <v>686</v>
      </c>
      <c r="AC245" s="27" t="s">
        <v>687</v>
      </c>
      <c r="AD245" s="27" t="s">
        <v>340</v>
      </c>
      <c r="AE245" s="27" t="s">
        <v>311</v>
      </c>
      <c r="AF245" s="27" t="s">
        <v>552</v>
      </c>
      <c r="AH245" s="27" t="s">
        <v>555</v>
      </c>
      <c r="AI245" s="27" t="s">
        <v>311</v>
      </c>
      <c r="AJ245" s="27" t="s">
        <v>311</v>
      </c>
      <c r="AK245" s="27" t="s">
        <v>1051</v>
      </c>
      <c r="AL245" s="27" t="s">
        <v>357</v>
      </c>
      <c r="AM245" s="27" t="s">
        <v>1059</v>
      </c>
      <c r="AN245" s="27" t="s">
        <v>1277</v>
      </c>
      <c r="AO245" s="27" t="s">
        <v>345</v>
      </c>
      <c r="AP245" s="27" t="s">
        <v>614</v>
      </c>
      <c r="AQ245" s="27" t="s">
        <v>887</v>
      </c>
      <c r="AR245" s="27">
        <v>8.2758620689655107</v>
      </c>
      <c r="AS245" s="27">
        <v>6.4367816091953891</v>
      </c>
      <c r="AT245" s="27" t="s">
        <v>311</v>
      </c>
      <c r="AU245" s="27">
        <v>7</v>
      </c>
      <c r="AV245" s="27">
        <v>6.8965517241379199</v>
      </c>
      <c r="AW245" s="27">
        <v>4.8275862068964805</v>
      </c>
      <c r="AX245" s="27" t="s">
        <v>311</v>
      </c>
      <c r="AY245" s="27">
        <v>7</v>
      </c>
      <c r="AZ245" s="27" t="s">
        <v>1677</v>
      </c>
      <c r="BA245" s="27" t="s">
        <v>1679</v>
      </c>
      <c r="BB245">
        <v>31</v>
      </c>
      <c r="BC245" s="27" t="s">
        <v>1672</v>
      </c>
      <c r="BD245" s="27" t="s">
        <v>311</v>
      </c>
      <c r="BE245" s="27" t="s">
        <v>1880</v>
      </c>
      <c r="BF245" s="27" t="s">
        <v>311</v>
      </c>
      <c r="BG245" s="27" t="s">
        <v>311</v>
      </c>
      <c r="BH245" s="27" t="s">
        <v>311</v>
      </c>
      <c r="BI245" s="27" t="s">
        <v>311</v>
      </c>
      <c r="BJ245" s="27" t="s">
        <v>311</v>
      </c>
      <c r="BK245" s="27" t="s">
        <v>311</v>
      </c>
      <c r="BL245" s="27" t="s">
        <v>311</v>
      </c>
      <c r="BM245" s="27" t="s">
        <v>311</v>
      </c>
      <c r="BN245" s="27" t="s">
        <v>311</v>
      </c>
      <c r="BO245" s="27" t="s">
        <v>311</v>
      </c>
      <c r="BP245" s="27" t="s">
        <v>311</v>
      </c>
      <c r="BQ245" s="27" t="s">
        <v>311</v>
      </c>
      <c r="BR245" s="27" t="s">
        <v>311</v>
      </c>
      <c r="BS245" s="27" t="s">
        <v>311</v>
      </c>
      <c r="BT245" s="27" t="s">
        <v>311</v>
      </c>
      <c r="BU245" s="27" t="s">
        <v>311</v>
      </c>
      <c r="BV245" s="27" t="s">
        <v>311</v>
      </c>
      <c r="BW245" s="27" t="s">
        <v>311</v>
      </c>
      <c r="BX245" s="27" t="s">
        <v>311</v>
      </c>
      <c r="BY245" s="27" t="s">
        <v>311</v>
      </c>
      <c r="BZ245" s="27">
        <v>4.1000000000000002E-2</v>
      </c>
      <c r="CA245" s="27">
        <v>25</v>
      </c>
      <c r="CB245" s="27" t="s">
        <v>1210</v>
      </c>
      <c r="CC245" s="27" t="s">
        <v>1210</v>
      </c>
      <c r="CD245" s="27" t="s">
        <v>1340</v>
      </c>
      <c r="CE245" s="27" t="s">
        <v>1343</v>
      </c>
      <c r="CF245" s="27">
        <v>0</v>
      </c>
      <c r="CG245" s="27" t="s">
        <v>1344</v>
      </c>
      <c r="CH245" s="27" t="s">
        <v>1345</v>
      </c>
      <c r="CI245" s="27">
        <v>30</v>
      </c>
      <c r="CJ245" s="38" t="s">
        <v>311</v>
      </c>
      <c r="CK245" s="38" t="s">
        <v>311</v>
      </c>
      <c r="CL245" s="38" t="s">
        <v>311</v>
      </c>
      <c r="CM245" s="38" t="s">
        <v>311</v>
      </c>
      <c r="CN245" s="38" t="s">
        <v>311</v>
      </c>
      <c r="CO245" s="38" t="s">
        <v>311</v>
      </c>
      <c r="CP245" s="38" t="s">
        <v>311</v>
      </c>
      <c r="CQ245" s="27" t="s">
        <v>1736</v>
      </c>
      <c r="CR245" s="27" t="s">
        <v>1177</v>
      </c>
    </row>
    <row r="246" spans="1:96" s="27" customFormat="1">
      <c r="A246">
        <v>245</v>
      </c>
      <c r="B246" s="27">
        <v>36</v>
      </c>
      <c r="C246" s="27">
        <v>4</v>
      </c>
      <c r="D246" s="27" t="s">
        <v>1047</v>
      </c>
      <c r="E246" s="27" t="s">
        <v>1048</v>
      </c>
      <c r="F246" s="27" t="s">
        <v>29</v>
      </c>
      <c r="G246" s="27">
        <v>2021</v>
      </c>
      <c r="H246" s="27" t="s">
        <v>1341</v>
      </c>
      <c r="I246" s="27" t="s">
        <v>1342</v>
      </c>
      <c r="J246" s="27">
        <v>34.697561999999998</v>
      </c>
      <c r="K246" s="27">
        <v>-76.589178000000004</v>
      </c>
      <c r="L246" s="27" t="s">
        <v>361</v>
      </c>
      <c r="M246" s="27" t="s">
        <v>1049</v>
      </c>
      <c r="N246" s="27" t="s">
        <v>531</v>
      </c>
      <c r="O246" s="27" t="s">
        <v>532</v>
      </c>
      <c r="P246" s="27" t="s">
        <v>693</v>
      </c>
      <c r="Q246" s="27" t="s">
        <v>333</v>
      </c>
      <c r="R246" s="27" t="s">
        <v>1050</v>
      </c>
      <c r="S246" s="27" t="s">
        <v>311</v>
      </c>
      <c r="T246" s="27" t="s">
        <v>331</v>
      </c>
      <c r="U246" s="27">
        <v>4</v>
      </c>
      <c r="V246" s="27" t="s">
        <v>535</v>
      </c>
      <c r="W246" s="27">
        <v>2018</v>
      </c>
      <c r="X246" s="27" t="s">
        <v>292</v>
      </c>
      <c r="Y246" s="27" t="s">
        <v>685</v>
      </c>
      <c r="Z246" s="27" t="s">
        <v>537</v>
      </c>
      <c r="AA246" s="27" t="s">
        <v>538</v>
      </c>
      <c r="AB246" s="27" t="s">
        <v>686</v>
      </c>
      <c r="AC246" s="27" t="s">
        <v>687</v>
      </c>
      <c r="AD246" s="27" t="s">
        <v>340</v>
      </c>
      <c r="AE246" s="27" t="s">
        <v>311</v>
      </c>
      <c r="AF246" s="27" t="s">
        <v>552</v>
      </c>
      <c r="AH246" s="27" t="s">
        <v>555</v>
      </c>
      <c r="AI246" s="27" t="s">
        <v>311</v>
      </c>
      <c r="AJ246" s="27" t="s">
        <v>311</v>
      </c>
      <c r="AK246" s="27" t="s">
        <v>1052</v>
      </c>
      <c r="AL246" s="27" t="s">
        <v>357</v>
      </c>
      <c r="AM246" s="27" t="s">
        <v>1059</v>
      </c>
      <c r="AN246" s="27" t="s">
        <v>1277</v>
      </c>
      <c r="AO246" s="27" t="s">
        <v>870</v>
      </c>
      <c r="AP246" s="27" t="s">
        <v>614</v>
      </c>
      <c r="AQ246" s="27" t="s">
        <v>887</v>
      </c>
      <c r="AR246" s="27">
        <v>23.4615384615384</v>
      </c>
      <c r="AS246" s="27">
        <v>17.926829268300001</v>
      </c>
      <c r="AT246" s="27" t="s">
        <v>311</v>
      </c>
      <c r="AU246" s="27">
        <v>7</v>
      </c>
      <c r="AV246" s="27">
        <v>7.07317073170731</v>
      </c>
      <c r="AW246" s="27">
        <v>12.25609756097559</v>
      </c>
      <c r="AX246" s="27" t="s">
        <v>311</v>
      </c>
      <c r="AY246" s="27">
        <v>7</v>
      </c>
      <c r="AZ246" s="27" t="s">
        <v>1677</v>
      </c>
      <c r="BA246" s="27" t="s">
        <v>1679</v>
      </c>
      <c r="BB246">
        <v>122</v>
      </c>
      <c r="BC246" s="27" t="s">
        <v>1672</v>
      </c>
      <c r="BD246" s="27" t="s">
        <v>311</v>
      </c>
      <c r="BE246" s="27" t="s">
        <v>1880</v>
      </c>
      <c r="BF246" s="27" t="s">
        <v>311</v>
      </c>
      <c r="BG246" s="27" t="s">
        <v>311</v>
      </c>
      <c r="BH246" s="27" t="s">
        <v>311</v>
      </c>
      <c r="BI246" s="27" t="s">
        <v>311</v>
      </c>
      <c r="BJ246" s="27" t="s">
        <v>311</v>
      </c>
      <c r="BK246" s="27" t="s">
        <v>311</v>
      </c>
      <c r="BL246" s="27" t="s">
        <v>311</v>
      </c>
      <c r="BM246" s="27" t="s">
        <v>311</v>
      </c>
      <c r="BN246" s="27" t="s">
        <v>311</v>
      </c>
      <c r="BO246" s="27" t="s">
        <v>311</v>
      </c>
      <c r="BP246" s="27" t="s">
        <v>311</v>
      </c>
      <c r="BQ246" s="27" t="s">
        <v>311</v>
      </c>
      <c r="BR246" s="27" t="s">
        <v>311</v>
      </c>
      <c r="BS246" s="27" t="s">
        <v>311</v>
      </c>
      <c r="BT246" s="27" t="s">
        <v>311</v>
      </c>
      <c r="BU246" s="27" t="s">
        <v>311</v>
      </c>
      <c r="BV246" s="27" t="s">
        <v>311</v>
      </c>
      <c r="BW246" s="27" t="s">
        <v>311</v>
      </c>
      <c r="BX246" s="27" t="s">
        <v>311</v>
      </c>
      <c r="BY246" s="27" t="s">
        <v>311</v>
      </c>
      <c r="BZ246" s="27">
        <v>4.1000000000000002E-2</v>
      </c>
      <c r="CA246" s="27">
        <v>25</v>
      </c>
      <c r="CB246" s="27" t="s">
        <v>1210</v>
      </c>
      <c r="CC246" s="27" t="s">
        <v>1210</v>
      </c>
      <c r="CD246" s="27" t="s">
        <v>1340</v>
      </c>
      <c r="CE246" s="27" t="s">
        <v>1343</v>
      </c>
      <c r="CF246" s="27">
        <v>0</v>
      </c>
      <c r="CG246" s="27" t="s">
        <v>1344</v>
      </c>
      <c r="CH246" s="27" t="s">
        <v>1345</v>
      </c>
      <c r="CI246" s="27">
        <v>30</v>
      </c>
      <c r="CJ246" s="38" t="s">
        <v>311</v>
      </c>
      <c r="CK246" s="38" t="s">
        <v>311</v>
      </c>
      <c r="CL246" s="38" t="s">
        <v>311</v>
      </c>
      <c r="CM246" s="38" t="s">
        <v>311</v>
      </c>
      <c r="CN246" s="38" t="s">
        <v>311</v>
      </c>
      <c r="CO246" s="38" t="s">
        <v>311</v>
      </c>
      <c r="CP246" s="38" t="s">
        <v>311</v>
      </c>
      <c r="CQ246" s="27" t="s">
        <v>1737</v>
      </c>
      <c r="CR246" s="27" t="s">
        <v>1178</v>
      </c>
    </row>
    <row r="247" spans="1:96">
      <c r="A247">
        <v>246</v>
      </c>
      <c r="B247">
        <v>37</v>
      </c>
      <c r="C247">
        <v>1</v>
      </c>
      <c r="D247" t="s">
        <v>254</v>
      </c>
      <c r="E247" t="s">
        <v>1173</v>
      </c>
      <c r="F247" t="s">
        <v>174</v>
      </c>
      <c r="G247">
        <v>1985</v>
      </c>
      <c r="H247" t="s">
        <v>1174</v>
      </c>
      <c r="I247" t="s">
        <v>1175</v>
      </c>
      <c r="J247">
        <v>17.759328</v>
      </c>
      <c r="K247">
        <v>-64.605519999999999</v>
      </c>
      <c r="L247" t="s">
        <v>361</v>
      </c>
      <c r="M247" t="s">
        <v>516</v>
      </c>
      <c r="N247" t="s">
        <v>531</v>
      </c>
      <c r="O247" t="s">
        <v>532</v>
      </c>
      <c r="P247" t="s">
        <v>693</v>
      </c>
      <c r="Q247" t="s">
        <v>291</v>
      </c>
      <c r="R247" t="s">
        <v>550</v>
      </c>
      <c r="S247" t="s">
        <v>789</v>
      </c>
      <c r="T247" t="s">
        <v>331</v>
      </c>
      <c r="U247">
        <v>1</v>
      </c>
      <c r="V247" t="s">
        <v>311</v>
      </c>
      <c r="W247" t="s">
        <v>1191</v>
      </c>
      <c r="X247" t="s">
        <v>309</v>
      </c>
      <c r="Y247" t="s">
        <v>546</v>
      </c>
      <c r="Z247" t="s">
        <v>302</v>
      </c>
      <c r="AA247" t="s">
        <v>303</v>
      </c>
      <c r="AB247" t="s">
        <v>791</v>
      </c>
      <c r="AC247" t="s">
        <v>792</v>
      </c>
      <c r="AD247" t="s">
        <v>292</v>
      </c>
      <c r="AE247" t="s">
        <v>1042</v>
      </c>
      <c r="AF247" t="s">
        <v>304</v>
      </c>
      <c r="AH247" t="s">
        <v>305</v>
      </c>
      <c r="AI247" t="s">
        <v>1043</v>
      </c>
      <c r="AJ247" t="s">
        <v>793</v>
      </c>
      <c r="AK247" t="s">
        <v>542</v>
      </c>
      <c r="AL247" t="s">
        <v>542</v>
      </c>
      <c r="AM247" t="s">
        <v>1059</v>
      </c>
      <c r="AN247" t="s">
        <v>1276</v>
      </c>
      <c r="AO247" t="s">
        <v>1285</v>
      </c>
      <c r="AP247" t="s">
        <v>887</v>
      </c>
      <c r="AQ247" t="s">
        <v>887</v>
      </c>
      <c r="AR247">
        <v>7.18</v>
      </c>
      <c r="AS247">
        <v>0.3</v>
      </c>
      <c r="AT247" t="s">
        <v>311</v>
      </c>
      <c r="AU247">
        <v>72</v>
      </c>
      <c r="AV247">
        <v>5.47</v>
      </c>
      <c r="AW247">
        <v>0.24</v>
      </c>
      <c r="AX247" t="s">
        <v>311</v>
      </c>
      <c r="AY247">
        <v>102</v>
      </c>
      <c r="AZ247" t="s">
        <v>1055</v>
      </c>
      <c r="BA247" t="s">
        <v>1680</v>
      </c>
      <c r="BB247">
        <v>0</v>
      </c>
      <c r="BC247" t="s">
        <v>1672</v>
      </c>
      <c r="BD247" t="s">
        <v>311</v>
      </c>
      <c r="BE247" t="s">
        <v>1880</v>
      </c>
      <c r="BF247">
        <v>1.095</v>
      </c>
      <c r="BG247" t="s">
        <v>311</v>
      </c>
      <c r="BH247" t="s">
        <v>311</v>
      </c>
      <c r="BI247" t="s">
        <v>311</v>
      </c>
      <c r="BJ247" t="s">
        <v>311</v>
      </c>
      <c r="BK247" t="s">
        <v>311</v>
      </c>
      <c r="BL247" t="s">
        <v>311</v>
      </c>
      <c r="BM247" t="s">
        <v>311</v>
      </c>
      <c r="BN247" t="s">
        <v>311</v>
      </c>
      <c r="BO247" t="s">
        <v>311</v>
      </c>
      <c r="BP247" t="s">
        <v>311</v>
      </c>
      <c r="BQ247" t="s">
        <v>311</v>
      </c>
      <c r="BR247" t="s">
        <v>311</v>
      </c>
      <c r="BS247" t="s">
        <v>311</v>
      </c>
      <c r="BT247" t="s">
        <v>311</v>
      </c>
      <c r="BU247" t="s">
        <v>311</v>
      </c>
      <c r="BV247" t="s">
        <v>311</v>
      </c>
      <c r="BW247" t="s">
        <v>311</v>
      </c>
      <c r="BX247" t="s">
        <v>1127</v>
      </c>
      <c r="BY247" t="s">
        <v>1202</v>
      </c>
      <c r="BZ247">
        <v>0.2</v>
      </c>
      <c r="CA247">
        <v>26.499666666666666</v>
      </c>
      <c r="CB247" t="s">
        <v>1209</v>
      </c>
      <c r="CC247" t="s">
        <v>1210</v>
      </c>
      <c r="CD247" t="s">
        <v>311</v>
      </c>
      <c r="CE247" t="s">
        <v>311</v>
      </c>
      <c r="CF247" t="s">
        <v>311</v>
      </c>
      <c r="CG247" t="s">
        <v>1346</v>
      </c>
      <c r="CH247" t="s">
        <v>1030</v>
      </c>
      <c r="CI247">
        <v>0</v>
      </c>
      <c r="CJ247" s="38" t="s">
        <v>311</v>
      </c>
      <c r="CK247" s="38" t="s">
        <v>311</v>
      </c>
      <c r="CL247" s="38" t="s">
        <v>311</v>
      </c>
      <c r="CM247" s="38" t="s">
        <v>311</v>
      </c>
      <c r="CN247" s="38" t="s">
        <v>311</v>
      </c>
      <c r="CO247" s="38" t="s">
        <v>311</v>
      </c>
      <c r="CP247" s="38" t="s">
        <v>311</v>
      </c>
      <c r="CR247" t="s">
        <v>1845</v>
      </c>
    </row>
    <row r="248" spans="1:96">
      <c r="A248">
        <v>247</v>
      </c>
      <c r="B248">
        <v>37</v>
      </c>
      <c r="C248">
        <v>2</v>
      </c>
      <c r="D248" t="s">
        <v>254</v>
      </c>
      <c r="E248" t="s">
        <v>1173</v>
      </c>
      <c r="F248" t="s">
        <v>174</v>
      </c>
      <c r="G248">
        <v>1985</v>
      </c>
      <c r="H248" t="s">
        <v>1174</v>
      </c>
      <c r="I248" t="s">
        <v>1175</v>
      </c>
      <c r="J248">
        <v>17.759328</v>
      </c>
      <c r="K248">
        <v>-64.605519999999999</v>
      </c>
      <c r="L248" t="s">
        <v>361</v>
      </c>
      <c r="M248" t="s">
        <v>516</v>
      </c>
      <c r="N248" t="s">
        <v>531</v>
      </c>
      <c r="O248" t="s">
        <v>532</v>
      </c>
      <c r="P248" t="s">
        <v>693</v>
      </c>
      <c r="Q248" t="s">
        <v>291</v>
      </c>
      <c r="R248" t="s">
        <v>550</v>
      </c>
      <c r="S248" t="s">
        <v>789</v>
      </c>
      <c r="T248" t="s">
        <v>331</v>
      </c>
      <c r="U248">
        <v>1</v>
      </c>
      <c r="V248" t="s">
        <v>311</v>
      </c>
      <c r="W248" t="s">
        <v>1191</v>
      </c>
      <c r="X248" t="s">
        <v>309</v>
      </c>
      <c r="Y248" t="s">
        <v>546</v>
      </c>
      <c r="Z248" t="s">
        <v>302</v>
      </c>
      <c r="AA248" t="s">
        <v>303</v>
      </c>
      <c r="AB248" t="s">
        <v>791</v>
      </c>
      <c r="AC248" t="s">
        <v>792</v>
      </c>
      <c r="AD248" t="s">
        <v>340</v>
      </c>
      <c r="AE248" t="s">
        <v>311</v>
      </c>
      <c r="AF248" t="s">
        <v>802</v>
      </c>
      <c r="AH248" t="s">
        <v>820</v>
      </c>
      <c r="AI248" t="s">
        <v>311</v>
      </c>
      <c r="AJ248" t="s">
        <v>311</v>
      </c>
      <c r="AK248" t="s">
        <v>542</v>
      </c>
      <c r="AL248" t="s">
        <v>542</v>
      </c>
      <c r="AM248" t="s">
        <v>1059</v>
      </c>
      <c r="AN248" t="s">
        <v>584</v>
      </c>
      <c r="AO248" t="s">
        <v>345</v>
      </c>
      <c r="AP248" t="s">
        <v>887</v>
      </c>
      <c r="AQ248" t="s">
        <v>887</v>
      </c>
      <c r="AR248">
        <v>5.48</v>
      </c>
      <c r="AS248">
        <v>0.18</v>
      </c>
      <c r="AT248" t="s">
        <v>311</v>
      </c>
      <c r="AU248">
        <v>52</v>
      </c>
      <c r="AV248">
        <v>4.26</v>
      </c>
      <c r="AW248">
        <v>0.11</v>
      </c>
      <c r="AX248" t="s">
        <v>311</v>
      </c>
      <c r="AY248">
        <v>81</v>
      </c>
      <c r="AZ248" t="s">
        <v>1677</v>
      </c>
      <c r="BA248" t="s">
        <v>1680</v>
      </c>
      <c r="BB248">
        <v>0</v>
      </c>
      <c r="BC248" t="s">
        <v>1672</v>
      </c>
      <c r="BD248" t="s">
        <v>311</v>
      </c>
      <c r="BE248" t="s">
        <v>1881</v>
      </c>
      <c r="BF248">
        <v>1.095</v>
      </c>
      <c r="BG248" t="s">
        <v>311</v>
      </c>
      <c r="BH248" t="s">
        <v>311</v>
      </c>
      <c r="BI248" t="s">
        <v>311</v>
      </c>
      <c r="BJ248" t="s">
        <v>311</v>
      </c>
      <c r="BK248" t="s">
        <v>311</v>
      </c>
      <c r="BL248" t="s">
        <v>311</v>
      </c>
      <c r="BM248" t="s">
        <v>311</v>
      </c>
      <c r="BN248" t="s">
        <v>311</v>
      </c>
      <c r="BO248" t="s">
        <v>311</v>
      </c>
      <c r="BP248" t="s">
        <v>311</v>
      </c>
      <c r="BQ248" t="s">
        <v>311</v>
      </c>
      <c r="BR248" t="s">
        <v>311</v>
      </c>
      <c r="BS248" t="s">
        <v>311</v>
      </c>
      <c r="BT248" t="s">
        <v>311</v>
      </c>
      <c r="BU248" t="s">
        <v>311</v>
      </c>
      <c r="BV248" t="s">
        <v>311</v>
      </c>
      <c r="BW248" t="s">
        <v>311</v>
      </c>
      <c r="BX248" t="s">
        <v>1127</v>
      </c>
      <c r="BY248" t="s">
        <v>1202</v>
      </c>
      <c r="BZ248">
        <v>0.2</v>
      </c>
      <c r="CA248">
        <v>26.499666666666666</v>
      </c>
      <c r="CB248" t="s">
        <v>1209</v>
      </c>
      <c r="CC248" t="s">
        <v>1210</v>
      </c>
      <c r="CD248" t="s">
        <v>311</v>
      </c>
      <c r="CE248" t="s">
        <v>311</v>
      </c>
      <c r="CF248" t="s">
        <v>311</v>
      </c>
      <c r="CG248" t="s">
        <v>1346</v>
      </c>
      <c r="CH248" t="s">
        <v>1030</v>
      </c>
      <c r="CI248">
        <v>0</v>
      </c>
      <c r="CJ248" s="38" t="s">
        <v>311</v>
      </c>
      <c r="CK248" s="38" t="s">
        <v>311</v>
      </c>
      <c r="CL248" s="38" t="s">
        <v>311</v>
      </c>
      <c r="CM248" s="38" t="s">
        <v>311</v>
      </c>
      <c r="CN248" s="38" t="s">
        <v>311</v>
      </c>
      <c r="CO248" s="38" t="s">
        <v>311</v>
      </c>
      <c r="CP248" s="38" t="s">
        <v>311</v>
      </c>
      <c r="CR248" t="s">
        <v>1844</v>
      </c>
    </row>
    <row r="249" spans="1:96">
      <c r="A249">
        <v>248</v>
      </c>
      <c r="B249">
        <v>37</v>
      </c>
      <c r="C249">
        <v>3</v>
      </c>
      <c r="D249" t="s">
        <v>254</v>
      </c>
      <c r="E249" t="s">
        <v>1173</v>
      </c>
      <c r="F249" t="s">
        <v>174</v>
      </c>
      <c r="G249">
        <v>1985</v>
      </c>
      <c r="H249" t="s">
        <v>1174</v>
      </c>
      <c r="I249" t="s">
        <v>1175</v>
      </c>
      <c r="J249">
        <v>17.759328</v>
      </c>
      <c r="K249">
        <v>-64.605519999999999</v>
      </c>
      <c r="L249" t="s">
        <v>361</v>
      </c>
      <c r="M249" t="s">
        <v>516</v>
      </c>
      <c r="N249" t="s">
        <v>531</v>
      </c>
      <c r="O249" t="s">
        <v>532</v>
      </c>
      <c r="P249" t="s">
        <v>693</v>
      </c>
      <c r="Q249" t="s">
        <v>291</v>
      </c>
      <c r="R249" t="s">
        <v>550</v>
      </c>
      <c r="S249" t="s">
        <v>789</v>
      </c>
      <c r="T249" t="s">
        <v>331</v>
      </c>
      <c r="U249">
        <v>1</v>
      </c>
      <c r="V249" t="s">
        <v>311</v>
      </c>
      <c r="W249" t="s">
        <v>1191</v>
      </c>
      <c r="X249" t="s">
        <v>309</v>
      </c>
      <c r="Y249" t="s">
        <v>546</v>
      </c>
      <c r="Z249" t="s">
        <v>302</v>
      </c>
      <c r="AA249" t="s">
        <v>303</v>
      </c>
      <c r="AB249" t="s">
        <v>791</v>
      </c>
      <c r="AC249" t="s">
        <v>792</v>
      </c>
      <c r="AD249" t="s">
        <v>292</v>
      </c>
      <c r="AE249" t="s">
        <v>598</v>
      </c>
      <c r="AF249" t="s">
        <v>304</v>
      </c>
      <c r="AH249" t="s">
        <v>305</v>
      </c>
      <c r="AI249" t="s">
        <v>547</v>
      </c>
      <c r="AJ249" t="s">
        <v>1041</v>
      </c>
      <c r="AK249" t="s">
        <v>684</v>
      </c>
      <c r="AL249" t="s">
        <v>684</v>
      </c>
      <c r="AM249" t="s">
        <v>1059</v>
      </c>
      <c r="AN249" t="s">
        <v>1276</v>
      </c>
      <c r="AO249" t="s">
        <v>1285</v>
      </c>
      <c r="AP249" t="s">
        <v>887</v>
      </c>
      <c r="AQ249" t="s">
        <v>887</v>
      </c>
      <c r="AR249">
        <v>5.8</v>
      </c>
      <c r="AS249">
        <v>0.39</v>
      </c>
      <c r="AT249" t="s">
        <v>311</v>
      </c>
      <c r="AU249">
        <v>27</v>
      </c>
      <c r="AV249">
        <v>5.86</v>
      </c>
      <c r="AW249">
        <v>0.57999999999999996</v>
      </c>
      <c r="AX249" t="s">
        <v>311</v>
      </c>
      <c r="AY249">
        <v>29</v>
      </c>
      <c r="AZ249" t="s">
        <v>1055</v>
      </c>
      <c r="BA249" t="s">
        <v>1680</v>
      </c>
      <c r="BB249">
        <v>0</v>
      </c>
      <c r="BC249" t="s">
        <v>1672</v>
      </c>
      <c r="BD249" t="s">
        <v>311</v>
      </c>
      <c r="BE249" t="s">
        <v>1880</v>
      </c>
      <c r="BF249">
        <v>1.095</v>
      </c>
      <c r="BG249" t="s">
        <v>311</v>
      </c>
      <c r="BH249" t="s">
        <v>311</v>
      </c>
      <c r="BI249" t="s">
        <v>311</v>
      </c>
      <c r="BJ249" t="s">
        <v>311</v>
      </c>
      <c r="BK249" t="s">
        <v>311</v>
      </c>
      <c r="BL249" t="s">
        <v>311</v>
      </c>
      <c r="BM249" t="s">
        <v>311</v>
      </c>
      <c r="BN249" t="s">
        <v>311</v>
      </c>
      <c r="BO249" t="s">
        <v>311</v>
      </c>
      <c r="BP249" t="s">
        <v>311</v>
      </c>
      <c r="BQ249" t="s">
        <v>311</v>
      </c>
      <c r="BR249" t="s">
        <v>311</v>
      </c>
      <c r="BS249" t="s">
        <v>311</v>
      </c>
      <c r="BT249" t="s">
        <v>311</v>
      </c>
      <c r="BU249" t="s">
        <v>311</v>
      </c>
      <c r="BV249" t="s">
        <v>311</v>
      </c>
      <c r="BW249" t="s">
        <v>311</v>
      </c>
      <c r="BX249" t="s">
        <v>1127</v>
      </c>
      <c r="BY249" t="s">
        <v>1202</v>
      </c>
      <c r="BZ249">
        <v>0.2</v>
      </c>
      <c r="CA249">
        <v>26.499666666666666</v>
      </c>
      <c r="CB249" t="s">
        <v>1209</v>
      </c>
      <c r="CC249" t="s">
        <v>1210</v>
      </c>
      <c r="CD249" t="s">
        <v>311</v>
      </c>
      <c r="CE249" t="s">
        <v>311</v>
      </c>
      <c r="CF249" t="s">
        <v>311</v>
      </c>
      <c r="CG249" t="s">
        <v>1346</v>
      </c>
      <c r="CH249" t="s">
        <v>1030</v>
      </c>
      <c r="CI249">
        <v>0</v>
      </c>
      <c r="CJ249" s="38" t="s">
        <v>311</v>
      </c>
      <c r="CK249" s="38" t="s">
        <v>311</v>
      </c>
      <c r="CL249" s="38" t="s">
        <v>311</v>
      </c>
      <c r="CM249" s="38" t="s">
        <v>311</v>
      </c>
      <c r="CN249" s="38" t="s">
        <v>311</v>
      </c>
      <c r="CO249" s="38" t="s">
        <v>311</v>
      </c>
      <c r="CP249" s="38" t="s">
        <v>311</v>
      </c>
      <c r="CQ249" t="s">
        <v>1738</v>
      </c>
      <c r="CR249" t="s">
        <v>1845</v>
      </c>
    </row>
    <row r="250" spans="1:96">
      <c r="A250">
        <v>249</v>
      </c>
      <c r="B250">
        <v>37</v>
      </c>
      <c r="C250">
        <v>4</v>
      </c>
      <c r="D250" t="s">
        <v>254</v>
      </c>
      <c r="E250" t="s">
        <v>1173</v>
      </c>
      <c r="F250" t="s">
        <v>174</v>
      </c>
      <c r="G250">
        <v>1985</v>
      </c>
      <c r="H250" t="s">
        <v>1174</v>
      </c>
      <c r="I250" t="s">
        <v>1175</v>
      </c>
      <c r="J250">
        <v>17.759328</v>
      </c>
      <c r="K250">
        <v>-64.605519999999999</v>
      </c>
      <c r="L250" t="s">
        <v>361</v>
      </c>
      <c r="M250" t="s">
        <v>516</v>
      </c>
      <c r="N250" t="s">
        <v>531</v>
      </c>
      <c r="O250" t="s">
        <v>532</v>
      </c>
      <c r="P250" t="s">
        <v>693</v>
      </c>
      <c r="Q250" t="s">
        <v>291</v>
      </c>
      <c r="R250" t="s">
        <v>550</v>
      </c>
      <c r="S250" t="s">
        <v>789</v>
      </c>
      <c r="T250" t="s">
        <v>331</v>
      </c>
      <c r="U250">
        <v>1</v>
      </c>
      <c r="V250" t="s">
        <v>1192</v>
      </c>
      <c r="W250">
        <v>1981</v>
      </c>
      <c r="X250" t="s">
        <v>309</v>
      </c>
      <c r="Y250" t="s">
        <v>546</v>
      </c>
      <c r="Z250" t="s">
        <v>302</v>
      </c>
      <c r="AA250" t="s">
        <v>303</v>
      </c>
      <c r="AB250" t="s">
        <v>791</v>
      </c>
      <c r="AC250" t="s">
        <v>792</v>
      </c>
      <c r="AD250" t="s">
        <v>292</v>
      </c>
      <c r="AE250" t="s">
        <v>1042</v>
      </c>
      <c r="AF250" t="s">
        <v>304</v>
      </c>
      <c r="AH250" t="s">
        <v>305</v>
      </c>
      <c r="AI250" t="s">
        <v>1043</v>
      </c>
      <c r="AJ250" t="s">
        <v>793</v>
      </c>
      <c r="AK250" t="s">
        <v>925</v>
      </c>
      <c r="AL250" t="s">
        <v>925</v>
      </c>
      <c r="AM250" t="s">
        <v>1059</v>
      </c>
      <c r="AN250" t="s">
        <v>1292</v>
      </c>
      <c r="AO250" t="s">
        <v>1287</v>
      </c>
      <c r="AP250" t="s">
        <v>614</v>
      </c>
      <c r="AQ250" t="s">
        <v>887</v>
      </c>
      <c r="AR250">
        <v>0.96</v>
      </c>
      <c r="AS250">
        <v>0.05</v>
      </c>
      <c r="AT250" t="s">
        <v>311</v>
      </c>
      <c r="AU250">
        <v>148</v>
      </c>
      <c r="AV250">
        <v>0.78</v>
      </c>
      <c r="AW250">
        <v>0.03</v>
      </c>
      <c r="AX250" t="s">
        <v>311</v>
      </c>
      <c r="AY250">
        <v>202</v>
      </c>
      <c r="AZ250" t="s">
        <v>1055</v>
      </c>
      <c r="BA250" t="s">
        <v>1679</v>
      </c>
      <c r="BB250">
        <v>122</v>
      </c>
      <c r="BC250" t="s">
        <v>1672</v>
      </c>
      <c r="BD250" t="s">
        <v>311</v>
      </c>
      <c r="BE250" t="s">
        <v>1880</v>
      </c>
      <c r="BF250">
        <v>1.095</v>
      </c>
      <c r="BG250" t="s">
        <v>311</v>
      </c>
      <c r="BH250" t="s">
        <v>311</v>
      </c>
      <c r="BI250" t="s">
        <v>311</v>
      </c>
      <c r="BJ250" t="s">
        <v>311</v>
      </c>
      <c r="BK250" t="s">
        <v>311</v>
      </c>
      <c r="BL250" t="s">
        <v>311</v>
      </c>
      <c r="BM250" t="s">
        <v>311</v>
      </c>
      <c r="BN250" t="s">
        <v>311</v>
      </c>
      <c r="BO250" t="s">
        <v>311</v>
      </c>
      <c r="BP250" t="s">
        <v>311</v>
      </c>
      <c r="BQ250" t="s">
        <v>311</v>
      </c>
      <c r="BR250" t="s">
        <v>311</v>
      </c>
      <c r="BS250" t="s">
        <v>311</v>
      </c>
      <c r="BT250" t="s">
        <v>311</v>
      </c>
      <c r="BU250" t="s">
        <v>311</v>
      </c>
      <c r="BV250" t="s">
        <v>311</v>
      </c>
      <c r="BW250" t="s">
        <v>311</v>
      </c>
      <c r="BX250" t="s">
        <v>1127</v>
      </c>
      <c r="BY250" t="s">
        <v>1202</v>
      </c>
      <c r="BZ250">
        <v>0.2</v>
      </c>
      <c r="CA250">
        <v>26.499666666666666</v>
      </c>
      <c r="CB250" t="s">
        <v>1209</v>
      </c>
      <c r="CC250" t="s">
        <v>1210</v>
      </c>
      <c r="CD250" t="s">
        <v>311</v>
      </c>
      <c r="CE250" t="s">
        <v>311</v>
      </c>
      <c r="CF250" t="s">
        <v>311</v>
      </c>
      <c r="CG250" t="s">
        <v>1346</v>
      </c>
      <c r="CH250" t="s">
        <v>1030</v>
      </c>
      <c r="CI250">
        <v>0</v>
      </c>
      <c r="CJ250" s="38" t="s">
        <v>311</v>
      </c>
      <c r="CK250" s="38" t="s">
        <v>311</v>
      </c>
      <c r="CL250" s="38" t="s">
        <v>311</v>
      </c>
      <c r="CM250" s="38" t="s">
        <v>311</v>
      </c>
      <c r="CN250" s="38" t="s">
        <v>311</v>
      </c>
      <c r="CO250" s="38" t="s">
        <v>311</v>
      </c>
      <c r="CP250" s="38" t="s">
        <v>311</v>
      </c>
      <c r="CQ250" t="s">
        <v>1739</v>
      </c>
      <c r="CR250" t="s">
        <v>1566</v>
      </c>
    </row>
    <row r="251" spans="1:96">
      <c r="A251">
        <v>250</v>
      </c>
      <c r="B251">
        <v>37</v>
      </c>
      <c r="C251">
        <v>5</v>
      </c>
      <c r="D251" t="s">
        <v>254</v>
      </c>
      <c r="E251" t="s">
        <v>1173</v>
      </c>
      <c r="F251" t="s">
        <v>174</v>
      </c>
      <c r="G251">
        <v>1985</v>
      </c>
      <c r="H251" t="s">
        <v>1174</v>
      </c>
      <c r="I251" t="s">
        <v>1175</v>
      </c>
      <c r="J251">
        <v>17.759328</v>
      </c>
      <c r="K251">
        <v>-64.605519999999999</v>
      </c>
      <c r="L251" t="s">
        <v>361</v>
      </c>
      <c r="M251" t="s">
        <v>516</v>
      </c>
      <c r="N251" t="s">
        <v>531</v>
      </c>
      <c r="O251" t="s">
        <v>532</v>
      </c>
      <c r="P251" t="s">
        <v>693</v>
      </c>
      <c r="Q251" t="s">
        <v>291</v>
      </c>
      <c r="R251" t="s">
        <v>550</v>
      </c>
      <c r="S251" t="s">
        <v>789</v>
      </c>
      <c r="T251" t="s">
        <v>331</v>
      </c>
      <c r="U251">
        <v>1</v>
      </c>
      <c r="V251" t="s">
        <v>1192</v>
      </c>
      <c r="W251">
        <v>1981</v>
      </c>
      <c r="X251" t="s">
        <v>309</v>
      </c>
      <c r="Y251" t="s">
        <v>546</v>
      </c>
      <c r="Z251" t="s">
        <v>302</v>
      </c>
      <c r="AA251" t="s">
        <v>303</v>
      </c>
      <c r="AB251" t="s">
        <v>791</v>
      </c>
      <c r="AC251" t="s">
        <v>792</v>
      </c>
      <c r="AD251" t="s">
        <v>292</v>
      </c>
      <c r="AE251" t="s">
        <v>1042</v>
      </c>
      <c r="AF251" t="s">
        <v>304</v>
      </c>
      <c r="AH251" t="s">
        <v>305</v>
      </c>
      <c r="AI251" t="s">
        <v>1043</v>
      </c>
      <c r="AJ251" t="s">
        <v>793</v>
      </c>
      <c r="AK251" t="s">
        <v>925</v>
      </c>
      <c r="AL251" t="s">
        <v>925</v>
      </c>
      <c r="AM251" t="s">
        <v>1059</v>
      </c>
      <c r="AN251" t="s">
        <v>1275</v>
      </c>
      <c r="AO251" t="s">
        <v>1283</v>
      </c>
      <c r="AP251" t="s">
        <v>614</v>
      </c>
      <c r="AQ251" t="s">
        <v>887</v>
      </c>
      <c r="AR251">
        <v>1</v>
      </c>
      <c r="AS251">
        <v>0.05</v>
      </c>
      <c r="AT251" t="s">
        <v>311</v>
      </c>
      <c r="AU251">
        <v>149</v>
      </c>
      <c r="AV251">
        <v>1.04</v>
      </c>
      <c r="AW251">
        <v>0.03</v>
      </c>
      <c r="AX251" t="s">
        <v>311</v>
      </c>
      <c r="AY251">
        <v>203</v>
      </c>
      <c r="AZ251" t="s">
        <v>1055</v>
      </c>
      <c r="BA251" t="s">
        <v>1679</v>
      </c>
      <c r="BB251">
        <v>122</v>
      </c>
      <c r="BC251" t="s">
        <v>1672</v>
      </c>
      <c r="BD251" t="s">
        <v>311</v>
      </c>
      <c r="BE251" t="s">
        <v>1880</v>
      </c>
      <c r="BF251">
        <v>1.095</v>
      </c>
      <c r="BG251" t="s">
        <v>311</v>
      </c>
      <c r="BH251" t="s">
        <v>311</v>
      </c>
      <c r="BI251" t="s">
        <v>311</v>
      </c>
      <c r="BJ251" t="s">
        <v>311</v>
      </c>
      <c r="BK251" t="s">
        <v>311</v>
      </c>
      <c r="BL251" t="s">
        <v>311</v>
      </c>
      <c r="BM251" t="s">
        <v>311</v>
      </c>
      <c r="BN251" t="s">
        <v>311</v>
      </c>
      <c r="BO251" t="s">
        <v>311</v>
      </c>
      <c r="BP251" t="s">
        <v>311</v>
      </c>
      <c r="BQ251" t="s">
        <v>311</v>
      </c>
      <c r="BR251" t="s">
        <v>311</v>
      </c>
      <c r="BS251" t="s">
        <v>311</v>
      </c>
      <c r="BT251" t="s">
        <v>311</v>
      </c>
      <c r="BU251" t="s">
        <v>311</v>
      </c>
      <c r="BV251" t="s">
        <v>311</v>
      </c>
      <c r="BW251" t="s">
        <v>311</v>
      </c>
      <c r="BX251" t="s">
        <v>1127</v>
      </c>
      <c r="BY251" t="s">
        <v>1202</v>
      </c>
      <c r="BZ251">
        <v>0.2</v>
      </c>
      <c r="CA251">
        <v>26.499666666666666</v>
      </c>
      <c r="CB251" t="s">
        <v>1209</v>
      </c>
      <c r="CC251" t="s">
        <v>1210</v>
      </c>
      <c r="CD251" t="s">
        <v>311</v>
      </c>
      <c r="CE251" t="s">
        <v>311</v>
      </c>
      <c r="CF251" t="s">
        <v>311</v>
      </c>
      <c r="CG251" t="s">
        <v>1346</v>
      </c>
      <c r="CH251" t="s">
        <v>1030</v>
      </c>
      <c r="CI251">
        <v>0</v>
      </c>
      <c r="CJ251" s="38" t="s">
        <v>311</v>
      </c>
      <c r="CK251" s="38" t="s">
        <v>311</v>
      </c>
      <c r="CL251" s="38" t="s">
        <v>311</v>
      </c>
      <c r="CM251" s="38" t="s">
        <v>311</v>
      </c>
      <c r="CN251" s="38" t="s">
        <v>311</v>
      </c>
      <c r="CO251" s="38" t="s">
        <v>311</v>
      </c>
      <c r="CP251" s="38" t="s">
        <v>311</v>
      </c>
      <c r="CQ251" t="s">
        <v>1739</v>
      </c>
      <c r="CR251" t="s">
        <v>1193</v>
      </c>
    </row>
    <row r="252" spans="1:96">
      <c r="A252">
        <v>251</v>
      </c>
      <c r="B252">
        <v>37</v>
      </c>
      <c r="C252">
        <v>6</v>
      </c>
      <c r="D252" t="s">
        <v>254</v>
      </c>
      <c r="E252" t="s">
        <v>1173</v>
      </c>
      <c r="F252" t="s">
        <v>174</v>
      </c>
      <c r="G252">
        <v>1985</v>
      </c>
      <c r="H252" t="s">
        <v>1174</v>
      </c>
      <c r="I252" t="s">
        <v>1175</v>
      </c>
      <c r="J252">
        <v>17.759328</v>
      </c>
      <c r="K252">
        <v>-64.605519999999999</v>
      </c>
      <c r="L252" t="s">
        <v>361</v>
      </c>
      <c r="M252" t="s">
        <v>516</v>
      </c>
      <c r="N252" t="s">
        <v>531</v>
      </c>
      <c r="O252" t="s">
        <v>532</v>
      </c>
      <c r="P252" t="s">
        <v>693</v>
      </c>
      <c r="Q252" t="s">
        <v>291</v>
      </c>
      <c r="R252" t="s">
        <v>550</v>
      </c>
      <c r="S252" t="s">
        <v>789</v>
      </c>
      <c r="T252" t="s">
        <v>331</v>
      </c>
      <c r="U252">
        <v>1</v>
      </c>
      <c r="V252" t="s">
        <v>1192</v>
      </c>
      <c r="W252">
        <v>1981</v>
      </c>
      <c r="X252" t="s">
        <v>309</v>
      </c>
      <c r="Y252" t="s">
        <v>546</v>
      </c>
      <c r="Z252" t="s">
        <v>302</v>
      </c>
      <c r="AA252" t="s">
        <v>303</v>
      </c>
      <c r="AB252" t="s">
        <v>791</v>
      </c>
      <c r="AC252" t="s">
        <v>792</v>
      </c>
      <c r="AD252" t="s">
        <v>292</v>
      </c>
      <c r="AE252" t="s">
        <v>1042</v>
      </c>
      <c r="AF252" t="s">
        <v>304</v>
      </c>
      <c r="AH252" t="s">
        <v>305</v>
      </c>
      <c r="AI252" t="s">
        <v>1043</v>
      </c>
      <c r="AJ252" t="s">
        <v>793</v>
      </c>
      <c r="AK252" t="s">
        <v>925</v>
      </c>
      <c r="AL252" t="s">
        <v>925</v>
      </c>
      <c r="AM252" t="s">
        <v>1059</v>
      </c>
      <c r="AN252" t="s">
        <v>583</v>
      </c>
      <c r="AO252" t="s">
        <v>870</v>
      </c>
      <c r="AP252" t="s">
        <v>614</v>
      </c>
      <c r="AQ252" t="s">
        <v>887</v>
      </c>
      <c r="AR252">
        <v>4.3</v>
      </c>
      <c r="AS252">
        <v>0.17</v>
      </c>
      <c r="AT252" t="s">
        <v>311</v>
      </c>
      <c r="AU252">
        <v>149</v>
      </c>
      <c r="AV252">
        <v>3.85</v>
      </c>
      <c r="AW252">
        <v>0.11</v>
      </c>
      <c r="AX252" t="s">
        <v>311</v>
      </c>
      <c r="AY252">
        <v>202</v>
      </c>
      <c r="AZ252" t="s">
        <v>1055</v>
      </c>
      <c r="BA252" t="s">
        <v>1679</v>
      </c>
      <c r="BB252">
        <v>122</v>
      </c>
      <c r="BC252" t="s">
        <v>1672</v>
      </c>
      <c r="BD252" t="s">
        <v>311</v>
      </c>
      <c r="BE252" t="s">
        <v>1880</v>
      </c>
      <c r="BF252">
        <v>1.095</v>
      </c>
      <c r="BG252" t="s">
        <v>311</v>
      </c>
      <c r="BH252" t="s">
        <v>311</v>
      </c>
      <c r="BI252" t="s">
        <v>311</v>
      </c>
      <c r="BJ252" t="s">
        <v>311</v>
      </c>
      <c r="BK252" t="s">
        <v>311</v>
      </c>
      <c r="BL252" t="s">
        <v>311</v>
      </c>
      <c r="BM252" t="s">
        <v>311</v>
      </c>
      <c r="BN252" t="s">
        <v>311</v>
      </c>
      <c r="BO252" t="s">
        <v>311</v>
      </c>
      <c r="BP252" t="s">
        <v>311</v>
      </c>
      <c r="BQ252" t="s">
        <v>311</v>
      </c>
      <c r="BR252" t="s">
        <v>311</v>
      </c>
      <c r="BS252" t="s">
        <v>311</v>
      </c>
      <c r="BT252" t="s">
        <v>311</v>
      </c>
      <c r="BU252" t="s">
        <v>311</v>
      </c>
      <c r="BV252" t="s">
        <v>311</v>
      </c>
      <c r="BW252" t="s">
        <v>311</v>
      </c>
      <c r="BX252" t="s">
        <v>1127</v>
      </c>
      <c r="BY252" t="s">
        <v>1202</v>
      </c>
      <c r="BZ252">
        <v>0.2</v>
      </c>
      <c r="CA252">
        <v>26.499666666666666</v>
      </c>
      <c r="CB252" t="s">
        <v>1209</v>
      </c>
      <c r="CC252" t="s">
        <v>1210</v>
      </c>
      <c r="CD252" t="s">
        <v>311</v>
      </c>
      <c r="CE252" t="s">
        <v>311</v>
      </c>
      <c r="CF252" t="s">
        <v>311</v>
      </c>
      <c r="CG252" t="s">
        <v>1346</v>
      </c>
      <c r="CH252" t="s">
        <v>1030</v>
      </c>
      <c r="CI252">
        <v>0</v>
      </c>
      <c r="CJ252" s="38" t="s">
        <v>311</v>
      </c>
      <c r="CK252" s="38" t="s">
        <v>311</v>
      </c>
      <c r="CL252" s="38" t="s">
        <v>311</v>
      </c>
      <c r="CM252" s="38" t="s">
        <v>311</v>
      </c>
      <c r="CN252" s="38" t="s">
        <v>311</v>
      </c>
      <c r="CO252" s="38" t="s">
        <v>311</v>
      </c>
      <c r="CP252" s="38" t="s">
        <v>311</v>
      </c>
      <c r="CQ252" t="s">
        <v>1739</v>
      </c>
      <c r="CR252" t="s">
        <v>1194</v>
      </c>
    </row>
    <row r="253" spans="1:96">
      <c r="A253">
        <v>252</v>
      </c>
      <c r="B253">
        <v>37</v>
      </c>
      <c r="C253">
        <v>7</v>
      </c>
      <c r="D253" t="s">
        <v>254</v>
      </c>
      <c r="E253" t="s">
        <v>1173</v>
      </c>
      <c r="F253" t="s">
        <v>174</v>
      </c>
      <c r="G253">
        <v>1985</v>
      </c>
      <c r="H253" t="s">
        <v>1174</v>
      </c>
      <c r="I253" t="s">
        <v>1175</v>
      </c>
      <c r="J253">
        <v>17.759328</v>
      </c>
      <c r="K253">
        <v>-64.605519999999999</v>
      </c>
      <c r="L253" t="s">
        <v>361</v>
      </c>
      <c r="M253" t="s">
        <v>516</v>
      </c>
      <c r="N253" t="s">
        <v>531</v>
      </c>
      <c r="O253" t="s">
        <v>532</v>
      </c>
      <c r="P253" t="s">
        <v>693</v>
      </c>
      <c r="Q253" t="s">
        <v>291</v>
      </c>
      <c r="R253" t="s">
        <v>550</v>
      </c>
      <c r="S253" t="s">
        <v>789</v>
      </c>
      <c r="T253" t="s">
        <v>331</v>
      </c>
      <c r="U253">
        <v>1</v>
      </c>
      <c r="V253" t="s">
        <v>1192</v>
      </c>
      <c r="W253">
        <v>1981</v>
      </c>
      <c r="X253" t="s">
        <v>309</v>
      </c>
      <c r="Y253" t="s">
        <v>546</v>
      </c>
      <c r="Z253" t="s">
        <v>302</v>
      </c>
      <c r="AA253" t="s">
        <v>303</v>
      </c>
      <c r="AB253" t="s">
        <v>791</v>
      </c>
      <c r="AC253" t="s">
        <v>792</v>
      </c>
      <c r="AD253" t="s">
        <v>292</v>
      </c>
      <c r="AE253" t="s">
        <v>1042</v>
      </c>
      <c r="AF253" t="s">
        <v>304</v>
      </c>
      <c r="AH253" t="s">
        <v>305</v>
      </c>
      <c r="AI253" t="s">
        <v>1043</v>
      </c>
      <c r="AJ253" t="s">
        <v>793</v>
      </c>
      <c r="AK253" t="s">
        <v>925</v>
      </c>
      <c r="AL253" t="s">
        <v>925</v>
      </c>
      <c r="AM253" t="s">
        <v>1059</v>
      </c>
      <c r="AN253" t="s">
        <v>583</v>
      </c>
      <c r="AO253" t="s">
        <v>1293</v>
      </c>
      <c r="AP253" t="s">
        <v>614</v>
      </c>
      <c r="AQ253" t="s">
        <v>887</v>
      </c>
      <c r="AR253">
        <v>0.91</v>
      </c>
      <c r="AS253">
        <v>0.04</v>
      </c>
      <c r="AT253" t="s">
        <v>311</v>
      </c>
      <c r="AU253">
        <v>149</v>
      </c>
      <c r="AV253">
        <v>0.77</v>
      </c>
      <c r="AW253">
        <v>0.03</v>
      </c>
      <c r="AX253" t="s">
        <v>311</v>
      </c>
      <c r="AY253">
        <v>201</v>
      </c>
      <c r="AZ253" t="s">
        <v>1055</v>
      </c>
      <c r="BA253" t="s">
        <v>1679</v>
      </c>
      <c r="BB253">
        <v>122</v>
      </c>
      <c r="BC253" t="s">
        <v>1672</v>
      </c>
      <c r="BD253" t="s">
        <v>311</v>
      </c>
      <c r="BE253" t="s">
        <v>1880</v>
      </c>
      <c r="BF253">
        <v>1.095</v>
      </c>
      <c r="BG253" t="s">
        <v>311</v>
      </c>
      <c r="BH253" t="s">
        <v>311</v>
      </c>
      <c r="BI253" t="s">
        <v>311</v>
      </c>
      <c r="BJ253" t="s">
        <v>311</v>
      </c>
      <c r="BK253" t="s">
        <v>311</v>
      </c>
      <c r="BL253" t="s">
        <v>311</v>
      </c>
      <c r="BM253" t="s">
        <v>311</v>
      </c>
      <c r="BN253" t="s">
        <v>311</v>
      </c>
      <c r="BO253" t="s">
        <v>311</v>
      </c>
      <c r="BP253" t="s">
        <v>311</v>
      </c>
      <c r="BQ253" t="s">
        <v>311</v>
      </c>
      <c r="BR253" t="s">
        <v>311</v>
      </c>
      <c r="BS253" t="s">
        <v>311</v>
      </c>
      <c r="BT253" t="s">
        <v>311</v>
      </c>
      <c r="BU253" t="s">
        <v>311</v>
      </c>
      <c r="BV253" t="s">
        <v>311</v>
      </c>
      <c r="BW253" t="s">
        <v>311</v>
      </c>
      <c r="BX253" t="s">
        <v>1127</v>
      </c>
      <c r="BY253" t="s">
        <v>1202</v>
      </c>
      <c r="BZ253">
        <v>0.2</v>
      </c>
      <c r="CA253">
        <v>26.499666666666666</v>
      </c>
      <c r="CB253" t="s">
        <v>1209</v>
      </c>
      <c r="CC253" t="s">
        <v>1210</v>
      </c>
      <c r="CD253" t="s">
        <v>311</v>
      </c>
      <c r="CE253" t="s">
        <v>311</v>
      </c>
      <c r="CF253" t="s">
        <v>311</v>
      </c>
      <c r="CG253" t="s">
        <v>1346</v>
      </c>
      <c r="CH253" t="s">
        <v>1030</v>
      </c>
      <c r="CI253">
        <v>0</v>
      </c>
      <c r="CJ253" s="38" t="s">
        <v>311</v>
      </c>
      <c r="CK253" s="38" t="s">
        <v>311</v>
      </c>
      <c r="CL253" s="38" t="s">
        <v>311</v>
      </c>
      <c r="CM253" s="38" t="s">
        <v>311</v>
      </c>
      <c r="CN253" s="38" t="s">
        <v>311</v>
      </c>
      <c r="CO253" s="38" t="s">
        <v>311</v>
      </c>
      <c r="CP253" s="38" t="s">
        <v>311</v>
      </c>
      <c r="CQ253" t="s">
        <v>1739</v>
      </c>
      <c r="CR253" t="s">
        <v>1195</v>
      </c>
    </row>
    <row r="254" spans="1:96">
      <c r="A254">
        <v>253</v>
      </c>
      <c r="B254">
        <v>37</v>
      </c>
      <c r="C254">
        <v>8</v>
      </c>
      <c r="D254" t="s">
        <v>254</v>
      </c>
      <c r="E254" t="s">
        <v>1173</v>
      </c>
      <c r="F254" t="s">
        <v>174</v>
      </c>
      <c r="G254">
        <v>1985</v>
      </c>
      <c r="H254" t="s">
        <v>1174</v>
      </c>
      <c r="I254" t="s">
        <v>1175</v>
      </c>
      <c r="J254">
        <v>17.759328</v>
      </c>
      <c r="K254">
        <v>-64.605519999999999</v>
      </c>
      <c r="L254" t="s">
        <v>361</v>
      </c>
      <c r="M254" t="s">
        <v>516</v>
      </c>
      <c r="N254" t="s">
        <v>531</v>
      </c>
      <c r="O254" t="s">
        <v>532</v>
      </c>
      <c r="P254" t="s">
        <v>693</v>
      </c>
      <c r="Q254" t="s">
        <v>291</v>
      </c>
      <c r="R254" t="s">
        <v>550</v>
      </c>
      <c r="S254" t="s">
        <v>789</v>
      </c>
      <c r="T254" t="s">
        <v>331</v>
      </c>
      <c r="U254">
        <v>1</v>
      </c>
      <c r="V254" t="s">
        <v>1192</v>
      </c>
      <c r="W254">
        <v>1981</v>
      </c>
      <c r="X254" t="s">
        <v>309</v>
      </c>
      <c r="Y254" t="s">
        <v>546</v>
      </c>
      <c r="Z254" t="s">
        <v>302</v>
      </c>
      <c r="AA254" t="s">
        <v>303</v>
      </c>
      <c r="AB254" t="s">
        <v>791</v>
      </c>
      <c r="AC254" t="s">
        <v>792</v>
      </c>
      <c r="AD254" t="s">
        <v>292</v>
      </c>
      <c r="AE254" t="s">
        <v>1042</v>
      </c>
      <c r="AF254" t="s">
        <v>304</v>
      </c>
      <c r="AH254" t="s">
        <v>305</v>
      </c>
      <c r="AI254" t="s">
        <v>1043</v>
      </c>
      <c r="AJ254" t="s">
        <v>793</v>
      </c>
      <c r="AK254" t="s">
        <v>925</v>
      </c>
      <c r="AL254" t="s">
        <v>925</v>
      </c>
      <c r="AM254" t="s">
        <v>1059</v>
      </c>
      <c r="AN254" t="s">
        <v>1292</v>
      </c>
      <c r="AO254" t="s">
        <v>345</v>
      </c>
      <c r="AP254" t="s">
        <v>887</v>
      </c>
      <c r="AQ254" t="s">
        <v>887</v>
      </c>
      <c r="AR254">
        <v>1.07</v>
      </c>
      <c r="AS254">
        <v>0.02</v>
      </c>
      <c r="AT254" t="s">
        <v>311</v>
      </c>
      <c r="AU254">
        <v>148</v>
      </c>
      <c r="AV254">
        <v>1.04</v>
      </c>
      <c r="AW254">
        <v>0.02</v>
      </c>
      <c r="AX254" t="s">
        <v>311</v>
      </c>
      <c r="AY254">
        <v>201</v>
      </c>
      <c r="AZ254" t="s">
        <v>1055</v>
      </c>
      <c r="BA254" t="s">
        <v>1679</v>
      </c>
      <c r="BB254">
        <v>122</v>
      </c>
      <c r="BC254" t="s">
        <v>1672</v>
      </c>
      <c r="BD254" t="s">
        <v>311</v>
      </c>
      <c r="BE254" t="s">
        <v>1880</v>
      </c>
      <c r="BF254">
        <v>1.095</v>
      </c>
      <c r="BG254" t="s">
        <v>311</v>
      </c>
      <c r="BH254" t="s">
        <v>311</v>
      </c>
      <c r="BI254" t="s">
        <v>311</v>
      </c>
      <c r="BJ254" t="s">
        <v>311</v>
      </c>
      <c r="BK254" t="s">
        <v>311</v>
      </c>
      <c r="BL254" t="s">
        <v>311</v>
      </c>
      <c r="BM254" t="s">
        <v>311</v>
      </c>
      <c r="BN254" t="s">
        <v>311</v>
      </c>
      <c r="BO254" t="s">
        <v>311</v>
      </c>
      <c r="BP254" t="s">
        <v>311</v>
      </c>
      <c r="BQ254" t="s">
        <v>311</v>
      </c>
      <c r="BR254" t="s">
        <v>311</v>
      </c>
      <c r="BS254" t="s">
        <v>311</v>
      </c>
      <c r="BT254" t="s">
        <v>311</v>
      </c>
      <c r="BU254" t="s">
        <v>311</v>
      </c>
      <c r="BV254" t="s">
        <v>311</v>
      </c>
      <c r="BW254" t="s">
        <v>311</v>
      </c>
      <c r="BX254" t="s">
        <v>1127</v>
      </c>
      <c r="BY254" t="s">
        <v>1202</v>
      </c>
      <c r="BZ254">
        <v>0.2</v>
      </c>
      <c r="CA254">
        <v>26.499666666666666</v>
      </c>
      <c r="CB254" t="s">
        <v>1209</v>
      </c>
      <c r="CC254" t="s">
        <v>1210</v>
      </c>
      <c r="CD254" t="s">
        <v>311</v>
      </c>
      <c r="CE254" t="s">
        <v>311</v>
      </c>
      <c r="CF254" t="s">
        <v>311</v>
      </c>
      <c r="CG254" t="s">
        <v>1346</v>
      </c>
      <c r="CH254" t="s">
        <v>1030</v>
      </c>
      <c r="CI254">
        <v>0</v>
      </c>
      <c r="CJ254" s="38" t="s">
        <v>311</v>
      </c>
      <c r="CK254" s="38" t="s">
        <v>311</v>
      </c>
      <c r="CL254" s="38" t="s">
        <v>311</v>
      </c>
      <c r="CM254" s="38" t="s">
        <v>311</v>
      </c>
      <c r="CN254" s="38" t="s">
        <v>311</v>
      </c>
      <c r="CO254" s="38" t="s">
        <v>311</v>
      </c>
      <c r="CP254" s="38" t="s">
        <v>311</v>
      </c>
      <c r="CQ254" t="s">
        <v>1739</v>
      </c>
      <c r="CR254" t="s">
        <v>1208</v>
      </c>
    </row>
    <row r="255" spans="1:96">
      <c r="A255">
        <v>254</v>
      </c>
      <c r="B255">
        <v>37</v>
      </c>
      <c r="C255">
        <v>9</v>
      </c>
      <c r="D255" t="s">
        <v>254</v>
      </c>
      <c r="E255" t="s">
        <v>1173</v>
      </c>
      <c r="F255" t="s">
        <v>174</v>
      </c>
      <c r="G255">
        <v>1985</v>
      </c>
      <c r="H255" t="s">
        <v>1174</v>
      </c>
      <c r="I255" t="s">
        <v>1175</v>
      </c>
      <c r="J255">
        <v>17.759328</v>
      </c>
      <c r="K255">
        <v>-64.605519999999999</v>
      </c>
      <c r="L255" t="s">
        <v>361</v>
      </c>
      <c r="M255" t="s">
        <v>516</v>
      </c>
      <c r="N255" t="s">
        <v>531</v>
      </c>
      <c r="O255" t="s">
        <v>532</v>
      </c>
      <c r="P255" t="s">
        <v>693</v>
      </c>
      <c r="Q255" t="s">
        <v>291</v>
      </c>
      <c r="R255" t="s">
        <v>550</v>
      </c>
      <c r="S255" t="s">
        <v>789</v>
      </c>
      <c r="T255" t="s">
        <v>331</v>
      </c>
      <c r="U255">
        <v>1</v>
      </c>
      <c r="V255" t="s">
        <v>1192</v>
      </c>
      <c r="W255">
        <v>1981</v>
      </c>
      <c r="X255" t="s">
        <v>309</v>
      </c>
      <c r="Y255" t="s">
        <v>546</v>
      </c>
      <c r="Z255" t="s">
        <v>302</v>
      </c>
      <c r="AA255" t="s">
        <v>303</v>
      </c>
      <c r="AB255" t="s">
        <v>791</v>
      </c>
      <c r="AC255" t="s">
        <v>792</v>
      </c>
      <c r="AD255" t="s">
        <v>292</v>
      </c>
      <c r="AE255" t="s">
        <v>1042</v>
      </c>
      <c r="AF255" t="s">
        <v>304</v>
      </c>
      <c r="AH255" t="s">
        <v>305</v>
      </c>
      <c r="AI255" t="s">
        <v>1043</v>
      </c>
      <c r="AJ255" t="s">
        <v>793</v>
      </c>
      <c r="AK255" t="s">
        <v>925</v>
      </c>
      <c r="AL255" t="s">
        <v>925</v>
      </c>
      <c r="AM255" t="s">
        <v>1059</v>
      </c>
      <c r="AN255" t="s">
        <v>1276</v>
      </c>
      <c r="AO255" t="s">
        <v>1285</v>
      </c>
      <c r="AP255" t="s">
        <v>614</v>
      </c>
      <c r="AQ255" t="s">
        <v>887</v>
      </c>
      <c r="AR255">
        <v>30.98</v>
      </c>
      <c r="AS255">
        <v>1.38</v>
      </c>
      <c r="AT255" t="s">
        <v>311</v>
      </c>
      <c r="AU255">
        <v>139</v>
      </c>
      <c r="AV255">
        <v>21.98</v>
      </c>
      <c r="AW255">
        <v>1</v>
      </c>
      <c r="AX255" t="s">
        <v>311</v>
      </c>
      <c r="AY255">
        <v>182</v>
      </c>
      <c r="AZ255" t="s">
        <v>1055</v>
      </c>
      <c r="BA255" t="s">
        <v>1679</v>
      </c>
      <c r="BB255">
        <v>122</v>
      </c>
      <c r="BC255" t="s">
        <v>1672</v>
      </c>
      <c r="BD255" t="s">
        <v>311</v>
      </c>
      <c r="BE255" t="s">
        <v>1880</v>
      </c>
      <c r="BF255">
        <v>1.095</v>
      </c>
      <c r="BG255" t="s">
        <v>311</v>
      </c>
      <c r="BH255" t="s">
        <v>311</v>
      </c>
      <c r="BI255" t="s">
        <v>311</v>
      </c>
      <c r="BJ255" t="s">
        <v>311</v>
      </c>
      <c r="BK255" t="s">
        <v>311</v>
      </c>
      <c r="BL255" t="s">
        <v>311</v>
      </c>
      <c r="BM255" t="s">
        <v>311</v>
      </c>
      <c r="BN255" t="s">
        <v>311</v>
      </c>
      <c r="BO255" t="s">
        <v>311</v>
      </c>
      <c r="BP255" t="s">
        <v>311</v>
      </c>
      <c r="BQ255" t="s">
        <v>311</v>
      </c>
      <c r="BR255" t="s">
        <v>311</v>
      </c>
      <c r="BS255" t="s">
        <v>311</v>
      </c>
      <c r="BT255" t="s">
        <v>311</v>
      </c>
      <c r="BU255" t="s">
        <v>311</v>
      </c>
      <c r="BV255" t="s">
        <v>311</v>
      </c>
      <c r="BW255" t="s">
        <v>311</v>
      </c>
      <c r="BX255" t="s">
        <v>1127</v>
      </c>
      <c r="BY255" t="s">
        <v>1202</v>
      </c>
      <c r="BZ255">
        <v>0.2</v>
      </c>
      <c r="CA255">
        <v>26.499666666666666</v>
      </c>
      <c r="CB255" t="s">
        <v>1209</v>
      </c>
      <c r="CC255" t="s">
        <v>1210</v>
      </c>
      <c r="CD255" t="s">
        <v>311</v>
      </c>
      <c r="CE255" t="s">
        <v>311</v>
      </c>
      <c r="CF255" t="s">
        <v>311</v>
      </c>
      <c r="CG255" t="s">
        <v>1346</v>
      </c>
      <c r="CH255" t="s">
        <v>1030</v>
      </c>
      <c r="CI255">
        <v>0</v>
      </c>
      <c r="CJ255" s="38" t="s">
        <v>311</v>
      </c>
      <c r="CK255" s="38" t="s">
        <v>311</v>
      </c>
      <c r="CL255" s="38" t="s">
        <v>311</v>
      </c>
      <c r="CM255" s="38" t="s">
        <v>311</v>
      </c>
      <c r="CN255" s="38" t="s">
        <v>311</v>
      </c>
      <c r="CO255" s="38" t="s">
        <v>311</v>
      </c>
      <c r="CP255" s="38" t="s">
        <v>311</v>
      </c>
      <c r="CQ255" t="s">
        <v>1739</v>
      </c>
      <c r="CR255" t="s">
        <v>1196</v>
      </c>
    </row>
    <row r="256" spans="1:96">
      <c r="A256">
        <v>255</v>
      </c>
      <c r="B256">
        <v>38</v>
      </c>
      <c r="C256">
        <v>1</v>
      </c>
      <c r="D256" s="9" t="s">
        <v>1358</v>
      </c>
      <c r="E256" t="s">
        <v>1359</v>
      </c>
      <c r="F256" t="s">
        <v>1360</v>
      </c>
      <c r="G256">
        <v>2022</v>
      </c>
      <c r="H256" t="s">
        <v>1361</v>
      </c>
      <c r="I256" t="s">
        <v>1362</v>
      </c>
      <c r="J256">
        <v>32.826500000000003</v>
      </c>
      <c r="K256">
        <v>34.95675</v>
      </c>
      <c r="L256" t="s">
        <v>407</v>
      </c>
      <c r="M256" t="s">
        <v>1363</v>
      </c>
      <c r="N256" t="s">
        <v>593</v>
      </c>
      <c r="O256" t="s">
        <v>332</v>
      </c>
      <c r="P256" t="s">
        <v>1435</v>
      </c>
      <c r="Q256" t="s">
        <v>419</v>
      </c>
      <c r="R256" t="s">
        <v>558</v>
      </c>
      <c r="S256" t="s">
        <v>311</v>
      </c>
      <c r="T256" t="s">
        <v>330</v>
      </c>
      <c r="U256">
        <v>5</v>
      </c>
      <c r="V256" t="s">
        <v>559</v>
      </c>
      <c r="W256">
        <v>2019</v>
      </c>
      <c r="X256" t="s">
        <v>292</v>
      </c>
      <c r="Y256" t="s">
        <v>1364</v>
      </c>
      <c r="Z256" t="s">
        <v>302</v>
      </c>
      <c r="AA256" t="s">
        <v>303</v>
      </c>
      <c r="AB256" t="s">
        <v>1365</v>
      </c>
      <c r="AC256" t="s">
        <v>1366</v>
      </c>
      <c r="AD256" t="s">
        <v>340</v>
      </c>
      <c r="AE256" t="s">
        <v>311</v>
      </c>
      <c r="AF256" t="s">
        <v>342</v>
      </c>
      <c r="AH256" t="s">
        <v>311</v>
      </c>
      <c r="AI256" t="s">
        <v>311</v>
      </c>
      <c r="AJ256" t="s">
        <v>311</v>
      </c>
      <c r="AK256" t="s">
        <v>1367</v>
      </c>
      <c r="AL256" t="s">
        <v>1368</v>
      </c>
      <c r="AM256" t="s">
        <v>1059</v>
      </c>
      <c r="AN256" t="s">
        <v>1280</v>
      </c>
      <c r="AO256" t="s">
        <v>541</v>
      </c>
      <c r="AP256" t="s">
        <v>887</v>
      </c>
      <c r="AQ256" t="s">
        <v>887</v>
      </c>
      <c r="AR256">
        <v>0.88</v>
      </c>
      <c r="AS256" t="s">
        <v>311</v>
      </c>
      <c r="AT256">
        <v>0.28000000000000003</v>
      </c>
      <c r="AU256">
        <v>4</v>
      </c>
      <c r="AV256">
        <v>0.47</v>
      </c>
      <c r="AW256" t="s">
        <v>311</v>
      </c>
      <c r="AX256">
        <v>0.11</v>
      </c>
      <c r="AY256">
        <v>4</v>
      </c>
      <c r="AZ256" t="s">
        <v>1678</v>
      </c>
      <c r="BA256" t="s">
        <v>1679</v>
      </c>
      <c r="BB256">
        <v>8</v>
      </c>
      <c r="BC256" t="s">
        <v>1672</v>
      </c>
      <c r="BD256" t="s">
        <v>311</v>
      </c>
      <c r="BE256" t="s">
        <v>1881</v>
      </c>
      <c r="BF256">
        <v>3.81</v>
      </c>
      <c r="BG256">
        <v>0.39500000000000002</v>
      </c>
      <c r="BH256">
        <v>0.44</v>
      </c>
      <c r="BI256">
        <v>8.5000000000000006E-2</v>
      </c>
      <c r="BJ256">
        <v>0.79</v>
      </c>
      <c r="BK256">
        <v>0.14000000000000001</v>
      </c>
      <c r="BL256">
        <v>0.32</v>
      </c>
      <c r="BM256">
        <v>2.5000000000000001E-2</v>
      </c>
      <c r="BN256">
        <v>4</v>
      </c>
      <c r="BO256">
        <v>4</v>
      </c>
      <c r="BP256" t="s">
        <v>311</v>
      </c>
      <c r="BQ256" t="s">
        <v>311</v>
      </c>
      <c r="BR256" t="s">
        <v>311</v>
      </c>
      <c r="BS256" t="s">
        <v>311</v>
      </c>
      <c r="BT256">
        <v>4.5999999999999996</v>
      </c>
      <c r="BU256" t="s">
        <v>311</v>
      </c>
      <c r="BV256">
        <v>0.76</v>
      </c>
      <c r="BW256" t="s">
        <v>311</v>
      </c>
      <c r="BX256" t="s">
        <v>1126</v>
      </c>
      <c r="BY256" t="s">
        <v>1272</v>
      </c>
      <c r="BZ256">
        <v>0.76</v>
      </c>
      <c r="CA256">
        <v>20.25</v>
      </c>
      <c r="CB256" t="s">
        <v>1209</v>
      </c>
      <c r="CC256" t="s">
        <v>1209</v>
      </c>
      <c r="CD256" t="s">
        <v>311</v>
      </c>
      <c r="CE256" s="19" t="s">
        <v>311</v>
      </c>
      <c r="CF256" t="s">
        <v>311</v>
      </c>
      <c r="CG256" t="s">
        <v>311</v>
      </c>
      <c r="CH256" t="s">
        <v>311</v>
      </c>
      <c r="CI256" t="s">
        <v>311</v>
      </c>
      <c r="CJ256" s="38">
        <v>4.34285714285714E-2</v>
      </c>
      <c r="CK256" s="38">
        <v>4.0163265306122402E-2</v>
      </c>
      <c r="CL256" s="38">
        <v>108.955223880597</v>
      </c>
      <c r="CM256" s="38">
        <v>18.656716417910399</v>
      </c>
      <c r="CN256" s="38" t="s">
        <v>311</v>
      </c>
      <c r="CO256" s="38" t="s">
        <v>311</v>
      </c>
      <c r="CP256" s="38">
        <v>4.0163264999999997E-2</v>
      </c>
      <c r="CQ256" t="s">
        <v>1740</v>
      </c>
      <c r="CR256" t="s">
        <v>1568</v>
      </c>
    </row>
    <row r="257" spans="1:96">
      <c r="A257">
        <v>256</v>
      </c>
      <c r="B257">
        <v>39</v>
      </c>
      <c r="C257">
        <v>1</v>
      </c>
      <c r="D257" t="s">
        <v>1369</v>
      </c>
      <c r="E257" t="s">
        <v>1370</v>
      </c>
      <c r="F257" t="s">
        <v>1371</v>
      </c>
      <c r="G257">
        <v>2023</v>
      </c>
      <c r="H257" t="s">
        <v>1372</v>
      </c>
      <c r="I257" t="s">
        <v>1373</v>
      </c>
      <c r="J257">
        <v>-5.8333329999999997</v>
      </c>
      <c r="K257">
        <v>72</v>
      </c>
      <c r="L257" t="s">
        <v>376</v>
      </c>
      <c r="M257" t="s">
        <v>375</v>
      </c>
      <c r="N257" t="s">
        <v>593</v>
      </c>
      <c r="O257" t="s">
        <v>556</v>
      </c>
      <c r="P257" t="s">
        <v>557</v>
      </c>
      <c r="Q257" t="s">
        <v>291</v>
      </c>
      <c r="R257" t="s">
        <v>558</v>
      </c>
      <c r="S257" t="s">
        <v>534</v>
      </c>
      <c r="T257" t="s">
        <v>331</v>
      </c>
      <c r="U257">
        <v>1</v>
      </c>
      <c r="V257" t="s">
        <v>311</v>
      </c>
      <c r="W257" t="s">
        <v>1415</v>
      </c>
      <c r="X257" t="s">
        <v>340</v>
      </c>
      <c r="Y257" t="s">
        <v>311</v>
      </c>
      <c r="Z257" t="s">
        <v>563</v>
      </c>
      <c r="AA257" t="s">
        <v>303</v>
      </c>
      <c r="AB257" t="s">
        <v>311</v>
      </c>
      <c r="AC257" t="s">
        <v>311</v>
      </c>
      <c r="AD257" t="s">
        <v>292</v>
      </c>
      <c r="AE257" t="s">
        <v>598</v>
      </c>
      <c r="AF257" t="s">
        <v>304</v>
      </c>
      <c r="AH257" t="s">
        <v>305</v>
      </c>
      <c r="AI257" t="s">
        <v>547</v>
      </c>
      <c r="AJ257" t="s">
        <v>311</v>
      </c>
      <c r="AK257" t="s">
        <v>1416</v>
      </c>
      <c r="AL257" t="s">
        <v>1045</v>
      </c>
      <c r="AM257" t="s">
        <v>1059</v>
      </c>
      <c r="AN257" t="s">
        <v>583</v>
      </c>
      <c r="AO257" t="s">
        <v>870</v>
      </c>
      <c r="AP257" t="s">
        <v>614</v>
      </c>
      <c r="AQ257" t="s">
        <v>614</v>
      </c>
      <c r="AR257">
        <v>176.7302</v>
      </c>
      <c r="AS257">
        <v>47.783329999999999</v>
      </c>
      <c r="AT257" t="s">
        <v>311</v>
      </c>
      <c r="AU257">
        <v>15</v>
      </c>
      <c r="AV257">
        <v>109.7664</v>
      </c>
      <c r="AW257">
        <v>17.666219999999999</v>
      </c>
      <c r="AX257" t="s">
        <v>311</v>
      </c>
      <c r="AY257">
        <v>25</v>
      </c>
      <c r="AZ257" t="s">
        <v>1055</v>
      </c>
      <c r="BA257" t="s">
        <v>1679</v>
      </c>
      <c r="BB257">
        <v>398.95</v>
      </c>
      <c r="BC257" t="s">
        <v>1672</v>
      </c>
      <c r="BD257" t="s">
        <v>311</v>
      </c>
      <c r="BE257" t="s">
        <v>1880</v>
      </c>
      <c r="BF257" t="s">
        <v>311</v>
      </c>
      <c r="BG257" t="s">
        <v>311</v>
      </c>
      <c r="BH257" t="s">
        <v>311</v>
      </c>
      <c r="BI257" t="s">
        <v>311</v>
      </c>
      <c r="BJ257" t="s">
        <v>311</v>
      </c>
      <c r="BK257" t="s">
        <v>311</v>
      </c>
      <c r="BL257" t="s">
        <v>311</v>
      </c>
      <c r="BM257" t="s">
        <v>311</v>
      </c>
      <c r="BN257" t="s">
        <v>311</v>
      </c>
      <c r="BO257" t="s">
        <v>311</v>
      </c>
      <c r="BP257" t="s">
        <v>311</v>
      </c>
      <c r="BQ257" t="s">
        <v>311</v>
      </c>
      <c r="BR257" t="s">
        <v>311</v>
      </c>
      <c r="BS257" t="s">
        <v>311</v>
      </c>
      <c r="BT257" t="s">
        <v>311</v>
      </c>
      <c r="BU257" t="s">
        <v>311</v>
      </c>
      <c r="BV257" t="s">
        <v>311</v>
      </c>
      <c r="BW257" t="s">
        <v>311</v>
      </c>
      <c r="BX257" t="s">
        <v>311</v>
      </c>
      <c r="BY257" t="s">
        <v>311</v>
      </c>
      <c r="BZ257">
        <v>0.61</v>
      </c>
      <c r="CA257">
        <v>30</v>
      </c>
      <c r="CB257" t="s">
        <v>1210</v>
      </c>
      <c r="CC257" t="s">
        <v>1210</v>
      </c>
      <c r="CD257" t="s">
        <v>1488</v>
      </c>
      <c r="CE257" t="s">
        <v>1489</v>
      </c>
      <c r="CF257">
        <v>0</v>
      </c>
      <c r="CG257" t="s">
        <v>1488</v>
      </c>
      <c r="CH257">
        <v>2017</v>
      </c>
      <c r="CI257">
        <v>0</v>
      </c>
      <c r="CJ257" s="38" t="s">
        <v>311</v>
      </c>
      <c r="CK257" s="38" t="s">
        <v>311</v>
      </c>
      <c r="CL257" s="38" t="s">
        <v>311</v>
      </c>
      <c r="CM257" s="38" t="s">
        <v>311</v>
      </c>
      <c r="CN257" s="38" t="s">
        <v>311</v>
      </c>
      <c r="CO257" s="38" t="s">
        <v>311</v>
      </c>
      <c r="CP257" s="38" t="s">
        <v>311</v>
      </c>
      <c r="CQ257" t="s">
        <v>1846</v>
      </c>
      <c r="CR257" t="s">
        <v>1847</v>
      </c>
    </row>
    <row r="258" spans="1:96" s="30" customFormat="1">
      <c r="A258">
        <v>257</v>
      </c>
      <c r="B258" s="30">
        <v>39</v>
      </c>
      <c r="C258" s="30">
        <v>2</v>
      </c>
      <c r="D258" s="30" t="s">
        <v>1369</v>
      </c>
      <c r="E258" s="30" t="s">
        <v>1370</v>
      </c>
      <c r="F258" s="30" t="s">
        <v>1371</v>
      </c>
      <c r="G258" s="30">
        <v>2023</v>
      </c>
      <c r="H258" s="30" t="s">
        <v>1372</v>
      </c>
      <c r="I258" s="30" t="s">
        <v>1373</v>
      </c>
      <c r="J258" s="30">
        <v>-5.8333329999999997</v>
      </c>
      <c r="K258" s="30">
        <v>72</v>
      </c>
      <c r="L258" s="30" t="s">
        <v>376</v>
      </c>
      <c r="M258" s="30" t="s">
        <v>375</v>
      </c>
      <c r="N258" s="30" t="s">
        <v>593</v>
      </c>
      <c r="O258" s="30" t="s">
        <v>556</v>
      </c>
      <c r="P258" s="30" t="s">
        <v>557</v>
      </c>
      <c r="Q258" s="30" t="s">
        <v>291</v>
      </c>
      <c r="R258" s="30" t="s">
        <v>558</v>
      </c>
      <c r="S258" s="30" t="s">
        <v>534</v>
      </c>
      <c r="T258" s="30" t="s">
        <v>331</v>
      </c>
      <c r="U258" s="30">
        <v>1</v>
      </c>
      <c r="V258" s="30" t="s">
        <v>311</v>
      </c>
      <c r="W258" s="30" t="s">
        <v>1415</v>
      </c>
      <c r="X258" s="30" t="s">
        <v>340</v>
      </c>
      <c r="Y258" s="30" t="s">
        <v>311</v>
      </c>
      <c r="Z258" s="30" t="s">
        <v>563</v>
      </c>
      <c r="AA258" s="30" t="s">
        <v>303</v>
      </c>
      <c r="AB258" s="30" t="s">
        <v>311</v>
      </c>
      <c r="AC258" s="30" t="s">
        <v>311</v>
      </c>
      <c r="AD258" s="30" t="s">
        <v>292</v>
      </c>
      <c r="AE258" s="30" t="s">
        <v>598</v>
      </c>
      <c r="AF258" s="30" t="s">
        <v>304</v>
      </c>
      <c r="AH258" s="30" t="s">
        <v>305</v>
      </c>
      <c r="AI258" s="30" t="s">
        <v>547</v>
      </c>
      <c r="AJ258" s="30" t="s">
        <v>311</v>
      </c>
      <c r="AK258" s="30" t="s">
        <v>1416</v>
      </c>
      <c r="AL258" s="30" t="s">
        <v>1045</v>
      </c>
      <c r="AM258" s="30" t="s">
        <v>1059</v>
      </c>
      <c r="AN258" s="30" t="s">
        <v>583</v>
      </c>
      <c r="AO258" s="30" t="s">
        <v>870</v>
      </c>
      <c r="AP258" s="30" t="s">
        <v>887</v>
      </c>
      <c r="AQ258" s="30" t="s">
        <v>614</v>
      </c>
      <c r="AR258" s="30">
        <v>395.48840000000001</v>
      </c>
      <c r="AS258" s="30">
        <v>114.48381000000001</v>
      </c>
      <c r="AT258" s="30" t="s">
        <v>311</v>
      </c>
      <c r="AU258" s="30">
        <v>7</v>
      </c>
      <c r="AV258" s="30">
        <v>236.62979999999999</v>
      </c>
      <c r="AW258" s="30">
        <v>80.897720000000007</v>
      </c>
      <c r="AX258" s="30" t="s">
        <v>311</v>
      </c>
      <c r="AY258" s="30">
        <v>5</v>
      </c>
      <c r="AZ258" s="30" t="s">
        <v>1055</v>
      </c>
      <c r="BA258" s="30" t="s">
        <v>1679</v>
      </c>
      <c r="BB258">
        <v>1007</v>
      </c>
      <c r="BC258" s="30" t="s">
        <v>1673</v>
      </c>
      <c r="BD258" s="30" t="s">
        <v>1763</v>
      </c>
      <c r="BE258" s="30" t="s">
        <v>1880</v>
      </c>
      <c r="BF258" s="30" t="s">
        <v>311</v>
      </c>
      <c r="BG258" s="30" t="s">
        <v>311</v>
      </c>
      <c r="BH258" s="30" t="s">
        <v>311</v>
      </c>
      <c r="BI258" s="30" t="s">
        <v>311</v>
      </c>
      <c r="BJ258" s="30" t="s">
        <v>311</v>
      </c>
      <c r="BK258" s="30" t="s">
        <v>311</v>
      </c>
      <c r="BL258" s="30" t="s">
        <v>311</v>
      </c>
      <c r="BM258" s="30" t="s">
        <v>311</v>
      </c>
      <c r="BN258" s="30" t="s">
        <v>311</v>
      </c>
      <c r="BO258" s="30" t="s">
        <v>311</v>
      </c>
      <c r="BP258" s="30" t="s">
        <v>311</v>
      </c>
      <c r="BQ258" s="30" t="s">
        <v>311</v>
      </c>
      <c r="BR258" s="30" t="s">
        <v>311</v>
      </c>
      <c r="BS258" s="30" t="s">
        <v>311</v>
      </c>
      <c r="BT258" s="30" t="s">
        <v>311</v>
      </c>
      <c r="BU258" s="30" t="s">
        <v>311</v>
      </c>
      <c r="BV258" s="30" t="s">
        <v>311</v>
      </c>
      <c r="BW258" s="30" t="s">
        <v>311</v>
      </c>
      <c r="BX258" s="30" t="s">
        <v>311</v>
      </c>
      <c r="BY258" s="30" t="s">
        <v>311</v>
      </c>
      <c r="BZ258" s="30">
        <v>0.61</v>
      </c>
      <c r="CA258" s="30">
        <v>30</v>
      </c>
      <c r="CB258" s="30" t="s">
        <v>1210</v>
      </c>
      <c r="CC258" s="30" t="s">
        <v>1210</v>
      </c>
      <c r="CD258" s="30" t="s">
        <v>1488</v>
      </c>
      <c r="CE258" s="30" t="s">
        <v>1489</v>
      </c>
      <c r="CF258" s="30">
        <v>0</v>
      </c>
      <c r="CG258" s="30" t="s">
        <v>1488</v>
      </c>
      <c r="CH258" s="30">
        <v>2017</v>
      </c>
      <c r="CI258" s="30">
        <v>0</v>
      </c>
      <c r="CJ258" s="38" t="s">
        <v>311</v>
      </c>
      <c r="CK258" s="38" t="s">
        <v>311</v>
      </c>
      <c r="CL258" s="38" t="s">
        <v>311</v>
      </c>
      <c r="CM258" s="38" t="s">
        <v>311</v>
      </c>
      <c r="CN258" s="38" t="s">
        <v>311</v>
      </c>
      <c r="CO258" s="38" t="s">
        <v>311</v>
      </c>
      <c r="CP258" s="38" t="s">
        <v>311</v>
      </c>
      <c r="CQ258" s="30" t="s">
        <v>1851</v>
      </c>
      <c r="CR258" s="30" t="s">
        <v>1849</v>
      </c>
    </row>
    <row r="259" spans="1:96">
      <c r="A259">
        <v>258</v>
      </c>
      <c r="B259">
        <v>39</v>
      </c>
      <c r="C259">
        <v>3</v>
      </c>
      <c r="D259" t="s">
        <v>1369</v>
      </c>
      <c r="E259" t="s">
        <v>1370</v>
      </c>
      <c r="F259" t="s">
        <v>1371</v>
      </c>
      <c r="G259">
        <v>2023</v>
      </c>
      <c r="H259" t="s">
        <v>1372</v>
      </c>
      <c r="I259" t="s">
        <v>1373</v>
      </c>
      <c r="J259">
        <v>-5.8333329999999997</v>
      </c>
      <c r="K259">
        <v>72</v>
      </c>
      <c r="L259" t="s">
        <v>376</v>
      </c>
      <c r="M259" t="s">
        <v>375</v>
      </c>
      <c r="N259" t="s">
        <v>593</v>
      </c>
      <c r="O259" t="s">
        <v>556</v>
      </c>
      <c r="P259" t="s">
        <v>557</v>
      </c>
      <c r="Q259" t="s">
        <v>291</v>
      </c>
      <c r="R259" t="s">
        <v>558</v>
      </c>
      <c r="S259" t="s">
        <v>534</v>
      </c>
      <c r="T259" t="s">
        <v>331</v>
      </c>
      <c r="U259">
        <v>2</v>
      </c>
      <c r="V259" t="s">
        <v>311</v>
      </c>
      <c r="W259" t="s">
        <v>1415</v>
      </c>
      <c r="X259" t="s">
        <v>340</v>
      </c>
      <c r="Y259" t="s">
        <v>311</v>
      </c>
      <c r="Z259" t="s">
        <v>563</v>
      </c>
      <c r="AA259" t="s">
        <v>303</v>
      </c>
      <c r="AB259" t="s">
        <v>311</v>
      </c>
      <c r="AC259" t="s">
        <v>311</v>
      </c>
      <c r="AD259" t="s">
        <v>292</v>
      </c>
      <c r="AE259" t="s">
        <v>598</v>
      </c>
      <c r="AF259" t="s">
        <v>304</v>
      </c>
      <c r="AH259" t="s">
        <v>305</v>
      </c>
      <c r="AI259" t="s">
        <v>547</v>
      </c>
      <c r="AJ259" t="s">
        <v>311</v>
      </c>
      <c r="AK259" t="s">
        <v>571</v>
      </c>
      <c r="AL259" t="s">
        <v>1045</v>
      </c>
      <c r="AM259" t="s">
        <v>1059</v>
      </c>
      <c r="AN259" t="s">
        <v>583</v>
      </c>
      <c r="AO259" t="s">
        <v>870</v>
      </c>
      <c r="AP259" t="s">
        <v>614</v>
      </c>
      <c r="AQ259" t="s">
        <v>614</v>
      </c>
      <c r="AR259">
        <v>119.10303</v>
      </c>
      <c r="AS259">
        <v>31.658480999999998</v>
      </c>
      <c r="AT259" t="s">
        <v>311</v>
      </c>
      <c r="AU259">
        <v>12</v>
      </c>
      <c r="AV259">
        <v>20.748999999999999</v>
      </c>
      <c r="AW259">
        <v>4.2988619999999997</v>
      </c>
      <c r="AX259" t="s">
        <v>311</v>
      </c>
      <c r="AY259">
        <v>10</v>
      </c>
      <c r="AZ259" t="s">
        <v>1055</v>
      </c>
      <c r="BA259" t="s">
        <v>1679</v>
      </c>
      <c r="BB259">
        <v>346.28949999999998</v>
      </c>
      <c r="BC259" t="s">
        <v>1672</v>
      </c>
      <c r="BD259" t="s">
        <v>311</v>
      </c>
      <c r="BE259" t="s">
        <v>1880</v>
      </c>
      <c r="BF259" t="s">
        <v>311</v>
      </c>
      <c r="BG259" t="s">
        <v>311</v>
      </c>
      <c r="BH259" t="s">
        <v>311</v>
      </c>
      <c r="BI259" t="s">
        <v>311</v>
      </c>
      <c r="BJ259" t="s">
        <v>311</v>
      </c>
      <c r="BK259" t="s">
        <v>311</v>
      </c>
      <c r="BL259" t="s">
        <v>311</v>
      </c>
      <c r="BM259" t="s">
        <v>311</v>
      </c>
      <c r="BN259" t="s">
        <v>311</v>
      </c>
      <c r="BO259" t="s">
        <v>311</v>
      </c>
      <c r="BP259" t="s">
        <v>311</v>
      </c>
      <c r="BQ259" t="s">
        <v>311</v>
      </c>
      <c r="BR259" t="s">
        <v>311</v>
      </c>
      <c r="BS259" t="s">
        <v>311</v>
      </c>
      <c r="BT259" t="s">
        <v>311</v>
      </c>
      <c r="BU259" t="s">
        <v>311</v>
      </c>
      <c r="BV259" t="s">
        <v>311</v>
      </c>
      <c r="BW259" t="s">
        <v>311</v>
      </c>
      <c r="BX259" t="s">
        <v>311</v>
      </c>
      <c r="BY259" t="s">
        <v>311</v>
      </c>
      <c r="BZ259">
        <v>0.61</v>
      </c>
      <c r="CA259">
        <v>30</v>
      </c>
      <c r="CB259" t="s">
        <v>1210</v>
      </c>
      <c r="CC259" t="s">
        <v>1210</v>
      </c>
      <c r="CD259" t="s">
        <v>1488</v>
      </c>
      <c r="CE259" t="s">
        <v>1489</v>
      </c>
      <c r="CF259">
        <v>0</v>
      </c>
      <c r="CG259" t="s">
        <v>1488</v>
      </c>
      <c r="CH259">
        <v>2017</v>
      </c>
      <c r="CI259">
        <v>0</v>
      </c>
      <c r="CJ259" s="38" t="s">
        <v>311</v>
      </c>
      <c r="CK259" s="38" t="s">
        <v>311</v>
      </c>
      <c r="CL259" s="38" t="s">
        <v>311</v>
      </c>
      <c r="CM259" s="38" t="s">
        <v>311</v>
      </c>
      <c r="CN259" s="38" t="s">
        <v>311</v>
      </c>
      <c r="CO259" s="38" t="s">
        <v>311</v>
      </c>
      <c r="CP259" s="38" t="s">
        <v>311</v>
      </c>
      <c r="CQ259" t="s">
        <v>1852</v>
      </c>
      <c r="CR259" t="s">
        <v>1848</v>
      </c>
    </row>
    <row r="260" spans="1:96" s="30" customFormat="1">
      <c r="A260">
        <v>259</v>
      </c>
      <c r="B260" s="30">
        <v>39</v>
      </c>
      <c r="C260" s="30">
        <v>4</v>
      </c>
      <c r="D260" s="30" t="s">
        <v>1369</v>
      </c>
      <c r="E260" s="30" t="s">
        <v>1370</v>
      </c>
      <c r="F260" s="30" t="s">
        <v>1371</v>
      </c>
      <c r="G260" s="30">
        <v>2023</v>
      </c>
      <c r="H260" s="30" t="s">
        <v>1372</v>
      </c>
      <c r="I260" s="30" t="s">
        <v>1373</v>
      </c>
      <c r="J260" s="30">
        <v>-5.8333329999999997</v>
      </c>
      <c r="K260" s="30">
        <v>72</v>
      </c>
      <c r="L260" s="30" t="s">
        <v>376</v>
      </c>
      <c r="M260" s="30" t="s">
        <v>375</v>
      </c>
      <c r="N260" s="30" t="s">
        <v>593</v>
      </c>
      <c r="O260" s="30" t="s">
        <v>556</v>
      </c>
      <c r="P260" s="30" t="s">
        <v>557</v>
      </c>
      <c r="Q260" s="30" t="s">
        <v>291</v>
      </c>
      <c r="R260" s="30" t="s">
        <v>558</v>
      </c>
      <c r="S260" s="30" t="s">
        <v>534</v>
      </c>
      <c r="T260" s="30" t="s">
        <v>331</v>
      </c>
      <c r="U260" s="30">
        <v>2</v>
      </c>
      <c r="V260" s="30" t="s">
        <v>311</v>
      </c>
      <c r="W260" s="30" t="s">
        <v>1415</v>
      </c>
      <c r="X260" s="30" t="s">
        <v>340</v>
      </c>
      <c r="Y260" s="30" t="s">
        <v>311</v>
      </c>
      <c r="Z260" s="30" t="s">
        <v>563</v>
      </c>
      <c r="AA260" s="30" t="s">
        <v>303</v>
      </c>
      <c r="AB260" s="30" t="s">
        <v>311</v>
      </c>
      <c r="AC260" s="30" t="s">
        <v>311</v>
      </c>
      <c r="AD260" s="30" t="s">
        <v>292</v>
      </c>
      <c r="AE260" s="30" t="s">
        <v>598</v>
      </c>
      <c r="AF260" s="30" t="s">
        <v>304</v>
      </c>
      <c r="AH260" s="30" t="s">
        <v>305</v>
      </c>
      <c r="AI260" s="30" t="s">
        <v>547</v>
      </c>
      <c r="AJ260" s="30" t="s">
        <v>311</v>
      </c>
      <c r="AK260" s="30" t="s">
        <v>571</v>
      </c>
      <c r="AL260" s="30" t="s">
        <v>1045</v>
      </c>
      <c r="AM260" s="30" t="s">
        <v>1059</v>
      </c>
      <c r="AN260" s="30" t="s">
        <v>583</v>
      </c>
      <c r="AO260" s="30" t="s">
        <v>870</v>
      </c>
      <c r="AP260" s="30" t="s">
        <v>887</v>
      </c>
      <c r="AQ260" s="30" t="s">
        <v>614</v>
      </c>
      <c r="AR260" s="30">
        <v>464.18</v>
      </c>
      <c r="AS260" s="30">
        <v>62.325490000000002</v>
      </c>
      <c r="AT260" s="30" t="s">
        <v>311</v>
      </c>
      <c r="AU260" s="30">
        <v>3</v>
      </c>
      <c r="AV260" s="30">
        <v>92.572500000000005</v>
      </c>
      <c r="AW260" s="30">
        <v>22.244499999999999</v>
      </c>
      <c r="AX260" s="30" t="s">
        <v>311</v>
      </c>
      <c r="AY260" s="30">
        <v>2</v>
      </c>
      <c r="AZ260" s="30" t="s">
        <v>1055</v>
      </c>
      <c r="BA260" s="30" t="s">
        <v>1679</v>
      </c>
      <c r="BB260">
        <v>1007</v>
      </c>
      <c r="BC260" s="30" t="s">
        <v>1673</v>
      </c>
      <c r="BD260" s="30" t="s">
        <v>1763</v>
      </c>
      <c r="BE260" s="30" t="s">
        <v>1880</v>
      </c>
      <c r="BF260" s="30" t="s">
        <v>311</v>
      </c>
      <c r="BG260" s="30" t="s">
        <v>311</v>
      </c>
      <c r="BH260" s="30" t="s">
        <v>311</v>
      </c>
      <c r="BI260" s="30" t="s">
        <v>311</v>
      </c>
      <c r="BJ260" s="30" t="s">
        <v>311</v>
      </c>
      <c r="BK260" s="30" t="s">
        <v>311</v>
      </c>
      <c r="BL260" s="30" t="s">
        <v>311</v>
      </c>
      <c r="BM260" s="30" t="s">
        <v>311</v>
      </c>
      <c r="BN260" s="30" t="s">
        <v>311</v>
      </c>
      <c r="BO260" s="30" t="s">
        <v>311</v>
      </c>
      <c r="BP260" s="30" t="s">
        <v>311</v>
      </c>
      <c r="BQ260" s="30" t="s">
        <v>311</v>
      </c>
      <c r="BR260" s="30" t="s">
        <v>311</v>
      </c>
      <c r="BS260" s="30" t="s">
        <v>311</v>
      </c>
      <c r="BT260" s="30" t="s">
        <v>311</v>
      </c>
      <c r="BU260" s="30" t="s">
        <v>311</v>
      </c>
      <c r="BV260" s="30" t="s">
        <v>311</v>
      </c>
      <c r="BW260" s="30" t="s">
        <v>311</v>
      </c>
      <c r="BX260" s="30" t="s">
        <v>311</v>
      </c>
      <c r="BY260" s="30" t="s">
        <v>311</v>
      </c>
      <c r="BZ260" s="30">
        <v>0.61</v>
      </c>
      <c r="CA260" s="30">
        <v>30</v>
      </c>
      <c r="CB260" s="30" t="s">
        <v>1210</v>
      </c>
      <c r="CC260" s="30" t="s">
        <v>1210</v>
      </c>
      <c r="CD260" s="30" t="s">
        <v>1488</v>
      </c>
      <c r="CE260" s="30" t="s">
        <v>1489</v>
      </c>
      <c r="CF260" s="30">
        <v>0</v>
      </c>
      <c r="CG260" s="30" t="s">
        <v>1488</v>
      </c>
      <c r="CH260" s="30">
        <v>2017</v>
      </c>
      <c r="CI260" s="30">
        <v>0</v>
      </c>
      <c r="CJ260" s="38" t="s">
        <v>311</v>
      </c>
      <c r="CK260" s="38" t="s">
        <v>311</v>
      </c>
      <c r="CL260" s="38" t="s">
        <v>311</v>
      </c>
      <c r="CM260" s="38" t="s">
        <v>311</v>
      </c>
      <c r="CN260" s="38" t="s">
        <v>311</v>
      </c>
      <c r="CO260" s="38" t="s">
        <v>311</v>
      </c>
      <c r="CP260" s="38" t="s">
        <v>311</v>
      </c>
      <c r="CQ260" s="30" t="s">
        <v>1851</v>
      </c>
      <c r="CR260" s="30" t="s">
        <v>1850</v>
      </c>
    </row>
    <row r="261" spans="1:96">
      <c r="A261">
        <v>260</v>
      </c>
      <c r="B261">
        <v>40</v>
      </c>
      <c r="C261">
        <v>1</v>
      </c>
      <c r="D261" t="s">
        <v>1374</v>
      </c>
      <c r="E261" t="s">
        <v>1375</v>
      </c>
      <c r="F261" t="s">
        <v>1376</v>
      </c>
      <c r="G261">
        <v>2024</v>
      </c>
      <c r="H261" t="s">
        <v>1460</v>
      </c>
      <c r="I261" t="s">
        <v>1461</v>
      </c>
      <c r="J261">
        <v>55.63</v>
      </c>
      <c r="K261">
        <v>-1.63</v>
      </c>
      <c r="L261" t="s">
        <v>1463</v>
      </c>
      <c r="M261" t="s">
        <v>1462</v>
      </c>
      <c r="N261" t="s">
        <v>600</v>
      </c>
      <c r="O261" t="s">
        <v>532</v>
      </c>
      <c r="P261" t="s">
        <v>693</v>
      </c>
      <c r="Q261" t="s">
        <v>333</v>
      </c>
      <c r="R261" t="s">
        <v>710</v>
      </c>
      <c r="S261" t="s">
        <v>311</v>
      </c>
      <c r="T261" t="s">
        <v>331</v>
      </c>
      <c r="U261">
        <v>1</v>
      </c>
      <c r="V261" t="s">
        <v>559</v>
      </c>
      <c r="W261">
        <v>2022</v>
      </c>
      <c r="X261" t="s">
        <v>340</v>
      </c>
      <c r="Y261" t="s">
        <v>311</v>
      </c>
      <c r="Z261" t="s">
        <v>563</v>
      </c>
      <c r="AA261" t="s">
        <v>303</v>
      </c>
      <c r="AB261" t="s">
        <v>311</v>
      </c>
      <c r="AC261" t="s">
        <v>311</v>
      </c>
      <c r="AD261" t="s">
        <v>292</v>
      </c>
      <c r="AE261" t="s">
        <v>1083</v>
      </c>
      <c r="AF261" t="s">
        <v>567</v>
      </c>
      <c r="AG261" t="s">
        <v>1901</v>
      </c>
      <c r="AH261" t="s">
        <v>343</v>
      </c>
      <c r="AI261" t="s">
        <v>1464</v>
      </c>
      <c r="AJ261" t="s">
        <v>1465</v>
      </c>
      <c r="AK261" t="s">
        <v>1051</v>
      </c>
      <c r="AL261" t="s">
        <v>1045</v>
      </c>
      <c r="AM261" t="s">
        <v>1059</v>
      </c>
      <c r="AN261" t="s">
        <v>584</v>
      </c>
      <c r="AO261" t="s">
        <v>948</v>
      </c>
      <c r="AP261" t="s">
        <v>887</v>
      </c>
      <c r="AQ261" t="s">
        <v>887</v>
      </c>
      <c r="AR261">
        <v>2.6</v>
      </c>
      <c r="AS261" t="s">
        <v>311</v>
      </c>
      <c r="AT261">
        <v>5.7619441</v>
      </c>
      <c r="AU261">
        <v>20</v>
      </c>
      <c r="AV261">
        <v>10.25</v>
      </c>
      <c r="AW261" t="s">
        <v>311</v>
      </c>
      <c r="AX261">
        <v>25.189544600000001</v>
      </c>
      <c r="AY261">
        <v>20</v>
      </c>
      <c r="AZ261" t="s">
        <v>1677</v>
      </c>
      <c r="BA261" t="s">
        <v>1680</v>
      </c>
      <c r="BB261">
        <v>0</v>
      </c>
      <c r="BC261" t="s">
        <v>1672</v>
      </c>
      <c r="BD261" t="s">
        <v>311</v>
      </c>
      <c r="BE261" t="s">
        <v>1880</v>
      </c>
      <c r="BF261" t="s">
        <v>311</v>
      </c>
      <c r="BG261" t="s">
        <v>311</v>
      </c>
      <c r="BH261" t="s">
        <v>311</v>
      </c>
      <c r="BI261" t="s">
        <v>311</v>
      </c>
      <c r="BJ261" t="s">
        <v>311</v>
      </c>
      <c r="BK261" t="s">
        <v>311</v>
      </c>
      <c r="BL261" t="s">
        <v>311</v>
      </c>
      <c r="BM261" t="s">
        <v>311</v>
      </c>
      <c r="BN261" t="s">
        <v>311</v>
      </c>
      <c r="BO261" t="s">
        <v>311</v>
      </c>
      <c r="BP261" t="s">
        <v>311</v>
      </c>
      <c r="BQ261" t="s">
        <v>311</v>
      </c>
      <c r="BR261" t="s">
        <v>311</v>
      </c>
      <c r="BS261" t="s">
        <v>311</v>
      </c>
      <c r="BT261" t="s">
        <v>311</v>
      </c>
      <c r="BU261" t="s">
        <v>311</v>
      </c>
      <c r="BV261" t="s">
        <v>311</v>
      </c>
      <c r="BW261" t="s">
        <v>311</v>
      </c>
      <c r="BX261" t="s">
        <v>311</v>
      </c>
      <c r="BY261" t="s">
        <v>311</v>
      </c>
      <c r="BZ261">
        <v>4</v>
      </c>
      <c r="CA261">
        <v>13</v>
      </c>
      <c r="CB261" t="s">
        <v>1210</v>
      </c>
      <c r="CC261" t="s">
        <v>1210</v>
      </c>
      <c r="CD261" t="s">
        <v>1491</v>
      </c>
      <c r="CE261" t="s">
        <v>1490</v>
      </c>
      <c r="CF261">
        <v>50</v>
      </c>
      <c r="CG261" t="s">
        <v>1491</v>
      </c>
      <c r="CH261" t="s">
        <v>1492</v>
      </c>
      <c r="CI261">
        <v>50</v>
      </c>
      <c r="CJ261" s="38" t="s">
        <v>311</v>
      </c>
      <c r="CK261" s="38" t="s">
        <v>311</v>
      </c>
      <c r="CL261" s="38" t="s">
        <v>311</v>
      </c>
      <c r="CM261" s="38" t="s">
        <v>311</v>
      </c>
      <c r="CN261" s="38" t="s">
        <v>311</v>
      </c>
      <c r="CO261" s="38" t="s">
        <v>311</v>
      </c>
      <c r="CP261" s="38" t="s">
        <v>311</v>
      </c>
      <c r="CQ261" t="s">
        <v>1710</v>
      </c>
      <c r="CR261" t="s">
        <v>1898</v>
      </c>
    </row>
    <row r="262" spans="1:96">
      <c r="A262">
        <v>261</v>
      </c>
      <c r="B262">
        <v>40</v>
      </c>
      <c r="C262">
        <v>2</v>
      </c>
      <c r="D262" t="s">
        <v>1374</v>
      </c>
      <c r="E262" t="s">
        <v>1375</v>
      </c>
      <c r="F262" t="s">
        <v>1376</v>
      </c>
      <c r="G262">
        <v>2024</v>
      </c>
      <c r="H262" t="s">
        <v>1460</v>
      </c>
      <c r="I262" t="s">
        <v>1461</v>
      </c>
      <c r="J262">
        <v>55.63</v>
      </c>
      <c r="K262">
        <v>-1.63</v>
      </c>
      <c r="L262" t="s">
        <v>1463</v>
      </c>
      <c r="M262" t="s">
        <v>1462</v>
      </c>
      <c r="N262" t="s">
        <v>600</v>
      </c>
      <c r="O262" t="s">
        <v>532</v>
      </c>
      <c r="P262" t="s">
        <v>693</v>
      </c>
      <c r="Q262" t="s">
        <v>333</v>
      </c>
      <c r="R262" t="s">
        <v>710</v>
      </c>
      <c r="S262" t="s">
        <v>311</v>
      </c>
      <c r="T262" t="s">
        <v>331</v>
      </c>
      <c r="U262">
        <v>1</v>
      </c>
      <c r="V262" t="s">
        <v>559</v>
      </c>
      <c r="W262">
        <v>2022</v>
      </c>
      <c r="X262" t="s">
        <v>340</v>
      </c>
      <c r="Y262" t="s">
        <v>311</v>
      </c>
      <c r="Z262" t="s">
        <v>563</v>
      </c>
      <c r="AA262" t="s">
        <v>303</v>
      </c>
      <c r="AB262" t="s">
        <v>311</v>
      </c>
      <c r="AC262" t="s">
        <v>311</v>
      </c>
      <c r="AD262" t="s">
        <v>292</v>
      </c>
      <c r="AE262" t="s">
        <v>1468</v>
      </c>
      <c r="AF262" t="s">
        <v>567</v>
      </c>
      <c r="AG262" t="s">
        <v>1901</v>
      </c>
      <c r="AH262" t="s">
        <v>591</v>
      </c>
      <c r="AI262" t="s">
        <v>1469</v>
      </c>
      <c r="AJ262" t="s">
        <v>1470</v>
      </c>
      <c r="AK262" t="s">
        <v>1052</v>
      </c>
      <c r="AL262" t="s">
        <v>1045</v>
      </c>
      <c r="AM262" t="s">
        <v>1059</v>
      </c>
      <c r="AN262" t="s">
        <v>584</v>
      </c>
      <c r="AO262" t="s">
        <v>948</v>
      </c>
      <c r="AP262" t="s">
        <v>887</v>
      </c>
      <c r="AQ262" t="s">
        <v>887</v>
      </c>
      <c r="AR262">
        <v>0.45</v>
      </c>
      <c r="AS262" t="s">
        <v>311</v>
      </c>
      <c r="AT262">
        <v>1.0870046</v>
      </c>
      <c r="AU262">
        <v>20</v>
      </c>
      <c r="AV262">
        <v>0</v>
      </c>
      <c r="AW262" t="s">
        <v>311</v>
      </c>
      <c r="AX262">
        <v>0</v>
      </c>
      <c r="AY262">
        <v>20</v>
      </c>
      <c r="AZ262" t="s">
        <v>1677</v>
      </c>
      <c r="BA262" t="s">
        <v>1680</v>
      </c>
      <c r="BB262">
        <v>0</v>
      </c>
      <c r="BC262" t="s">
        <v>1672</v>
      </c>
      <c r="BD262" t="s">
        <v>311</v>
      </c>
      <c r="BE262" t="s">
        <v>1880</v>
      </c>
      <c r="BF262" t="s">
        <v>311</v>
      </c>
      <c r="BG262" t="s">
        <v>311</v>
      </c>
      <c r="BH262" t="s">
        <v>311</v>
      </c>
      <c r="BI262" t="s">
        <v>311</v>
      </c>
      <c r="BJ262" t="s">
        <v>311</v>
      </c>
      <c r="BK262" t="s">
        <v>311</v>
      </c>
      <c r="BL262" t="s">
        <v>311</v>
      </c>
      <c r="BM262" t="s">
        <v>311</v>
      </c>
      <c r="BN262" t="s">
        <v>311</v>
      </c>
      <c r="BO262" t="s">
        <v>311</v>
      </c>
      <c r="BP262" t="s">
        <v>311</v>
      </c>
      <c r="BQ262" t="s">
        <v>311</v>
      </c>
      <c r="BR262" t="s">
        <v>311</v>
      </c>
      <c r="BS262" t="s">
        <v>311</v>
      </c>
      <c r="BT262" t="s">
        <v>311</v>
      </c>
      <c r="BU262" t="s">
        <v>311</v>
      </c>
      <c r="BV262" t="s">
        <v>311</v>
      </c>
      <c r="BW262" t="s">
        <v>311</v>
      </c>
      <c r="BX262" t="s">
        <v>311</v>
      </c>
      <c r="BY262" t="s">
        <v>311</v>
      </c>
      <c r="BZ262">
        <v>4</v>
      </c>
      <c r="CA262">
        <v>13</v>
      </c>
      <c r="CB262" t="s">
        <v>1210</v>
      </c>
      <c r="CC262" t="s">
        <v>1210</v>
      </c>
      <c r="CD262" t="s">
        <v>1491</v>
      </c>
      <c r="CE262" t="s">
        <v>1490</v>
      </c>
      <c r="CF262">
        <v>50</v>
      </c>
      <c r="CG262" t="s">
        <v>1491</v>
      </c>
      <c r="CH262" t="s">
        <v>1492</v>
      </c>
      <c r="CI262">
        <v>50</v>
      </c>
      <c r="CJ262" s="38" t="s">
        <v>311</v>
      </c>
      <c r="CK262" s="38" t="s">
        <v>311</v>
      </c>
      <c r="CL262" s="38" t="s">
        <v>311</v>
      </c>
      <c r="CM262" s="38" t="s">
        <v>311</v>
      </c>
      <c r="CN262" s="38" t="s">
        <v>311</v>
      </c>
      <c r="CO262" s="38" t="s">
        <v>311</v>
      </c>
      <c r="CP262" s="38" t="s">
        <v>311</v>
      </c>
      <c r="CQ262" t="s">
        <v>1710</v>
      </c>
      <c r="CR262" t="s">
        <v>1473</v>
      </c>
    </row>
    <row r="263" spans="1:96">
      <c r="A263">
        <v>262</v>
      </c>
      <c r="B263">
        <v>40</v>
      </c>
      <c r="C263">
        <v>3</v>
      </c>
      <c r="D263" t="s">
        <v>1374</v>
      </c>
      <c r="E263" t="s">
        <v>1375</v>
      </c>
      <c r="F263" t="s">
        <v>1376</v>
      </c>
      <c r="G263">
        <v>2024</v>
      </c>
      <c r="H263" t="s">
        <v>1460</v>
      </c>
      <c r="I263" t="s">
        <v>1461</v>
      </c>
      <c r="J263">
        <v>55.63</v>
      </c>
      <c r="K263">
        <v>-1.63</v>
      </c>
      <c r="L263" t="s">
        <v>1463</v>
      </c>
      <c r="M263" t="s">
        <v>1462</v>
      </c>
      <c r="N263" t="s">
        <v>600</v>
      </c>
      <c r="O263" t="s">
        <v>532</v>
      </c>
      <c r="P263" t="s">
        <v>693</v>
      </c>
      <c r="Q263" t="s">
        <v>333</v>
      </c>
      <c r="R263" t="s">
        <v>710</v>
      </c>
      <c r="S263" t="s">
        <v>311</v>
      </c>
      <c r="T263" t="s">
        <v>331</v>
      </c>
      <c r="U263">
        <v>1</v>
      </c>
      <c r="V263" t="s">
        <v>559</v>
      </c>
      <c r="W263">
        <v>2022</v>
      </c>
      <c r="X263" t="s">
        <v>340</v>
      </c>
      <c r="Y263" t="s">
        <v>311</v>
      </c>
      <c r="Z263" t="s">
        <v>563</v>
      </c>
      <c r="AA263" t="s">
        <v>303</v>
      </c>
      <c r="AB263" t="s">
        <v>311</v>
      </c>
      <c r="AC263" t="s">
        <v>311</v>
      </c>
      <c r="AD263" t="s">
        <v>292</v>
      </c>
      <c r="AE263" t="s">
        <v>713</v>
      </c>
      <c r="AF263" t="s">
        <v>567</v>
      </c>
      <c r="AG263" t="s">
        <v>1901</v>
      </c>
      <c r="AH263" t="s">
        <v>591</v>
      </c>
      <c r="AI263" t="s">
        <v>1471</v>
      </c>
      <c r="AJ263" t="s">
        <v>730</v>
      </c>
      <c r="AK263" t="s">
        <v>1466</v>
      </c>
      <c r="AL263" t="s">
        <v>1045</v>
      </c>
      <c r="AM263" t="s">
        <v>1059</v>
      </c>
      <c r="AN263" t="s">
        <v>584</v>
      </c>
      <c r="AO263" t="s">
        <v>948</v>
      </c>
      <c r="AP263" t="s">
        <v>887</v>
      </c>
      <c r="AQ263" t="s">
        <v>887</v>
      </c>
      <c r="AR263">
        <v>0.85</v>
      </c>
      <c r="AS263" t="s">
        <v>311</v>
      </c>
      <c r="AT263">
        <v>2.0332758000000002</v>
      </c>
      <c r="AU263">
        <v>20</v>
      </c>
      <c r="AV263">
        <v>1.2250000000000001</v>
      </c>
      <c r="AW263" t="s">
        <v>311</v>
      </c>
      <c r="AX263">
        <v>2.4304808000000002</v>
      </c>
      <c r="AY263">
        <v>20</v>
      </c>
      <c r="AZ263" t="s">
        <v>1677</v>
      </c>
      <c r="BA263" t="s">
        <v>1680</v>
      </c>
      <c r="BB263">
        <v>0</v>
      </c>
      <c r="BC263" t="s">
        <v>1672</v>
      </c>
      <c r="BD263" t="s">
        <v>311</v>
      </c>
      <c r="BE263" t="s">
        <v>1880</v>
      </c>
      <c r="BF263" t="s">
        <v>311</v>
      </c>
      <c r="BG263" t="s">
        <v>311</v>
      </c>
      <c r="BH263" t="s">
        <v>311</v>
      </c>
      <c r="BI263" t="s">
        <v>311</v>
      </c>
      <c r="BJ263" t="s">
        <v>311</v>
      </c>
      <c r="BK263" t="s">
        <v>311</v>
      </c>
      <c r="BL263" t="s">
        <v>311</v>
      </c>
      <c r="BM263" t="s">
        <v>311</v>
      </c>
      <c r="BN263" t="s">
        <v>311</v>
      </c>
      <c r="BO263" t="s">
        <v>311</v>
      </c>
      <c r="BP263" t="s">
        <v>311</v>
      </c>
      <c r="BQ263" t="s">
        <v>311</v>
      </c>
      <c r="BR263" t="s">
        <v>311</v>
      </c>
      <c r="BS263" t="s">
        <v>311</v>
      </c>
      <c r="BT263" t="s">
        <v>311</v>
      </c>
      <c r="BU263" t="s">
        <v>311</v>
      </c>
      <c r="BV263" t="s">
        <v>311</v>
      </c>
      <c r="BW263" t="s">
        <v>311</v>
      </c>
      <c r="BX263" t="s">
        <v>311</v>
      </c>
      <c r="BY263" t="s">
        <v>311</v>
      </c>
      <c r="BZ263">
        <v>4</v>
      </c>
      <c r="CA263">
        <v>13</v>
      </c>
      <c r="CB263" t="s">
        <v>1210</v>
      </c>
      <c r="CC263" t="s">
        <v>1210</v>
      </c>
      <c r="CD263" t="s">
        <v>1491</v>
      </c>
      <c r="CE263" t="s">
        <v>1490</v>
      </c>
      <c r="CF263">
        <v>50</v>
      </c>
      <c r="CG263" t="s">
        <v>1491</v>
      </c>
      <c r="CH263" t="s">
        <v>1492</v>
      </c>
      <c r="CI263">
        <v>50</v>
      </c>
      <c r="CJ263" s="38" t="s">
        <v>311</v>
      </c>
      <c r="CK263" s="38" t="s">
        <v>311</v>
      </c>
      <c r="CL263" s="38" t="s">
        <v>311</v>
      </c>
      <c r="CM263" s="38" t="s">
        <v>311</v>
      </c>
      <c r="CN263" s="38" t="s">
        <v>311</v>
      </c>
      <c r="CO263" s="38" t="s">
        <v>311</v>
      </c>
      <c r="CP263" s="38" t="s">
        <v>311</v>
      </c>
      <c r="CQ263" t="s">
        <v>1710</v>
      </c>
      <c r="CR263" t="s">
        <v>1474</v>
      </c>
    </row>
    <row r="264" spans="1:96">
      <c r="A264">
        <v>263</v>
      </c>
      <c r="B264">
        <v>40</v>
      </c>
      <c r="C264">
        <v>4</v>
      </c>
      <c r="D264" t="s">
        <v>1374</v>
      </c>
      <c r="E264" t="s">
        <v>1375</v>
      </c>
      <c r="F264" t="s">
        <v>1376</v>
      </c>
      <c r="G264">
        <v>2024</v>
      </c>
      <c r="H264" t="s">
        <v>1460</v>
      </c>
      <c r="I264" t="s">
        <v>1461</v>
      </c>
      <c r="J264">
        <v>55.63</v>
      </c>
      <c r="K264">
        <v>-1.63</v>
      </c>
      <c r="L264" t="s">
        <v>1463</v>
      </c>
      <c r="M264" t="s">
        <v>1462</v>
      </c>
      <c r="N264" t="s">
        <v>600</v>
      </c>
      <c r="O264" t="s">
        <v>532</v>
      </c>
      <c r="P264" t="s">
        <v>693</v>
      </c>
      <c r="Q264" t="s">
        <v>333</v>
      </c>
      <c r="R264" t="s">
        <v>710</v>
      </c>
      <c r="S264" t="s">
        <v>311</v>
      </c>
      <c r="T264" t="s">
        <v>331</v>
      </c>
      <c r="U264">
        <v>1</v>
      </c>
      <c r="V264" t="s">
        <v>559</v>
      </c>
      <c r="W264">
        <v>2022</v>
      </c>
      <c r="X264" t="s">
        <v>340</v>
      </c>
      <c r="Y264" t="s">
        <v>311</v>
      </c>
      <c r="Z264" t="s">
        <v>563</v>
      </c>
      <c r="AA264" t="s">
        <v>303</v>
      </c>
      <c r="AB264" t="s">
        <v>311</v>
      </c>
      <c r="AC264" t="s">
        <v>311</v>
      </c>
      <c r="AD264" t="s">
        <v>309</v>
      </c>
      <c r="AE264" t="s">
        <v>1472</v>
      </c>
      <c r="AF264" t="s">
        <v>660</v>
      </c>
      <c r="AG264" t="s">
        <v>1903</v>
      </c>
      <c r="AH264" t="s">
        <v>591</v>
      </c>
      <c r="AI264" t="s">
        <v>311</v>
      </c>
      <c r="AJ264" t="s">
        <v>311</v>
      </c>
      <c r="AK264" t="s">
        <v>1467</v>
      </c>
      <c r="AL264" t="s">
        <v>1045</v>
      </c>
      <c r="AM264" t="s">
        <v>1059</v>
      </c>
      <c r="AN264" t="s">
        <v>584</v>
      </c>
      <c r="AO264" t="s">
        <v>948</v>
      </c>
      <c r="AP264" t="s">
        <v>887</v>
      </c>
      <c r="AQ264" t="s">
        <v>887</v>
      </c>
      <c r="AR264">
        <v>6.5</v>
      </c>
      <c r="AS264" t="s">
        <v>311</v>
      </c>
      <c r="AT264">
        <v>7.7832479000000001</v>
      </c>
      <c r="AU264">
        <v>20</v>
      </c>
      <c r="AV264">
        <v>3.45</v>
      </c>
      <c r="AW264" t="s">
        <v>311</v>
      </c>
      <c r="AX264">
        <v>6.1599298999999998</v>
      </c>
      <c r="AY264">
        <v>20</v>
      </c>
      <c r="AZ264" t="s">
        <v>1677</v>
      </c>
      <c r="BA264" t="s">
        <v>1680</v>
      </c>
      <c r="BB264">
        <v>0</v>
      </c>
      <c r="BC264" t="s">
        <v>1672</v>
      </c>
      <c r="BD264" t="s">
        <v>311</v>
      </c>
      <c r="BE264" t="s">
        <v>1880</v>
      </c>
      <c r="BF264" t="s">
        <v>311</v>
      </c>
      <c r="BG264" t="s">
        <v>311</v>
      </c>
      <c r="BH264" t="s">
        <v>311</v>
      </c>
      <c r="BI264" t="s">
        <v>311</v>
      </c>
      <c r="BJ264" t="s">
        <v>311</v>
      </c>
      <c r="BK264" t="s">
        <v>311</v>
      </c>
      <c r="BL264" t="s">
        <v>311</v>
      </c>
      <c r="BM264" t="s">
        <v>311</v>
      </c>
      <c r="BN264" t="s">
        <v>311</v>
      </c>
      <c r="BO264" t="s">
        <v>311</v>
      </c>
      <c r="BP264" t="s">
        <v>311</v>
      </c>
      <c r="BQ264" t="s">
        <v>311</v>
      </c>
      <c r="BR264" t="s">
        <v>311</v>
      </c>
      <c r="BS264" t="s">
        <v>311</v>
      </c>
      <c r="BT264" t="s">
        <v>311</v>
      </c>
      <c r="BU264" t="s">
        <v>311</v>
      </c>
      <c r="BV264" t="s">
        <v>311</v>
      </c>
      <c r="BW264" t="s">
        <v>311</v>
      </c>
      <c r="BX264" t="s">
        <v>311</v>
      </c>
      <c r="BY264" t="s">
        <v>311</v>
      </c>
      <c r="BZ264">
        <v>4</v>
      </c>
      <c r="CA264">
        <v>13</v>
      </c>
      <c r="CB264" t="s">
        <v>1210</v>
      </c>
      <c r="CC264" t="s">
        <v>1210</v>
      </c>
      <c r="CD264" t="s">
        <v>1491</v>
      </c>
      <c r="CE264" t="s">
        <v>1490</v>
      </c>
      <c r="CF264">
        <v>50</v>
      </c>
      <c r="CG264" t="s">
        <v>1491</v>
      </c>
      <c r="CH264" t="s">
        <v>1492</v>
      </c>
      <c r="CI264">
        <v>50</v>
      </c>
      <c r="CJ264" s="38" t="s">
        <v>311</v>
      </c>
      <c r="CK264" s="38" t="s">
        <v>311</v>
      </c>
      <c r="CL264" s="38" t="s">
        <v>311</v>
      </c>
      <c r="CM264" s="38" t="s">
        <v>311</v>
      </c>
      <c r="CN264" s="38" t="s">
        <v>311</v>
      </c>
      <c r="CO264" s="38" t="s">
        <v>311</v>
      </c>
      <c r="CP264" s="38" t="s">
        <v>311</v>
      </c>
      <c r="CQ264" t="s">
        <v>1710</v>
      </c>
      <c r="CR264" t="s">
        <v>1475</v>
      </c>
    </row>
    <row r="265" spans="1:96">
      <c r="A265">
        <v>264</v>
      </c>
      <c r="B265">
        <v>40</v>
      </c>
      <c r="C265">
        <v>5</v>
      </c>
      <c r="D265" t="s">
        <v>1374</v>
      </c>
      <c r="E265" t="s">
        <v>1375</v>
      </c>
      <c r="F265" t="s">
        <v>1376</v>
      </c>
      <c r="G265">
        <v>2024</v>
      </c>
      <c r="H265" t="s">
        <v>1460</v>
      </c>
      <c r="I265" t="s">
        <v>1461</v>
      </c>
      <c r="J265">
        <v>55.63</v>
      </c>
      <c r="K265">
        <v>-1.63</v>
      </c>
      <c r="L265" t="s">
        <v>1463</v>
      </c>
      <c r="M265" t="s">
        <v>1462</v>
      </c>
      <c r="N265" t="s">
        <v>600</v>
      </c>
      <c r="O265" t="s">
        <v>532</v>
      </c>
      <c r="P265" t="s">
        <v>693</v>
      </c>
      <c r="Q265" t="s">
        <v>333</v>
      </c>
      <c r="R265" t="s">
        <v>710</v>
      </c>
      <c r="S265" t="s">
        <v>311</v>
      </c>
      <c r="T265" t="s">
        <v>331</v>
      </c>
      <c r="U265">
        <v>1</v>
      </c>
      <c r="V265" t="s">
        <v>559</v>
      </c>
      <c r="W265">
        <v>2022</v>
      </c>
      <c r="X265" t="s">
        <v>340</v>
      </c>
      <c r="Y265" t="s">
        <v>311</v>
      </c>
      <c r="Z265" t="s">
        <v>563</v>
      </c>
      <c r="AA265" t="s">
        <v>303</v>
      </c>
      <c r="AB265" t="s">
        <v>311</v>
      </c>
      <c r="AC265" t="s">
        <v>311</v>
      </c>
      <c r="AD265" t="s">
        <v>292</v>
      </c>
      <c r="AE265" t="s">
        <v>1083</v>
      </c>
      <c r="AF265" t="s">
        <v>567</v>
      </c>
      <c r="AG265" t="s">
        <v>1901</v>
      </c>
      <c r="AH265" t="s">
        <v>343</v>
      </c>
      <c r="AI265" t="s">
        <v>1464</v>
      </c>
      <c r="AJ265" t="s">
        <v>1477</v>
      </c>
      <c r="AK265" t="s">
        <v>1476</v>
      </c>
      <c r="AL265" t="s">
        <v>1045</v>
      </c>
      <c r="AM265" t="s">
        <v>1059</v>
      </c>
      <c r="AN265" t="s">
        <v>584</v>
      </c>
      <c r="AO265" t="s">
        <v>948</v>
      </c>
      <c r="AP265" t="s">
        <v>887</v>
      </c>
      <c r="AQ265" t="s">
        <v>887</v>
      </c>
      <c r="AR265">
        <v>55.55</v>
      </c>
      <c r="AS265" t="s">
        <v>311</v>
      </c>
      <c r="AT265">
        <v>27.638121999999999</v>
      </c>
      <c r="AU265">
        <v>20</v>
      </c>
      <c r="AV265">
        <v>36.575000000000003</v>
      </c>
      <c r="AW265" t="s">
        <v>311</v>
      </c>
      <c r="AX265">
        <v>33.972231299999997</v>
      </c>
      <c r="AY265">
        <v>20</v>
      </c>
      <c r="AZ265" t="s">
        <v>1677</v>
      </c>
      <c r="BA265" t="s">
        <v>1680</v>
      </c>
      <c r="BB265">
        <v>0</v>
      </c>
      <c r="BC265" t="s">
        <v>1672</v>
      </c>
      <c r="BD265" t="s">
        <v>311</v>
      </c>
      <c r="BE265" t="s">
        <v>1880</v>
      </c>
      <c r="BF265" t="s">
        <v>311</v>
      </c>
      <c r="BG265" t="s">
        <v>311</v>
      </c>
      <c r="BH265" t="s">
        <v>311</v>
      </c>
      <c r="BI265" t="s">
        <v>311</v>
      </c>
      <c r="BJ265" t="s">
        <v>311</v>
      </c>
      <c r="BK265" t="s">
        <v>311</v>
      </c>
      <c r="BL265" t="s">
        <v>311</v>
      </c>
      <c r="BM265" t="s">
        <v>311</v>
      </c>
      <c r="BN265" t="s">
        <v>311</v>
      </c>
      <c r="BO265" t="s">
        <v>311</v>
      </c>
      <c r="BP265" t="s">
        <v>311</v>
      </c>
      <c r="BQ265" t="s">
        <v>311</v>
      </c>
      <c r="BR265" t="s">
        <v>311</v>
      </c>
      <c r="BS265" t="s">
        <v>311</v>
      </c>
      <c r="BT265" t="s">
        <v>311</v>
      </c>
      <c r="BU265" t="s">
        <v>311</v>
      </c>
      <c r="BV265" t="s">
        <v>311</v>
      </c>
      <c r="BW265" t="s">
        <v>311</v>
      </c>
      <c r="BX265" t="s">
        <v>311</v>
      </c>
      <c r="BY265" t="s">
        <v>311</v>
      </c>
      <c r="BZ265">
        <v>4</v>
      </c>
      <c r="CA265">
        <v>13</v>
      </c>
      <c r="CB265" t="s">
        <v>1210</v>
      </c>
      <c r="CC265" t="s">
        <v>1210</v>
      </c>
      <c r="CD265" t="s">
        <v>1491</v>
      </c>
      <c r="CE265" t="s">
        <v>1490</v>
      </c>
      <c r="CF265">
        <v>50</v>
      </c>
      <c r="CG265" t="s">
        <v>1491</v>
      </c>
      <c r="CH265" t="s">
        <v>1492</v>
      </c>
      <c r="CI265">
        <v>50</v>
      </c>
      <c r="CJ265" s="38" t="s">
        <v>311</v>
      </c>
      <c r="CK265" s="38" t="s">
        <v>311</v>
      </c>
      <c r="CL265" s="38" t="s">
        <v>311</v>
      </c>
      <c r="CM265" s="38" t="s">
        <v>311</v>
      </c>
      <c r="CN265" s="38" t="s">
        <v>311</v>
      </c>
      <c r="CO265" s="38" t="s">
        <v>311</v>
      </c>
      <c r="CP265" s="38" t="s">
        <v>311</v>
      </c>
      <c r="CQ265" t="s">
        <v>1710</v>
      </c>
      <c r="CR265" t="s">
        <v>1485</v>
      </c>
    </row>
    <row r="266" spans="1:96">
      <c r="A266">
        <v>265</v>
      </c>
      <c r="B266">
        <v>40</v>
      </c>
      <c r="C266">
        <v>6</v>
      </c>
      <c r="D266" t="s">
        <v>1374</v>
      </c>
      <c r="E266" t="s">
        <v>1375</v>
      </c>
      <c r="F266" t="s">
        <v>1376</v>
      </c>
      <c r="G266">
        <v>2024</v>
      </c>
      <c r="H266" t="s">
        <v>1460</v>
      </c>
      <c r="I266" t="s">
        <v>1461</v>
      </c>
      <c r="J266">
        <v>55.63</v>
      </c>
      <c r="K266">
        <v>-1.63</v>
      </c>
      <c r="L266" t="s">
        <v>1463</v>
      </c>
      <c r="M266" t="s">
        <v>1462</v>
      </c>
      <c r="N266" t="s">
        <v>600</v>
      </c>
      <c r="O266" t="s">
        <v>532</v>
      </c>
      <c r="P266" t="s">
        <v>693</v>
      </c>
      <c r="Q266" t="s">
        <v>333</v>
      </c>
      <c r="R266" t="s">
        <v>710</v>
      </c>
      <c r="S266" t="s">
        <v>311</v>
      </c>
      <c r="T266" t="s">
        <v>331</v>
      </c>
      <c r="U266">
        <v>1</v>
      </c>
      <c r="V266" t="s">
        <v>559</v>
      </c>
      <c r="W266">
        <v>2022</v>
      </c>
      <c r="X266" t="s">
        <v>340</v>
      </c>
      <c r="Y266" t="s">
        <v>311</v>
      </c>
      <c r="Z266" t="s">
        <v>563</v>
      </c>
      <c r="AA266" t="s">
        <v>303</v>
      </c>
      <c r="AB266" t="s">
        <v>311</v>
      </c>
      <c r="AC266" t="s">
        <v>311</v>
      </c>
      <c r="AD266" t="s">
        <v>292</v>
      </c>
      <c r="AE266" t="s">
        <v>1478</v>
      </c>
      <c r="AF266" t="s">
        <v>567</v>
      </c>
      <c r="AG266" t="s">
        <v>1901</v>
      </c>
      <c r="AH266" t="s">
        <v>570</v>
      </c>
      <c r="AI266" t="s">
        <v>1479</v>
      </c>
      <c r="AJ266" t="s">
        <v>730</v>
      </c>
      <c r="AK266" t="s">
        <v>1476</v>
      </c>
      <c r="AL266" t="s">
        <v>1045</v>
      </c>
      <c r="AM266" t="s">
        <v>1059</v>
      </c>
      <c r="AN266" t="s">
        <v>584</v>
      </c>
      <c r="AO266" t="s">
        <v>948</v>
      </c>
      <c r="AP266" t="s">
        <v>887</v>
      </c>
      <c r="AQ266" t="s">
        <v>887</v>
      </c>
      <c r="AR266">
        <v>1.95</v>
      </c>
      <c r="AS266" t="s">
        <v>311</v>
      </c>
      <c r="AT266">
        <v>2.8695314000000001</v>
      </c>
      <c r="AU266">
        <v>20</v>
      </c>
      <c r="AV266">
        <v>1.175</v>
      </c>
      <c r="AW266" t="s">
        <v>311</v>
      </c>
      <c r="AX266">
        <v>2.4616799999999999</v>
      </c>
      <c r="AY266">
        <v>20</v>
      </c>
      <c r="AZ266" t="s">
        <v>1677</v>
      </c>
      <c r="BA266" t="s">
        <v>1680</v>
      </c>
      <c r="BB266">
        <v>0</v>
      </c>
      <c r="BC266" t="s">
        <v>1672</v>
      </c>
      <c r="BD266" t="s">
        <v>311</v>
      </c>
      <c r="BE266" t="s">
        <v>1880</v>
      </c>
      <c r="BF266" t="s">
        <v>311</v>
      </c>
      <c r="BG266" t="s">
        <v>311</v>
      </c>
      <c r="BH266" t="s">
        <v>311</v>
      </c>
      <c r="BI266" t="s">
        <v>311</v>
      </c>
      <c r="BJ266" t="s">
        <v>311</v>
      </c>
      <c r="BK266" t="s">
        <v>311</v>
      </c>
      <c r="BL266" t="s">
        <v>311</v>
      </c>
      <c r="BM266" t="s">
        <v>311</v>
      </c>
      <c r="BN266" t="s">
        <v>311</v>
      </c>
      <c r="BO266" t="s">
        <v>311</v>
      </c>
      <c r="BP266" t="s">
        <v>311</v>
      </c>
      <c r="BQ266" t="s">
        <v>311</v>
      </c>
      <c r="BR266" t="s">
        <v>311</v>
      </c>
      <c r="BS266" t="s">
        <v>311</v>
      </c>
      <c r="BT266" t="s">
        <v>311</v>
      </c>
      <c r="BU266" t="s">
        <v>311</v>
      </c>
      <c r="BV266" t="s">
        <v>311</v>
      </c>
      <c r="BW266" t="s">
        <v>311</v>
      </c>
      <c r="BX266" t="s">
        <v>311</v>
      </c>
      <c r="BY266" t="s">
        <v>311</v>
      </c>
      <c r="BZ266">
        <v>4</v>
      </c>
      <c r="CA266">
        <v>13</v>
      </c>
      <c r="CB266" t="s">
        <v>1210</v>
      </c>
      <c r="CC266" t="s">
        <v>1210</v>
      </c>
      <c r="CD266" t="s">
        <v>1491</v>
      </c>
      <c r="CE266" t="s">
        <v>1490</v>
      </c>
      <c r="CF266">
        <v>50</v>
      </c>
      <c r="CG266" t="s">
        <v>1491</v>
      </c>
      <c r="CH266" t="s">
        <v>1492</v>
      </c>
      <c r="CI266">
        <v>50</v>
      </c>
      <c r="CJ266" s="38" t="s">
        <v>311</v>
      </c>
      <c r="CK266" s="38" t="s">
        <v>311</v>
      </c>
      <c r="CL266" s="38" t="s">
        <v>311</v>
      </c>
      <c r="CM266" s="38" t="s">
        <v>311</v>
      </c>
      <c r="CN266" s="38" t="s">
        <v>311</v>
      </c>
      <c r="CO266" s="38" t="s">
        <v>311</v>
      </c>
      <c r="CP266" s="38" t="s">
        <v>311</v>
      </c>
      <c r="CQ266" t="s">
        <v>1710</v>
      </c>
    </row>
    <row r="267" spans="1:96">
      <c r="A267">
        <v>266</v>
      </c>
      <c r="B267">
        <v>40</v>
      </c>
      <c r="C267">
        <v>7</v>
      </c>
      <c r="D267" t="s">
        <v>1374</v>
      </c>
      <c r="E267" t="s">
        <v>1375</v>
      </c>
      <c r="F267" t="s">
        <v>1376</v>
      </c>
      <c r="G267">
        <v>2024</v>
      </c>
      <c r="H267" t="s">
        <v>1460</v>
      </c>
      <c r="I267" t="s">
        <v>1461</v>
      </c>
      <c r="J267">
        <v>55.63</v>
      </c>
      <c r="K267">
        <v>-1.63</v>
      </c>
      <c r="L267" t="s">
        <v>1463</v>
      </c>
      <c r="M267" t="s">
        <v>1462</v>
      </c>
      <c r="N267" t="s">
        <v>600</v>
      </c>
      <c r="O267" t="s">
        <v>532</v>
      </c>
      <c r="P267" t="s">
        <v>693</v>
      </c>
      <c r="Q267" t="s">
        <v>333</v>
      </c>
      <c r="R267" t="s">
        <v>710</v>
      </c>
      <c r="S267" t="s">
        <v>311</v>
      </c>
      <c r="T267" t="s">
        <v>331</v>
      </c>
      <c r="U267">
        <v>1</v>
      </c>
      <c r="V267" t="s">
        <v>559</v>
      </c>
      <c r="W267">
        <v>2022</v>
      </c>
      <c r="X267" t="s">
        <v>340</v>
      </c>
      <c r="Y267" t="s">
        <v>311</v>
      </c>
      <c r="Z267" t="s">
        <v>563</v>
      </c>
      <c r="AA267" t="s">
        <v>303</v>
      </c>
      <c r="AB267" t="s">
        <v>311</v>
      </c>
      <c r="AC267" t="s">
        <v>311</v>
      </c>
      <c r="AD267" t="s">
        <v>309</v>
      </c>
      <c r="AE267" t="s">
        <v>1472</v>
      </c>
      <c r="AF267" t="s">
        <v>660</v>
      </c>
      <c r="AG267" t="s">
        <v>1903</v>
      </c>
      <c r="AH267" t="s">
        <v>591</v>
      </c>
      <c r="AI267" t="s">
        <v>1480</v>
      </c>
      <c r="AJ267" t="s">
        <v>311</v>
      </c>
      <c r="AK267" t="s">
        <v>1476</v>
      </c>
      <c r="AL267" t="s">
        <v>1045</v>
      </c>
      <c r="AM267" t="s">
        <v>1059</v>
      </c>
      <c r="AN267" t="s">
        <v>584</v>
      </c>
      <c r="AO267" t="s">
        <v>948</v>
      </c>
      <c r="AP267" t="s">
        <v>887</v>
      </c>
      <c r="AQ267" t="s">
        <v>887</v>
      </c>
      <c r="AR267">
        <v>0</v>
      </c>
      <c r="AS267" t="s">
        <v>311</v>
      </c>
      <c r="AT267">
        <v>0</v>
      </c>
      <c r="AU267">
        <v>20</v>
      </c>
      <c r="AV267">
        <v>2.5000000000000001E-2</v>
      </c>
      <c r="AW267" t="s">
        <v>311</v>
      </c>
      <c r="AX267">
        <v>0.1118034</v>
      </c>
      <c r="AY267">
        <v>20</v>
      </c>
      <c r="AZ267" t="s">
        <v>1677</v>
      </c>
      <c r="BA267" t="s">
        <v>1680</v>
      </c>
      <c r="BB267">
        <v>0</v>
      </c>
      <c r="BC267" t="s">
        <v>1672</v>
      </c>
      <c r="BD267" t="s">
        <v>311</v>
      </c>
      <c r="BE267" t="s">
        <v>1880</v>
      </c>
      <c r="BF267" t="s">
        <v>311</v>
      </c>
      <c r="BG267" t="s">
        <v>311</v>
      </c>
      <c r="BH267" t="s">
        <v>311</v>
      </c>
      <c r="BI267" t="s">
        <v>311</v>
      </c>
      <c r="BJ267" t="s">
        <v>311</v>
      </c>
      <c r="BK267" t="s">
        <v>311</v>
      </c>
      <c r="BL267" t="s">
        <v>311</v>
      </c>
      <c r="BM267" t="s">
        <v>311</v>
      </c>
      <c r="BN267" t="s">
        <v>311</v>
      </c>
      <c r="BO267" t="s">
        <v>311</v>
      </c>
      <c r="BP267" t="s">
        <v>311</v>
      </c>
      <c r="BQ267" t="s">
        <v>311</v>
      </c>
      <c r="BR267" t="s">
        <v>311</v>
      </c>
      <c r="BS267" t="s">
        <v>311</v>
      </c>
      <c r="BT267" t="s">
        <v>311</v>
      </c>
      <c r="BU267" t="s">
        <v>311</v>
      </c>
      <c r="BV267" t="s">
        <v>311</v>
      </c>
      <c r="BW267" t="s">
        <v>311</v>
      </c>
      <c r="BX267" t="s">
        <v>311</v>
      </c>
      <c r="BY267" t="s">
        <v>311</v>
      </c>
      <c r="BZ267">
        <v>4</v>
      </c>
      <c r="CA267">
        <v>13</v>
      </c>
      <c r="CB267" t="s">
        <v>1210</v>
      </c>
      <c r="CC267" t="s">
        <v>1210</v>
      </c>
      <c r="CD267" t="s">
        <v>1491</v>
      </c>
      <c r="CE267" t="s">
        <v>1490</v>
      </c>
      <c r="CF267">
        <v>50</v>
      </c>
      <c r="CG267" t="s">
        <v>1491</v>
      </c>
      <c r="CH267" t="s">
        <v>1492</v>
      </c>
      <c r="CI267">
        <v>50</v>
      </c>
      <c r="CJ267" s="38" t="s">
        <v>311</v>
      </c>
      <c r="CK267" s="38" t="s">
        <v>311</v>
      </c>
      <c r="CL267" s="38" t="s">
        <v>311</v>
      </c>
      <c r="CM267" s="38" t="s">
        <v>311</v>
      </c>
      <c r="CN267" s="38" t="s">
        <v>311</v>
      </c>
      <c r="CO267" s="38" t="s">
        <v>311</v>
      </c>
      <c r="CP267" s="38" t="s">
        <v>311</v>
      </c>
      <c r="CQ267" t="s">
        <v>1710</v>
      </c>
    </row>
    <row r="268" spans="1:96">
      <c r="A268">
        <v>267</v>
      </c>
      <c r="B268">
        <v>40</v>
      </c>
      <c r="C268">
        <v>8</v>
      </c>
      <c r="D268" t="s">
        <v>1374</v>
      </c>
      <c r="E268" t="s">
        <v>1375</v>
      </c>
      <c r="F268" t="s">
        <v>1376</v>
      </c>
      <c r="G268">
        <v>2024</v>
      </c>
      <c r="H268" t="s">
        <v>1460</v>
      </c>
      <c r="I268" t="s">
        <v>1461</v>
      </c>
      <c r="J268">
        <v>55.63</v>
      </c>
      <c r="K268">
        <v>-1.63</v>
      </c>
      <c r="L268" t="s">
        <v>1463</v>
      </c>
      <c r="M268" t="s">
        <v>1462</v>
      </c>
      <c r="N268" t="s">
        <v>600</v>
      </c>
      <c r="O268" t="s">
        <v>532</v>
      </c>
      <c r="P268" t="s">
        <v>693</v>
      </c>
      <c r="Q268" t="s">
        <v>333</v>
      </c>
      <c r="R268" t="s">
        <v>710</v>
      </c>
      <c r="S268" t="s">
        <v>311</v>
      </c>
      <c r="T268" t="s">
        <v>331</v>
      </c>
      <c r="U268">
        <v>1</v>
      </c>
      <c r="V268" t="s">
        <v>559</v>
      </c>
      <c r="W268">
        <v>2022</v>
      </c>
      <c r="X268" t="s">
        <v>340</v>
      </c>
      <c r="Y268" t="s">
        <v>311</v>
      </c>
      <c r="Z268" t="s">
        <v>563</v>
      </c>
      <c r="AA268" t="s">
        <v>303</v>
      </c>
      <c r="AB268" t="s">
        <v>311</v>
      </c>
      <c r="AC268" t="s">
        <v>311</v>
      </c>
      <c r="AD268" t="s">
        <v>292</v>
      </c>
      <c r="AE268" t="s">
        <v>1083</v>
      </c>
      <c r="AF268" t="s">
        <v>567</v>
      </c>
      <c r="AG268" t="s">
        <v>1901</v>
      </c>
      <c r="AH268" t="s">
        <v>343</v>
      </c>
      <c r="AI268" t="s">
        <v>1481</v>
      </c>
      <c r="AJ268" t="s">
        <v>1482</v>
      </c>
      <c r="AK268" t="s">
        <v>1476</v>
      </c>
      <c r="AL268" t="s">
        <v>1045</v>
      </c>
      <c r="AM268" t="s">
        <v>1059</v>
      </c>
      <c r="AN268" t="s">
        <v>584</v>
      </c>
      <c r="AO268" t="s">
        <v>948</v>
      </c>
      <c r="AP268" t="s">
        <v>887</v>
      </c>
      <c r="AQ268" t="s">
        <v>887</v>
      </c>
      <c r="AR268">
        <v>4.95</v>
      </c>
      <c r="AS268" t="s">
        <v>311</v>
      </c>
      <c r="AT268">
        <v>14.1252853</v>
      </c>
      <c r="AU268">
        <v>20</v>
      </c>
      <c r="AV268">
        <v>0</v>
      </c>
      <c r="AW268" t="s">
        <v>311</v>
      </c>
      <c r="AX268">
        <v>0</v>
      </c>
      <c r="AY268">
        <v>20</v>
      </c>
      <c r="AZ268" t="s">
        <v>1677</v>
      </c>
      <c r="BA268" t="s">
        <v>1680</v>
      </c>
      <c r="BB268">
        <v>0</v>
      </c>
      <c r="BC268" t="s">
        <v>1672</v>
      </c>
      <c r="BD268" t="s">
        <v>311</v>
      </c>
      <c r="BE268" t="s">
        <v>1880</v>
      </c>
      <c r="BF268" t="s">
        <v>311</v>
      </c>
      <c r="BG268" t="s">
        <v>311</v>
      </c>
      <c r="BH268" t="s">
        <v>311</v>
      </c>
      <c r="BI268" t="s">
        <v>311</v>
      </c>
      <c r="BJ268" t="s">
        <v>311</v>
      </c>
      <c r="BK268" t="s">
        <v>311</v>
      </c>
      <c r="BL268" t="s">
        <v>311</v>
      </c>
      <c r="BM268" t="s">
        <v>311</v>
      </c>
      <c r="BN268" t="s">
        <v>311</v>
      </c>
      <c r="BO268" t="s">
        <v>311</v>
      </c>
      <c r="BP268" t="s">
        <v>311</v>
      </c>
      <c r="BQ268" t="s">
        <v>311</v>
      </c>
      <c r="BR268" t="s">
        <v>311</v>
      </c>
      <c r="BS268" t="s">
        <v>311</v>
      </c>
      <c r="BT268" t="s">
        <v>311</v>
      </c>
      <c r="BU268" t="s">
        <v>311</v>
      </c>
      <c r="BV268" t="s">
        <v>311</v>
      </c>
      <c r="BW268" t="s">
        <v>311</v>
      </c>
      <c r="BX268" t="s">
        <v>311</v>
      </c>
      <c r="BY268" t="s">
        <v>311</v>
      </c>
      <c r="BZ268">
        <v>4</v>
      </c>
      <c r="CA268">
        <v>13</v>
      </c>
      <c r="CB268" t="s">
        <v>1210</v>
      </c>
      <c r="CC268" t="s">
        <v>1210</v>
      </c>
      <c r="CD268" t="s">
        <v>1491</v>
      </c>
      <c r="CE268" t="s">
        <v>1490</v>
      </c>
      <c r="CF268">
        <v>50</v>
      </c>
      <c r="CG268" t="s">
        <v>1491</v>
      </c>
      <c r="CH268" t="s">
        <v>1492</v>
      </c>
      <c r="CI268">
        <v>50</v>
      </c>
      <c r="CJ268" s="38" t="s">
        <v>311</v>
      </c>
      <c r="CK268" s="38" t="s">
        <v>311</v>
      </c>
      <c r="CL268" s="38" t="s">
        <v>311</v>
      </c>
      <c r="CM268" s="38" t="s">
        <v>311</v>
      </c>
      <c r="CN268" s="38" t="s">
        <v>311</v>
      </c>
      <c r="CO268" s="38" t="s">
        <v>311</v>
      </c>
      <c r="CP268" s="38" t="s">
        <v>311</v>
      </c>
      <c r="CQ268" t="s">
        <v>1710</v>
      </c>
    </row>
    <row r="269" spans="1:96">
      <c r="A269">
        <v>268</v>
      </c>
      <c r="B269">
        <v>40</v>
      </c>
      <c r="C269">
        <v>9</v>
      </c>
      <c r="D269" t="s">
        <v>1374</v>
      </c>
      <c r="E269" t="s">
        <v>1375</v>
      </c>
      <c r="F269" t="s">
        <v>1376</v>
      </c>
      <c r="G269">
        <v>2024</v>
      </c>
      <c r="H269" t="s">
        <v>1460</v>
      </c>
      <c r="I269" t="s">
        <v>1461</v>
      </c>
      <c r="J269">
        <v>55.63</v>
      </c>
      <c r="K269">
        <v>-1.63</v>
      </c>
      <c r="L269" t="s">
        <v>1463</v>
      </c>
      <c r="M269" t="s">
        <v>1462</v>
      </c>
      <c r="N269" t="s">
        <v>600</v>
      </c>
      <c r="O269" t="s">
        <v>532</v>
      </c>
      <c r="P269" t="s">
        <v>693</v>
      </c>
      <c r="Q269" t="s">
        <v>333</v>
      </c>
      <c r="R269" t="s">
        <v>710</v>
      </c>
      <c r="S269" t="s">
        <v>311</v>
      </c>
      <c r="T269" t="s">
        <v>331</v>
      </c>
      <c r="U269">
        <v>1</v>
      </c>
      <c r="V269" t="s">
        <v>559</v>
      </c>
      <c r="W269">
        <v>2022</v>
      </c>
      <c r="X269" t="s">
        <v>340</v>
      </c>
      <c r="Y269" t="s">
        <v>311</v>
      </c>
      <c r="Z269" t="s">
        <v>563</v>
      </c>
      <c r="AA269" t="s">
        <v>303</v>
      </c>
      <c r="AB269" t="s">
        <v>311</v>
      </c>
      <c r="AC269" t="s">
        <v>311</v>
      </c>
      <c r="AD269" t="s">
        <v>292</v>
      </c>
      <c r="AE269" t="s">
        <v>713</v>
      </c>
      <c r="AF269" t="s">
        <v>567</v>
      </c>
      <c r="AG269" t="s">
        <v>1901</v>
      </c>
      <c r="AH269" t="s">
        <v>591</v>
      </c>
      <c r="AI269" t="s">
        <v>1483</v>
      </c>
      <c r="AJ269" t="s">
        <v>730</v>
      </c>
      <c r="AK269" t="s">
        <v>1476</v>
      </c>
      <c r="AL269" t="s">
        <v>1045</v>
      </c>
      <c r="AM269" t="s">
        <v>1059</v>
      </c>
      <c r="AN269" t="s">
        <v>584</v>
      </c>
      <c r="AO269" t="s">
        <v>948</v>
      </c>
      <c r="AP269" t="s">
        <v>887</v>
      </c>
      <c r="AQ269" t="s">
        <v>887</v>
      </c>
      <c r="AR269">
        <v>0.9</v>
      </c>
      <c r="AS269" t="s">
        <v>311</v>
      </c>
      <c r="AT269">
        <v>2.7890763999999999</v>
      </c>
      <c r="AU269">
        <v>20</v>
      </c>
      <c r="AV269">
        <v>0</v>
      </c>
      <c r="AW269" t="s">
        <v>311</v>
      </c>
      <c r="AX269">
        <v>0</v>
      </c>
      <c r="AY269">
        <v>20</v>
      </c>
      <c r="AZ269" t="s">
        <v>1677</v>
      </c>
      <c r="BA269" t="s">
        <v>1680</v>
      </c>
      <c r="BB269">
        <v>0</v>
      </c>
      <c r="BC269" t="s">
        <v>1672</v>
      </c>
      <c r="BD269" t="s">
        <v>311</v>
      </c>
      <c r="BE269" t="s">
        <v>1880</v>
      </c>
      <c r="BF269" t="s">
        <v>311</v>
      </c>
      <c r="BG269" t="s">
        <v>311</v>
      </c>
      <c r="BH269" t="s">
        <v>311</v>
      </c>
      <c r="BI269" t="s">
        <v>311</v>
      </c>
      <c r="BJ269" t="s">
        <v>311</v>
      </c>
      <c r="BK269" t="s">
        <v>311</v>
      </c>
      <c r="BL269" t="s">
        <v>311</v>
      </c>
      <c r="BM269" t="s">
        <v>311</v>
      </c>
      <c r="BN269" t="s">
        <v>311</v>
      </c>
      <c r="BO269" t="s">
        <v>311</v>
      </c>
      <c r="BP269" t="s">
        <v>311</v>
      </c>
      <c r="BQ269" t="s">
        <v>311</v>
      </c>
      <c r="BR269" t="s">
        <v>311</v>
      </c>
      <c r="BS269" t="s">
        <v>311</v>
      </c>
      <c r="BT269" t="s">
        <v>311</v>
      </c>
      <c r="BU269" t="s">
        <v>311</v>
      </c>
      <c r="BV269" t="s">
        <v>311</v>
      </c>
      <c r="BW269" t="s">
        <v>311</v>
      </c>
      <c r="BX269" t="s">
        <v>311</v>
      </c>
      <c r="BY269" t="s">
        <v>311</v>
      </c>
      <c r="BZ269">
        <v>4</v>
      </c>
      <c r="CA269">
        <v>13</v>
      </c>
      <c r="CB269" t="s">
        <v>1210</v>
      </c>
      <c r="CC269" t="s">
        <v>1210</v>
      </c>
      <c r="CD269" t="s">
        <v>1491</v>
      </c>
      <c r="CE269" t="s">
        <v>1490</v>
      </c>
      <c r="CF269">
        <v>50</v>
      </c>
      <c r="CG269" t="s">
        <v>1491</v>
      </c>
      <c r="CH269" t="s">
        <v>1492</v>
      </c>
      <c r="CI269">
        <v>50</v>
      </c>
      <c r="CJ269" s="38" t="s">
        <v>311</v>
      </c>
      <c r="CK269" s="38" t="s">
        <v>311</v>
      </c>
      <c r="CL269" s="38" t="s">
        <v>311</v>
      </c>
      <c r="CM269" s="38" t="s">
        <v>311</v>
      </c>
      <c r="CN269" s="38" t="s">
        <v>311</v>
      </c>
      <c r="CO269" s="38" t="s">
        <v>311</v>
      </c>
      <c r="CP269" s="38" t="s">
        <v>311</v>
      </c>
      <c r="CQ269" t="s">
        <v>1710</v>
      </c>
    </row>
    <row r="270" spans="1:96">
      <c r="A270">
        <v>269</v>
      </c>
      <c r="B270">
        <v>40</v>
      </c>
      <c r="C270">
        <v>10</v>
      </c>
      <c r="D270" t="s">
        <v>1374</v>
      </c>
      <c r="E270" t="s">
        <v>1375</v>
      </c>
      <c r="F270" t="s">
        <v>1376</v>
      </c>
      <c r="G270">
        <v>2024</v>
      </c>
      <c r="H270" t="s">
        <v>1460</v>
      </c>
      <c r="I270" t="s">
        <v>1461</v>
      </c>
      <c r="J270">
        <v>55.63</v>
      </c>
      <c r="K270">
        <v>-1.63</v>
      </c>
      <c r="L270" t="s">
        <v>1463</v>
      </c>
      <c r="M270" t="s">
        <v>1462</v>
      </c>
      <c r="N270" t="s">
        <v>600</v>
      </c>
      <c r="O270" t="s">
        <v>532</v>
      </c>
      <c r="P270" t="s">
        <v>693</v>
      </c>
      <c r="Q270" t="s">
        <v>333</v>
      </c>
      <c r="R270" t="s">
        <v>710</v>
      </c>
      <c r="S270" t="s">
        <v>311</v>
      </c>
      <c r="T270" t="s">
        <v>331</v>
      </c>
      <c r="U270">
        <v>1</v>
      </c>
      <c r="V270" t="s">
        <v>559</v>
      </c>
      <c r="W270">
        <v>2022</v>
      </c>
      <c r="X270" t="s">
        <v>340</v>
      </c>
      <c r="Y270" t="s">
        <v>311</v>
      </c>
      <c r="Z270" t="s">
        <v>563</v>
      </c>
      <c r="AA270" t="s">
        <v>303</v>
      </c>
      <c r="AB270" t="s">
        <v>311</v>
      </c>
      <c r="AC270" t="s">
        <v>311</v>
      </c>
      <c r="AD270" t="s">
        <v>292</v>
      </c>
      <c r="AE270" t="s">
        <v>1484</v>
      </c>
      <c r="AF270" t="s">
        <v>567</v>
      </c>
      <c r="AG270" t="s">
        <v>1901</v>
      </c>
      <c r="AH270" t="s">
        <v>570</v>
      </c>
      <c r="AI270" t="s">
        <v>645</v>
      </c>
      <c r="AJ270" t="s">
        <v>730</v>
      </c>
      <c r="AK270" t="s">
        <v>1476</v>
      </c>
      <c r="AL270" t="s">
        <v>1045</v>
      </c>
      <c r="AM270" t="s">
        <v>1059</v>
      </c>
      <c r="AN270" t="s">
        <v>584</v>
      </c>
      <c r="AO270" t="s">
        <v>948</v>
      </c>
      <c r="AP270" t="s">
        <v>887</v>
      </c>
      <c r="AQ270" t="s">
        <v>887</v>
      </c>
      <c r="AR270">
        <v>2.2999999999999998</v>
      </c>
      <c r="AS270" t="s">
        <v>311</v>
      </c>
      <c r="AT270">
        <v>7.5574988999999997</v>
      </c>
      <c r="AU270">
        <v>20</v>
      </c>
      <c r="AV270">
        <v>4.2750000000000004</v>
      </c>
      <c r="AW270" t="s">
        <v>311</v>
      </c>
      <c r="AX270">
        <v>10.588567599999999</v>
      </c>
      <c r="AY270">
        <v>20</v>
      </c>
      <c r="AZ270" t="s">
        <v>1677</v>
      </c>
      <c r="BA270" t="s">
        <v>1680</v>
      </c>
      <c r="BB270">
        <v>0</v>
      </c>
      <c r="BC270" t="s">
        <v>1672</v>
      </c>
      <c r="BD270" t="s">
        <v>311</v>
      </c>
      <c r="BE270" t="s">
        <v>1880</v>
      </c>
      <c r="BF270" t="s">
        <v>311</v>
      </c>
      <c r="BG270" t="s">
        <v>311</v>
      </c>
      <c r="BH270" t="s">
        <v>311</v>
      </c>
      <c r="BI270" t="s">
        <v>311</v>
      </c>
      <c r="BJ270" t="s">
        <v>311</v>
      </c>
      <c r="BK270" t="s">
        <v>311</v>
      </c>
      <c r="BL270" t="s">
        <v>311</v>
      </c>
      <c r="BM270" t="s">
        <v>311</v>
      </c>
      <c r="BN270" t="s">
        <v>311</v>
      </c>
      <c r="BO270" t="s">
        <v>311</v>
      </c>
      <c r="BP270" t="s">
        <v>311</v>
      </c>
      <c r="BQ270" t="s">
        <v>311</v>
      </c>
      <c r="BR270" t="s">
        <v>311</v>
      </c>
      <c r="BS270" t="s">
        <v>311</v>
      </c>
      <c r="BT270" t="s">
        <v>311</v>
      </c>
      <c r="BU270" t="s">
        <v>311</v>
      </c>
      <c r="BV270" t="s">
        <v>311</v>
      </c>
      <c r="BW270" t="s">
        <v>311</v>
      </c>
      <c r="BX270" t="s">
        <v>311</v>
      </c>
      <c r="BY270" t="s">
        <v>311</v>
      </c>
      <c r="BZ270">
        <v>4</v>
      </c>
      <c r="CA270">
        <v>13</v>
      </c>
      <c r="CB270" t="s">
        <v>1210</v>
      </c>
      <c r="CC270" t="s">
        <v>1210</v>
      </c>
      <c r="CD270" t="s">
        <v>1491</v>
      </c>
      <c r="CE270" t="s">
        <v>1490</v>
      </c>
      <c r="CF270">
        <v>50</v>
      </c>
      <c r="CG270" t="s">
        <v>1491</v>
      </c>
      <c r="CH270" t="s">
        <v>1492</v>
      </c>
      <c r="CI270">
        <v>50</v>
      </c>
      <c r="CJ270" s="38" t="s">
        <v>311</v>
      </c>
      <c r="CK270" s="38" t="s">
        <v>311</v>
      </c>
      <c r="CL270" s="38" t="s">
        <v>311</v>
      </c>
      <c r="CM270" s="38" t="s">
        <v>311</v>
      </c>
      <c r="CN270" s="38" t="s">
        <v>311</v>
      </c>
      <c r="CO270" s="38" t="s">
        <v>311</v>
      </c>
      <c r="CP270" s="38" t="s">
        <v>311</v>
      </c>
      <c r="CQ270" t="s">
        <v>1710</v>
      </c>
    </row>
    <row r="271" spans="1:96">
      <c r="A271">
        <v>270</v>
      </c>
      <c r="B271">
        <v>41</v>
      </c>
      <c r="C271">
        <v>1</v>
      </c>
      <c r="D271" t="s">
        <v>1377</v>
      </c>
      <c r="E271" t="s">
        <v>1378</v>
      </c>
      <c r="F271" t="s">
        <v>41</v>
      </c>
      <c r="G271">
        <v>2023</v>
      </c>
      <c r="H271" t="s">
        <v>1372</v>
      </c>
      <c r="I271" t="s">
        <v>1373</v>
      </c>
      <c r="J271">
        <v>-5.8333329999999997</v>
      </c>
      <c r="K271">
        <v>72</v>
      </c>
      <c r="L271" t="s">
        <v>376</v>
      </c>
      <c r="M271" t="s">
        <v>375</v>
      </c>
      <c r="N271" t="s">
        <v>593</v>
      </c>
      <c r="O271" t="s">
        <v>556</v>
      </c>
      <c r="P271" t="s">
        <v>557</v>
      </c>
      <c r="Q271" t="s">
        <v>291</v>
      </c>
      <c r="R271" t="s">
        <v>558</v>
      </c>
      <c r="S271" t="s">
        <v>534</v>
      </c>
      <c r="T271" t="s">
        <v>331</v>
      </c>
      <c r="U271">
        <v>1</v>
      </c>
      <c r="V271" t="s">
        <v>311</v>
      </c>
      <c r="W271" t="s">
        <v>1415</v>
      </c>
      <c r="X271" t="s">
        <v>340</v>
      </c>
      <c r="Y271" t="s">
        <v>311</v>
      </c>
      <c r="Z271" t="s">
        <v>563</v>
      </c>
      <c r="AA271" t="s">
        <v>303</v>
      </c>
      <c r="AB271" t="s">
        <v>311</v>
      </c>
      <c r="AC271" t="s">
        <v>311</v>
      </c>
      <c r="AD271" t="s">
        <v>292</v>
      </c>
      <c r="AE271" t="s">
        <v>598</v>
      </c>
      <c r="AF271" t="s">
        <v>304</v>
      </c>
      <c r="AH271" t="s">
        <v>305</v>
      </c>
      <c r="AI271" t="s">
        <v>547</v>
      </c>
      <c r="AJ271" t="s">
        <v>311</v>
      </c>
      <c r="AK271" t="s">
        <v>1051</v>
      </c>
      <c r="AL271" t="s">
        <v>357</v>
      </c>
      <c r="AM271" t="s">
        <v>1059</v>
      </c>
      <c r="AN271" t="s">
        <v>583</v>
      </c>
      <c r="AO271" t="s">
        <v>870</v>
      </c>
      <c r="AP271" t="s">
        <v>614</v>
      </c>
      <c r="AQ271" t="s">
        <v>887</v>
      </c>
      <c r="AR271">
        <v>198.72611464968099</v>
      </c>
      <c r="AS271">
        <v>53.503184713376015</v>
      </c>
      <c r="AT271" t="s">
        <v>311</v>
      </c>
      <c r="AU271">
        <v>4</v>
      </c>
      <c r="AV271">
        <v>73.885350318471296</v>
      </c>
      <c r="AW271">
        <v>36.942675159235705</v>
      </c>
      <c r="AX271" t="s">
        <v>311</v>
      </c>
      <c r="AY271">
        <v>5</v>
      </c>
      <c r="AZ271" t="s">
        <v>1055</v>
      </c>
      <c r="BA271" t="s">
        <v>1679</v>
      </c>
      <c r="BB271">
        <v>730</v>
      </c>
      <c r="BC271" t="s">
        <v>1672</v>
      </c>
      <c r="BD271" t="s">
        <v>311</v>
      </c>
      <c r="BE271" t="s">
        <v>1880</v>
      </c>
      <c r="BF271" t="s">
        <v>311</v>
      </c>
      <c r="BG271" t="s">
        <v>311</v>
      </c>
      <c r="BH271" t="s">
        <v>311</v>
      </c>
      <c r="BI271" t="s">
        <v>311</v>
      </c>
      <c r="BJ271" t="s">
        <v>311</v>
      </c>
      <c r="BK271" t="s">
        <v>311</v>
      </c>
      <c r="BL271" t="s">
        <v>311</v>
      </c>
      <c r="BM271" t="s">
        <v>311</v>
      </c>
      <c r="BN271" t="s">
        <v>311</v>
      </c>
      <c r="BO271" t="s">
        <v>311</v>
      </c>
      <c r="BP271" t="s">
        <v>311</v>
      </c>
      <c r="BQ271" t="s">
        <v>311</v>
      </c>
      <c r="BR271" t="s">
        <v>311</v>
      </c>
      <c r="BS271" t="s">
        <v>311</v>
      </c>
      <c r="BT271" t="s">
        <v>311</v>
      </c>
      <c r="BU271" t="s">
        <v>311</v>
      </c>
      <c r="BV271" t="s">
        <v>311</v>
      </c>
      <c r="BW271" t="s">
        <v>311</v>
      </c>
      <c r="BX271" t="s">
        <v>311</v>
      </c>
      <c r="BY271" t="s">
        <v>311</v>
      </c>
      <c r="BZ271">
        <v>0.61</v>
      </c>
      <c r="CA271">
        <v>27</v>
      </c>
      <c r="CB271" t="s">
        <v>1209</v>
      </c>
      <c r="CC271" t="s">
        <v>1210</v>
      </c>
      <c r="CD271" t="s">
        <v>311</v>
      </c>
      <c r="CE271" t="s">
        <v>311</v>
      </c>
      <c r="CF271" t="s">
        <v>311</v>
      </c>
      <c r="CG271" t="s">
        <v>1488</v>
      </c>
      <c r="CH271">
        <v>2017</v>
      </c>
      <c r="CI271">
        <v>0</v>
      </c>
      <c r="CJ271" s="38" t="s">
        <v>311</v>
      </c>
      <c r="CK271" s="38" t="s">
        <v>311</v>
      </c>
      <c r="CL271" s="38" t="s">
        <v>311</v>
      </c>
      <c r="CM271" s="38" t="s">
        <v>311</v>
      </c>
      <c r="CN271" s="38" t="s">
        <v>311</v>
      </c>
      <c r="CO271" s="38" t="s">
        <v>311</v>
      </c>
      <c r="CP271" s="38" t="s">
        <v>311</v>
      </c>
      <c r="CQ271" t="s">
        <v>1853</v>
      </c>
      <c r="CR271" t="s">
        <v>1509</v>
      </c>
    </row>
    <row r="272" spans="1:96">
      <c r="A272">
        <v>271</v>
      </c>
      <c r="B272">
        <v>42</v>
      </c>
      <c r="C272">
        <v>1</v>
      </c>
      <c r="D272" t="s">
        <v>1385</v>
      </c>
      <c r="E272" t="s">
        <v>1386</v>
      </c>
      <c r="F272" t="s">
        <v>83</v>
      </c>
      <c r="G272">
        <v>2023</v>
      </c>
      <c r="H272" t="s">
        <v>1422</v>
      </c>
      <c r="I272" t="s">
        <v>1423</v>
      </c>
      <c r="J272">
        <v>-17.5</v>
      </c>
      <c r="K272">
        <v>-149.83333300000001</v>
      </c>
      <c r="L272" t="s">
        <v>389</v>
      </c>
      <c r="M272" t="s">
        <v>390</v>
      </c>
      <c r="N272" t="s">
        <v>594</v>
      </c>
      <c r="O272" t="s">
        <v>288</v>
      </c>
      <c r="P272" t="s">
        <v>289</v>
      </c>
      <c r="Q272" t="s">
        <v>291</v>
      </c>
      <c r="R272" t="s">
        <v>558</v>
      </c>
      <c r="S272" t="s">
        <v>717</v>
      </c>
      <c r="T272" t="s">
        <v>330</v>
      </c>
      <c r="U272">
        <v>5</v>
      </c>
      <c r="V272" t="s">
        <v>535</v>
      </c>
      <c r="W272">
        <v>2018</v>
      </c>
      <c r="X272" t="s">
        <v>292</v>
      </c>
      <c r="Y272" t="s">
        <v>696</v>
      </c>
      <c r="Z272" t="s">
        <v>302</v>
      </c>
      <c r="AA272" t="s">
        <v>303</v>
      </c>
      <c r="AB272" t="s">
        <v>770</v>
      </c>
      <c r="AC272" t="s">
        <v>1419</v>
      </c>
      <c r="AD272" t="s">
        <v>340</v>
      </c>
      <c r="AE272" t="s">
        <v>311</v>
      </c>
      <c r="AF272" t="s">
        <v>802</v>
      </c>
      <c r="AH272" t="s">
        <v>820</v>
      </c>
      <c r="AI272" t="s">
        <v>311</v>
      </c>
      <c r="AJ272" t="s">
        <v>311</v>
      </c>
      <c r="AK272" t="s">
        <v>621</v>
      </c>
      <c r="AL272" t="s">
        <v>1045</v>
      </c>
      <c r="AM272" t="s">
        <v>1059</v>
      </c>
      <c r="AN272" t="s">
        <v>584</v>
      </c>
      <c r="AO272" t="s">
        <v>345</v>
      </c>
      <c r="AP272" t="s">
        <v>887</v>
      </c>
      <c r="AQ272" t="s">
        <v>614</v>
      </c>
      <c r="AR272">
        <v>658321.69999999995</v>
      </c>
      <c r="AS272" t="s">
        <v>311</v>
      </c>
      <c r="AT272">
        <v>45449.38</v>
      </c>
      <c r="AU272">
        <v>3</v>
      </c>
      <c r="AV272">
        <v>570958.69999999995</v>
      </c>
      <c r="AW272" t="s">
        <v>311</v>
      </c>
      <c r="AX272">
        <v>34663.910000000003</v>
      </c>
      <c r="AY272">
        <v>3</v>
      </c>
      <c r="AZ272" t="s">
        <v>1677</v>
      </c>
      <c r="BA272" t="s">
        <v>1679</v>
      </c>
      <c r="BB272">
        <v>14</v>
      </c>
      <c r="BC272" t="s">
        <v>1672</v>
      </c>
      <c r="BD272" t="s">
        <v>1764</v>
      </c>
      <c r="BE272" s="16" t="s">
        <v>1881</v>
      </c>
      <c r="BF272">
        <v>2.2000000000000002</v>
      </c>
      <c r="BG272">
        <v>0.42</v>
      </c>
      <c r="BH272">
        <v>0.05</v>
      </c>
      <c r="BI272">
        <v>0.02</v>
      </c>
      <c r="BJ272">
        <v>1.595</v>
      </c>
      <c r="BK272" t="s">
        <v>311</v>
      </c>
      <c r="BL272">
        <v>1.476</v>
      </c>
      <c r="BM272" t="s">
        <v>311</v>
      </c>
      <c r="BN272" t="s">
        <v>311</v>
      </c>
      <c r="BO272" t="s">
        <v>311</v>
      </c>
      <c r="BP272" t="s">
        <v>311</v>
      </c>
      <c r="BQ272" t="s">
        <v>311</v>
      </c>
      <c r="BR272" t="s">
        <v>311</v>
      </c>
      <c r="BS272" t="s">
        <v>311</v>
      </c>
      <c r="BT272">
        <v>3.7949999999999999</v>
      </c>
      <c r="BU272" t="s">
        <v>311</v>
      </c>
      <c r="BV272">
        <v>1.526</v>
      </c>
      <c r="BW272" t="s">
        <v>311</v>
      </c>
      <c r="BX272" t="s">
        <v>1126</v>
      </c>
      <c r="BY272" t="s">
        <v>1203</v>
      </c>
      <c r="BZ272">
        <v>1.526</v>
      </c>
      <c r="CA272">
        <v>27.5</v>
      </c>
      <c r="CB272" t="s">
        <v>1209</v>
      </c>
      <c r="CC272" t="s">
        <v>1209</v>
      </c>
      <c r="CD272" t="s">
        <v>311</v>
      </c>
      <c r="CE272" t="s">
        <v>311</v>
      </c>
      <c r="CF272" t="s">
        <v>311</v>
      </c>
      <c r="CG272" t="s">
        <v>311</v>
      </c>
      <c r="CH272" t="s">
        <v>311</v>
      </c>
      <c r="CI272" t="s">
        <v>311</v>
      </c>
      <c r="CJ272" s="39">
        <v>0.28999999999999998</v>
      </c>
      <c r="CK272" s="39">
        <v>0.12</v>
      </c>
      <c r="CL272" s="39">
        <v>15.6198</v>
      </c>
      <c r="CM272" s="39">
        <v>12.644600000000001</v>
      </c>
      <c r="CN272" s="38" t="s">
        <v>311</v>
      </c>
      <c r="CO272" s="38" t="s">
        <v>311</v>
      </c>
      <c r="CP272" s="41">
        <v>0.12</v>
      </c>
      <c r="CQ272" t="s">
        <v>1741</v>
      </c>
      <c r="CR272" t="s">
        <v>1630</v>
      </c>
    </row>
    <row r="273" spans="1:96">
      <c r="A273">
        <v>272</v>
      </c>
      <c r="B273">
        <v>42</v>
      </c>
      <c r="C273">
        <v>2</v>
      </c>
      <c r="D273" t="s">
        <v>1385</v>
      </c>
      <c r="E273" t="s">
        <v>1386</v>
      </c>
      <c r="F273" t="s">
        <v>83</v>
      </c>
      <c r="G273">
        <v>2023</v>
      </c>
      <c r="H273" t="s">
        <v>1422</v>
      </c>
      <c r="I273" t="s">
        <v>1423</v>
      </c>
      <c r="J273">
        <v>-17.5</v>
      </c>
      <c r="K273">
        <v>-149.83333300000001</v>
      </c>
      <c r="L273" t="s">
        <v>389</v>
      </c>
      <c r="M273" t="s">
        <v>390</v>
      </c>
      <c r="N273" t="s">
        <v>594</v>
      </c>
      <c r="O273" t="s">
        <v>288</v>
      </c>
      <c r="P273" t="s">
        <v>289</v>
      </c>
      <c r="Q273" t="s">
        <v>291</v>
      </c>
      <c r="R273" t="s">
        <v>558</v>
      </c>
      <c r="S273" t="s">
        <v>717</v>
      </c>
      <c r="T273" t="s">
        <v>330</v>
      </c>
      <c r="U273">
        <v>5</v>
      </c>
      <c r="V273" t="s">
        <v>535</v>
      </c>
      <c r="W273">
        <v>2018</v>
      </c>
      <c r="X273" t="s">
        <v>292</v>
      </c>
      <c r="Y273" t="s">
        <v>696</v>
      </c>
      <c r="Z273" t="s">
        <v>302</v>
      </c>
      <c r="AA273" t="s">
        <v>303</v>
      </c>
      <c r="AB273" t="s">
        <v>770</v>
      </c>
      <c r="AC273" t="s">
        <v>1419</v>
      </c>
      <c r="AD273" t="s">
        <v>340</v>
      </c>
      <c r="AE273" t="s">
        <v>311</v>
      </c>
      <c r="AF273" t="s">
        <v>802</v>
      </c>
      <c r="AH273" t="s">
        <v>820</v>
      </c>
      <c r="AI273" t="s">
        <v>311</v>
      </c>
      <c r="AJ273" t="s">
        <v>311</v>
      </c>
      <c r="AK273" t="s">
        <v>621</v>
      </c>
      <c r="AL273" t="s">
        <v>1045</v>
      </c>
      <c r="AM273" t="s">
        <v>1059</v>
      </c>
      <c r="AN273" t="s">
        <v>584</v>
      </c>
      <c r="AO273" t="s">
        <v>345</v>
      </c>
      <c r="AP273" t="s">
        <v>887</v>
      </c>
      <c r="AQ273" t="s">
        <v>614</v>
      </c>
      <c r="AR273">
        <v>700746</v>
      </c>
      <c r="AS273" t="s">
        <v>311</v>
      </c>
      <c r="AT273">
        <v>99852.56</v>
      </c>
      <c r="AU273">
        <v>3</v>
      </c>
      <c r="AV273">
        <v>463690</v>
      </c>
      <c r="AW273" t="s">
        <v>311</v>
      </c>
      <c r="AX273">
        <v>117382.85</v>
      </c>
      <c r="AY273">
        <v>3</v>
      </c>
      <c r="AZ273" t="s">
        <v>1677</v>
      </c>
      <c r="BA273" t="s">
        <v>1679</v>
      </c>
      <c r="BB273">
        <v>17</v>
      </c>
      <c r="BC273" t="s">
        <v>1672</v>
      </c>
      <c r="BD273" t="s">
        <v>1764</v>
      </c>
      <c r="BE273" s="16" t="s">
        <v>1881</v>
      </c>
      <c r="BF273">
        <v>2.2000000000000002</v>
      </c>
      <c r="BG273">
        <v>0.42</v>
      </c>
      <c r="BH273">
        <v>0.05</v>
      </c>
      <c r="BI273">
        <v>0.02</v>
      </c>
      <c r="BJ273">
        <v>1.595</v>
      </c>
      <c r="BK273" t="s">
        <v>311</v>
      </c>
      <c r="BL273">
        <v>1.476</v>
      </c>
      <c r="BM273" t="s">
        <v>311</v>
      </c>
      <c r="BN273" t="s">
        <v>311</v>
      </c>
      <c r="BO273" t="s">
        <v>311</v>
      </c>
      <c r="BP273" t="s">
        <v>311</v>
      </c>
      <c r="BQ273" t="s">
        <v>311</v>
      </c>
      <c r="BR273" t="s">
        <v>311</v>
      </c>
      <c r="BS273" t="s">
        <v>311</v>
      </c>
      <c r="BT273">
        <v>3.7949999999999999</v>
      </c>
      <c r="BU273" t="s">
        <v>311</v>
      </c>
      <c r="BV273">
        <v>1.526</v>
      </c>
      <c r="BW273" t="s">
        <v>311</v>
      </c>
      <c r="BX273" t="s">
        <v>1126</v>
      </c>
      <c r="BY273" t="s">
        <v>1203</v>
      </c>
      <c r="BZ273">
        <v>1.526</v>
      </c>
      <c r="CA273">
        <v>27.5</v>
      </c>
      <c r="CB273" t="s">
        <v>1209</v>
      </c>
      <c r="CC273" t="s">
        <v>1209</v>
      </c>
      <c r="CD273" t="s">
        <v>311</v>
      </c>
      <c r="CE273" t="s">
        <v>311</v>
      </c>
      <c r="CF273" t="s">
        <v>311</v>
      </c>
      <c r="CG273" t="s">
        <v>311</v>
      </c>
      <c r="CH273" t="s">
        <v>311</v>
      </c>
      <c r="CI273" t="s">
        <v>311</v>
      </c>
      <c r="CJ273" s="39">
        <v>0.28999999999999998</v>
      </c>
      <c r="CK273" s="39">
        <v>0.12</v>
      </c>
      <c r="CL273" s="39">
        <v>15.6198</v>
      </c>
      <c r="CM273" s="39">
        <v>12.644600000000001</v>
      </c>
      <c r="CN273" s="38" t="s">
        <v>311</v>
      </c>
      <c r="CO273" s="38" t="s">
        <v>311</v>
      </c>
      <c r="CP273" s="41">
        <v>0.12</v>
      </c>
      <c r="CQ273" t="s">
        <v>1742</v>
      </c>
      <c r="CR273" t="s">
        <v>1631</v>
      </c>
    </row>
    <row r="274" spans="1:96">
      <c r="A274">
        <v>273</v>
      </c>
      <c r="B274">
        <v>42</v>
      </c>
      <c r="C274">
        <v>3</v>
      </c>
      <c r="D274" t="s">
        <v>1385</v>
      </c>
      <c r="E274" t="s">
        <v>1386</v>
      </c>
      <c r="F274" t="s">
        <v>83</v>
      </c>
      <c r="G274">
        <v>2023</v>
      </c>
      <c r="H274" t="s">
        <v>1422</v>
      </c>
      <c r="I274" t="s">
        <v>1423</v>
      </c>
      <c r="J274">
        <v>-17.5</v>
      </c>
      <c r="K274">
        <v>-149.83333300000001</v>
      </c>
      <c r="L274" t="s">
        <v>389</v>
      </c>
      <c r="M274" t="s">
        <v>390</v>
      </c>
      <c r="N274" t="s">
        <v>594</v>
      </c>
      <c r="O274" t="s">
        <v>288</v>
      </c>
      <c r="P274" t="s">
        <v>289</v>
      </c>
      <c r="Q274" t="s">
        <v>291</v>
      </c>
      <c r="R274" t="s">
        <v>558</v>
      </c>
      <c r="S274" t="s">
        <v>717</v>
      </c>
      <c r="T274" t="s">
        <v>330</v>
      </c>
      <c r="U274">
        <v>5</v>
      </c>
      <c r="V274" t="s">
        <v>535</v>
      </c>
      <c r="W274">
        <v>2018</v>
      </c>
      <c r="X274" t="s">
        <v>292</v>
      </c>
      <c r="Y274" t="s">
        <v>696</v>
      </c>
      <c r="Z274" t="s">
        <v>302</v>
      </c>
      <c r="AA274" t="s">
        <v>303</v>
      </c>
      <c r="AB274" t="s">
        <v>770</v>
      </c>
      <c r="AC274" t="s">
        <v>1419</v>
      </c>
      <c r="AD274" t="s">
        <v>340</v>
      </c>
      <c r="AE274" t="s">
        <v>311</v>
      </c>
      <c r="AF274" t="s">
        <v>802</v>
      </c>
      <c r="AH274" t="s">
        <v>820</v>
      </c>
      <c r="AI274" t="s">
        <v>311</v>
      </c>
      <c r="AJ274" t="s">
        <v>311</v>
      </c>
      <c r="AK274" t="s">
        <v>621</v>
      </c>
      <c r="AL274" t="s">
        <v>1045</v>
      </c>
      <c r="AM274" t="s">
        <v>1059</v>
      </c>
      <c r="AN274" t="s">
        <v>584</v>
      </c>
      <c r="AO274" t="s">
        <v>345</v>
      </c>
      <c r="AP274" t="s">
        <v>887</v>
      </c>
      <c r="AQ274" t="s">
        <v>614</v>
      </c>
      <c r="AR274">
        <v>637040.30000000005</v>
      </c>
      <c r="AS274" t="s">
        <v>311</v>
      </c>
      <c r="AT274">
        <v>69410.75</v>
      </c>
      <c r="AU274">
        <v>3</v>
      </c>
      <c r="AV274">
        <v>442478</v>
      </c>
      <c r="AW274" t="s">
        <v>311</v>
      </c>
      <c r="AX274">
        <v>45978.63</v>
      </c>
      <c r="AY274">
        <v>3</v>
      </c>
      <c r="AZ274" t="s">
        <v>1677</v>
      </c>
      <c r="BA274" t="s">
        <v>1679</v>
      </c>
      <c r="BB274">
        <v>20</v>
      </c>
      <c r="BC274" t="s">
        <v>1672</v>
      </c>
      <c r="BD274" t="s">
        <v>1764</v>
      </c>
      <c r="BE274" s="16" t="s">
        <v>1881</v>
      </c>
      <c r="BF274">
        <v>2.2000000000000002</v>
      </c>
      <c r="BG274">
        <v>0.42</v>
      </c>
      <c r="BH274">
        <v>0.05</v>
      </c>
      <c r="BI274">
        <v>0.02</v>
      </c>
      <c r="BJ274">
        <v>1.595</v>
      </c>
      <c r="BK274" t="s">
        <v>311</v>
      </c>
      <c r="BL274">
        <v>1.476</v>
      </c>
      <c r="BM274" t="s">
        <v>311</v>
      </c>
      <c r="BN274" t="s">
        <v>311</v>
      </c>
      <c r="BO274" t="s">
        <v>311</v>
      </c>
      <c r="BP274" t="s">
        <v>311</v>
      </c>
      <c r="BQ274" t="s">
        <v>311</v>
      </c>
      <c r="BR274" t="s">
        <v>311</v>
      </c>
      <c r="BS274" t="s">
        <v>311</v>
      </c>
      <c r="BT274">
        <v>3.7949999999999999</v>
      </c>
      <c r="BU274" t="s">
        <v>311</v>
      </c>
      <c r="BV274">
        <v>1.526</v>
      </c>
      <c r="BW274" t="s">
        <v>311</v>
      </c>
      <c r="BX274" t="s">
        <v>1126</v>
      </c>
      <c r="BY274" t="s">
        <v>1203</v>
      </c>
      <c r="BZ274">
        <v>1.526</v>
      </c>
      <c r="CA274">
        <v>27.5</v>
      </c>
      <c r="CB274" t="s">
        <v>1209</v>
      </c>
      <c r="CC274" t="s">
        <v>1209</v>
      </c>
      <c r="CD274" t="s">
        <v>311</v>
      </c>
      <c r="CE274" t="s">
        <v>311</v>
      </c>
      <c r="CF274" t="s">
        <v>311</v>
      </c>
      <c r="CG274" t="s">
        <v>311</v>
      </c>
      <c r="CH274" t="s">
        <v>311</v>
      </c>
      <c r="CI274" t="s">
        <v>311</v>
      </c>
      <c r="CJ274" s="39">
        <v>0.28999999999999998</v>
      </c>
      <c r="CK274" s="39">
        <v>0.12</v>
      </c>
      <c r="CL274" s="39">
        <v>15.6198</v>
      </c>
      <c r="CM274" s="39">
        <v>12.644600000000001</v>
      </c>
      <c r="CN274" s="38" t="s">
        <v>311</v>
      </c>
      <c r="CO274" s="38" t="s">
        <v>311</v>
      </c>
      <c r="CP274" s="41">
        <v>0.12</v>
      </c>
      <c r="CQ274" t="s">
        <v>1743</v>
      </c>
      <c r="CR274" t="s">
        <v>1632</v>
      </c>
    </row>
    <row r="275" spans="1:96">
      <c r="A275">
        <v>274</v>
      </c>
      <c r="B275">
        <v>42</v>
      </c>
      <c r="C275">
        <v>4</v>
      </c>
      <c r="D275" t="s">
        <v>1385</v>
      </c>
      <c r="E275" t="s">
        <v>1386</v>
      </c>
      <c r="F275" t="s">
        <v>83</v>
      </c>
      <c r="G275">
        <v>2023</v>
      </c>
      <c r="H275" t="s">
        <v>1422</v>
      </c>
      <c r="I275" t="s">
        <v>1423</v>
      </c>
      <c r="J275">
        <v>-17.5</v>
      </c>
      <c r="K275">
        <v>-149.83333300000001</v>
      </c>
      <c r="L275" t="s">
        <v>389</v>
      </c>
      <c r="M275" t="s">
        <v>390</v>
      </c>
      <c r="N275" t="s">
        <v>594</v>
      </c>
      <c r="O275" t="s">
        <v>288</v>
      </c>
      <c r="P275" t="s">
        <v>289</v>
      </c>
      <c r="Q275" t="s">
        <v>291</v>
      </c>
      <c r="R275" t="s">
        <v>558</v>
      </c>
      <c r="S275" t="s">
        <v>717</v>
      </c>
      <c r="T275" t="s">
        <v>330</v>
      </c>
      <c r="U275">
        <v>5</v>
      </c>
      <c r="V275" t="s">
        <v>535</v>
      </c>
      <c r="W275">
        <v>2018</v>
      </c>
      <c r="X275" t="s">
        <v>292</v>
      </c>
      <c r="Y275" t="s">
        <v>696</v>
      </c>
      <c r="Z275" t="s">
        <v>302</v>
      </c>
      <c r="AA275" t="s">
        <v>303</v>
      </c>
      <c r="AB275" t="s">
        <v>770</v>
      </c>
      <c r="AC275" t="s">
        <v>1419</v>
      </c>
      <c r="AD275" t="s">
        <v>340</v>
      </c>
      <c r="AE275" t="s">
        <v>311</v>
      </c>
      <c r="AF275" t="s">
        <v>802</v>
      </c>
      <c r="AH275" t="s">
        <v>820</v>
      </c>
      <c r="AI275" t="s">
        <v>311</v>
      </c>
      <c r="AJ275" t="s">
        <v>311</v>
      </c>
      <c r="AK275" t="s">
        <v>621</v>
      </c>
      <c r="AL275" t="s">
        <v>1045</v>
      </c>
      <c r="AM275" t="s">
        <v>1059</v>
      </c>
      <c r="AN275" t="s">
        <v>584</v>
      </c>
      <c r="AO275" t="s">
        <v>345</v>
      </c>
      <c r="AP275" t="s">
        <v>887</v>
      </c>
      <c r="AQ275" t="s">
        <v>614</v>
      </c>
      <c r="AR275">
        <v>690134</v>
      </c>
      <c r="AS275" t="s">
        <v>311</v>
      </c>
      <c r="AT275">
        <v>158161.89000000001</v>
      </c>
      <c r="AU275">
        <v>3</v>
      </c>
      <c r="AV275">
        <v>531580.30000000005</v>
      </c>
      <c r="AW275" t="s">
        <v>311</v>
      </c>
      <c r="AX275">
        <v>40765.550000000003</v>
      </c>
      <c r="AY275">
        <v>3</v>
      </c>
      <c r="AZ275" t="s">
        <v>1677</v>
      </c>
      <c r="BA275" t="s">
        <v>1679</v>
      </c>
      <c r="BB275">
        <v>24</v>
      </c>
      <c r="BC275" t="s">
        <v>1672</v>
      </c>
      <c r="BD275" t="s">
        <v>1764</v>
      </c>
      <c r="BE275" s="16" t="s">
        <v>1881</v>
      </c>
      <c r="BF275">
        <v>2.2000000000000002</v>
      </c>
      <c r="BG275">
        <v>0.42</v>
      </c>
      <c r="BH275">
        <v>0.05</v>
      </c>
      <c r="BI275">
        <v>0.02</v>
      </c>
      <c r="BJ275">
        <v>1.595</v>
      </c>
      <c r="BK275" t="s">
        <v>311</v>
      </c>
      <c r="BL275">
        <v>1.476</v>
      </c>
      <c r="BM275" t="s">
        <v>311</v>
      </c>
      <c r="BN275" t="s">
        <v>311</v>
      </c>
      <c r="BO275" t="s">
        <v>311</v>
      </c>
      <c r="BP275" t="s">
        <v>311</v>
      </c>
      <c r="BQ275" t="s">
        <v>311</v>
      </c>
      <c r="BR275" t="s">
        <v>311</v>
      </c>
      <c r="BS275" t="s">
        <v>311</v>
      </c>
      <c r="BT275">
        <v>3.7949999999999999</v>
      </c>
      <c r="BU275" t="s">
        <v>311</v>
      </c>
      <c r="BV275">
        <v>1.526</v>
      </c>
      <c r="BW275" t="s">
        <v>311</v>
      </c>
      <c r="BX275" t="s">
        <v>1126</v>
      </c>
      <c r="BY275" t="s">
        <v>1203</v>
      </c>
      <c r="BZ275">
        <v>1.526</v>
      </c>
      <c r="CA275">
        <v>27.5</v>
      </c>
      <c r="CB275" t="s">
        <v>1209</v>
      </c>
      <c r="CC275" t="s">
        <v>1209</v>
      </c>
      <c r="CD275" t="s">
        <v>311</v>
      </c>
      <c r="CE275" t="s">
        <v>311</v>
      </c>
      <c r="CF275" t="s">
        <v>311</v>
      </c>
      <c r="CG275" t="s">
        <v>311</v>
      </c>
      <c r="CH275" t="s">
        <v>311</v>
      </c>
      <c r="CI275" t="s">
        <v>311</v>
      </c>
      <c r="CJ275" s="39">
        <v>0.28999999999999998</v>
      </c>
      <c r="CK275" s="39">
        <v>0.12</v>
      </c>
      <c r="CL275" s="39">
        <v>15.6198</v>
      </c>
      <c r="CM275" s="39">
        <v>12.644600000000001</v>
      </c>
      <c r="CN275" s="38" t="s">
        <v>311</v>
      </c>
      <c r="CO275" s="38" t="s">
        <v>311</v>
      </c>
      <c r="CP275" s="41">
        <v>0.12</v>
      </c>
      <c r="CQ275" t="s">
        <v>1744</v>
      </c>
      <c r="CR275" t="s">
        <v>1633</v>
      </c>
    </row>
    <row r="276" spans="1:96">
      <c r="A276">
        <v>275</v>
      </c>
      <c r="B276">
        <v>42</v>
      </c>
      <c r="C276">
        <v>5</v>
      </c>
      <c r="D276" t="s">
        <v>1385</v>
      </c>
      <c r="E276" t="s">
        <v>1386</v>
      </c>
      <c r="F276" t="s">
        <v>83</v>
      </c>
      <c r="G276">
        <v>2023</v>
      </c>
      <c r="H276" t="s">
        <v>1422</v>
      </c>
      <c r="I276" t="s">
        <v>1423</v>
      </c>
      <c r="J276">
        <v>-17.5</v>
      </c>
      <c r="K276">
        <v>-149.83333300000001</v>
      </c>
      <c r="L276" t="s">
        <v>389</v>
      </c>
      <c r="M276" t="s">
        <v>390</v>
      </c>
      <c r="N276" t="s">
        <v>594</v>
      </c>
      <c r="O276" t="s">
        <v>288</v>
      </c>
      <c r="P276" t="s">
        <v>289</v>
      </c>
      <c r="Q276" t="s">
        <v>291</v>
      </c>
      <c r="R276" t="s">
        <v>558</v>
      </c>
      <c r="S276" t="s">
        <v>717</v>
      </c>
      <c r="T276" t="s">
        <v>330</v>
      </c>
      <c r="U276">
        <v>5</v>
      </c>
      <c r="V276" t="s">
        <v>535</v>
      </c>
      <c r="W276">
        <v>2018</v>
      </c>
      <c r="X276" t="s">
        <v>292</v>
      </c>
      <c r="Y276" t="s">
        <v>696</v>
      </c>
      <c r="Z276" t="s">
        <v>302</v>
      </c>
      <c r="AA276" t="s">
        <v>303</v>
      </c>
      <c r="AB276" t="s">
        <v>770</v>
      </c>
      <c r="AC276" t="s">
        <v>1419</v>
      </c>
      <c r="AD276" t="s">
        <v>340</v>
      </c>
      <c r="AE276" t="s">
        <v>311</v>
      </c>
      <c r="AF276" t="s">
        <v>802</v>
      </c>
      <c r="AH276" t="s">
        <v>820</v>
      </c>
      <c r="AI276" t="s">
        <v>311</v>
      </c>
      <c r="AJ276" t="s">
        <v>311</v>
      </c>
      <c r="AK276" t="s">
        <v>621</v>
      </c>
      <c r="AL276" t="s">
        <v>1045</v>
      </c>
      <c r="AM276" t="s">
        <v>1059</v>
      </c>
      <c r="AN276" t="s">
        <v>584</v>
      </c>
      <c r="AO276" t="s">
        <v>345</v>
      </c>
      <c r="AP276" t="s">
        <v>887</v>
      </c>
      <c r="AQ276" t="s">
        <v>614</v>
      </c>
      <c r="AR276">
        <v>638608</v>
      </c>
      <c r="AS276" t="s">
        <v>311</v>
      </c>
      <c r="AT276">
        <v>70366.2</v>
      </c>
      <c r="AU276">
        <v>3</v>
      </c>
      <c r="AV276">
        <v>499068.7</v>
      </c>
      <c r="AW276" t="s">
        <v>311</v>
      </c>
      <c r="AX276">
        <v>12115.85</v>
      </c>
      <c r="AY276">
        <v>3</v>
      </c>
      <c r="AZ276" t="s">
        <v>1677</v>
      </c>
      <c r="BA276" t="s">
        <v>1679</v>
      </c>
      <c r="BB276">
        <v>34</v>
      </c>
      <c r="BC276" t="s">
        <v>1672</v>
      </c>
      <c r="BD276" t="s">
        <v>1763</v>
      </c>
      <c r="BE276" s="16" t="s">
        <v>1881</v>
      </c>
      <c r="BF276">
        <v>2.2000000000000002</v>
      </c>
      <c r="BG276">
        <v>0.42</v>
      </c>
      <c r="BH276">
        <v>0.05</v>
      </c>
      <c r="BI276">
        <v>0.02</v>
      </c>
      <c r="BJ276">
        <v>1.595</v>
      </c>
      <c r="BK276" t="s">
        <v>311</v>
      </c>
      <c r="BL276">
        <v>1.476</v>
      </c>
      <c r="BM276" t="s">
        <v>311</v>
      </c>
      <c r="BN276" t="s">
        <v>311</v>
      </c>
      <c r="BO276" t="s">
        <v>311</v>
      </c>
      <c r="BP276" t="s">
        <v>311</v>
      </c>
      <c r="BQ276" t="s">
        <v>311</v>
      </c>
      <c r="BR276" t="s">
        <v>311</v>
      </c>
      <c r="BS276" t="s">
        <v>311</v>
      </c>
      <c r="BT276">
        <v>3.7949999999999999</v>
      </c>
      <c r="BU276" t="s">
        <v>311</v>
      </c>
      <c r="BV276">
        <v>1.526</v>
      </c>
      <c r="BW276" t="s">
        <v>311</v>
      </c>
      <c r="BX276" t="s">
        <v>1126</v>
      </c>
      <c r="BY276" t="s">
        <v>1203</v>
      </c>
      <c r="BZ276">
        <v>1.526</v>
      </c>
      <c r="CA276">
        <v>27.5</v>
      </c>
      <c r="CB276" t="s">
        <v>1209</v>
      </c>
      <c r="CC276" t="s">
        <v>1209</v>
      </c>
      <c r="CD276" t="s">
        <v>311</v>
      </c>
      <c r="CE276" t="s">
        <v>311</v>
      </c>
      <c r="CF276" t="s">
        <v>311</v>
      </c>
      <c r="CG276" t="s">
        <v>311</v>
      </c>
      <c r="CH276" t="s">
        <v>311</v>
      </c>
      <c r="CI276" t="s">
        <v>311</v>
      </c>
      <c r="CJ276" s="39">
        <v>0.28999999999999998</v>
      </c>
      <c r="CK276" s="39">
        <v>0.12</v>
      </c>
      <c r="CL276" s="39">
        <v>15.6198</v>
      </c>
      <c r="CM276" s="39">
        <v>12.644600000000001</v>
      </c>
      <c r="CN276" s="38" t="s">
        <v>311</v>
      </c>
      <c r="CO276" s="38" t="s">
        <v>311</v>
      </c>
      <c r="CP276" s="41">
        <v>0.12</v>
      </c>
      <c r="CQ276" t="s">
        <v>1745</v>
      </c>
      <c r="CR276" t="s">
        <v>1634</v>
      </c>
    </row>
    <row r="277" spans="1:96" s="30" customFormat="1">
      <c r="A277">
        <v>276</v>
      </c>
      <c r="B277" s="30">
        <v>42</v>
      </c>
      <c r="C277" s="30">
        <v>6</v>
      </c>
      <c r="D277" s="30" t="s">
        <v>1385</v>
      </c>
      <c r="E277" s="30" t="s">
        <v>1386</v>
      </c>
      <c r="F277" s="30" t="s">
        <v>83</v>
      </c>
      <c r="G277" s="30">
        <v>2023</v>
      </c>
      <c r="H277" s="30" t="s">
        <v>1422</v>
      </c>
      <c r="I277" s="30" t="s">
        <v>1423</v>
      </c>
      <c r="J277" s="30">
        <v>-17.5</v>
      </c>
      <c r="K277" s="30">
        <v>-149.83333300000001</v>
      </c>
      <c r="L277" s="30" t="s">
        <v>389</v>
      </c>
      <c r="M277" s="30" t="s">
        <v>390</v>
      </c>
      <c r="N277" s="30" t="s">
        <v>594</v>
      </c>
      <c r="O277" s="30" t="s">
        <v>288</v>
      </c>
      <c r="P277" s="30" t="s">
        <v>289</v>
      </c>
      <c r="Q277" s="30" t="s">
        <v>291</v>
      </c>
      <c r="R277" s="30" t="s">
        <v>558</v>
      </c>
      <c r="S277" s="30" t="s">
        <v>717</v>
      </c>
      <c r="T277" s="30" t="s">
        <v>330</v>
      </c>
      <c r="U277" s="30">
        <v>5</v>
      </c>
      <c r="V277" s="30" t="s">
        <v>535</v>
      </c>
      <c r="W277" s="30">
        <v>2018</v>
      </c>
      <c r="X277" s="30" t="s">
        <v>292</v>
      </c>
      <c r="Y277" s="30" t="s">
        <v>696</v>
      </c>
      <c r="Z277" s="30" t="s">
        <v>302</v>
      </c>
      <c r="AA277" s="30" t="s">
        <v>303</v>
      </c>
      <c r="AB277" s="30" t="s">
        <v>770</v>
      </c>
      <c r="AC277" s="30" t="s">
        <v>1419</v>
      </c>
      <c r="AD277" s="30" t="s">
        <v>340</v>
      </c>
      <c r="AE277" s="30" t="s">
        <v>311</v>
      </c>
      <c r="AF277" s="30" t="s">
        <v>802</v>
      </c>
      <c r="AH277" s="30" t="s">
        <v>820</v>
      </c>
      <c r="AI277" s="30" t="s">
        <v>311</v>
      </c>
      <c r="AJ277" s="30" t="s">
        <v>311</v>
      </c>
      <c r="AK277" s="30" t="s">
        <v>621</v>
      </c>
      <c r="AL277" s="30" t="s">
        <v>1045</v>
      </c>
      <c r="AM277" s="30" t="s">
        <v>1059</v>
      </c>
      <c r="AN277" s="30" t="s">
        <v>584</v>
      </c>
      <c r="AO277" s="30" t="s">
        <v>345</v>
      </c>
      <c r="AP277" s="30" t="s">
        <v>614</v>
      </c>
      <c r="AQ277" s="30" t="s">
        <v>614</v>
      </c>
      <c r="AR277" s="30">
        <v>100579.83098591596</v>
      </c>
      <c r="AS277" s="30">
        <v>569608.62900946883</v>
      </c>
      <c r="AT277" s="30" t="s">
        <v>311</v>
      </c>
      <c r="AU277" s="30">
        <v>3</v>
      </c>
      <c r="AV277" s="30">
        <v>-38959.469014084025</v>
      </c>
      <c r="AW277" s="30">
        <v>488547.15749651956</v>
      </c>
      <c r="AX277" s="30" t="s">
        <v>311</v>
      </c>
      <c r="AY277" s="30">
        <v>3</v>
      </c>
      <c r="AZ277" s="30" t="s">
        <v>1677</v>
      </c>
      <c r="BA277" s="30" t="s">
        <v>1679</v>
      </c>
      <c r="BB277">
        <v>34</v>
      </c>
      <c r="BC277" s="30" t="s">
        <v>1673</v>
      </c>
      <c r="BD277" s="30" t="s">
        <v>311</v>
      </c>
      <c r="BE277" s="30" t="s">
        <v>1881</v>
      </c>
      <c r="BF277" s="30">
        <v>2.2000000000000002</v>
      </c>
      <c r="BG277" s="30">
        <v>0.42</v>
      </c>
      <c r="BH277" s="30">
        <v>0.05</v>
      </c>
      <c r="BI277" s="30">
        <v>0.02</v>
      </c>
      <c r="BJ277" s="30">
        <v>1.595</v>
      </c>
      <c r="BK277" s="30" t="s">
        <v>311</v>
      </c>
      <c r="BL277" s="30">
        <v>1.476</v>
      </c>
      <c r="BM277" s="30" t="s">
        <v>311</v>
      </c>
      <c r="BN277" s="30" t="s">
        <v>311</v>
      </c>
      <c r="BO277" s="30" t="s">
        <v>311</v>
      </c>
      <c r="BP277" s="30" t="s">
        <v>311</v>
      </c>
      <c r="BQ277" s="30" t="s">
        <v>311</v>
      </c>
      <c r="BR277" s="30" t="s">
        <v>311</v>
      </c>
      <c r="BS277" s="30" t="s">
        <v>311</v>
      </c>
      <c r="BT277" s="30">
        <v>3.7949999999999999</v>
      </c>
      <c r="BU277" s="30" t="s">
        <v>311</v>
      </c>
      <c r="BV277" s="30">
        <v>1.526</v>
      </c>
      <c r="BW277" s="30" t="s">
        <v>311</v>
      </c>
      <c r="BX277" s="30" t="s">
        <v>1126</v>
      </c>
      <c r="BY277" s="30" t="s">
        <v>1203</v>
      </c>
      <c r="BZ277" s="30">
        <v>1.526</v>
      </c>
      <c r="CA277" s="30">
        <v>27.5</v>
      </c>
      <c r="CB277" s="30" t="s">
        <v>1209</v>
      </c>
      <c r="CC277" s="30" t="s">
        <v>1209</v>
      </c>
      <c r="CD277" s="30" t="s">
        <v>311</v>
      </c>
      <c r="CE277" s="30" t="s">
        <v>311</v>
      </c>
      <c r="CF277" s="30" t="s">
        <v>311</v>
      </c>
      <c r="CG277" s="30" t="s">
        <v>311</v>
      </c>
      <c r="CH277" s="30" t="s">
        <v>311</v>
      </c>
      <c r="CI277" s="30" t="s">
        <v>311</v>
      </c>
      <c r="CJ277" s="39">
        <v>0.28999999999999998</v>
      </c>
      <c r="CK277" s="39">
        <v>0.12</v>
      </c>
      <c r="CL277" s="39">
        <v>15.6198</v>
      </c>
      <c r="CM277" s="39">
        <v>12.644600000000001</v>
      </c>
      <c r="CN277" s="38" t="s">
        <v>311</v>
      </c>
      <c r="CO277" s="38" t="s">
        <v>311</v>
      </c>
      <c r="CP277" s="41">
        <v>0.12</v>
      </c>
      <c r="CQ277" s="30" t="s">
        <v>1855</v>
      </c>
      <c r="CR277" s="30" t="s">
        <v>1856</v>
      </c>
    </row>
    <row r="278" spans="1:96">
      <c r="A278">
        <v>277</v>
      </c>
      <c r="B278">
        <v>42</v>
      </c>
      <c r="C278">
        <v>7</v>
      </c>
      <c r="D278" t="s">
        <v>1385</v>
      </c>
      <c r="E278" t="s">
        <v>1386</v>
      </c>
      <c r="F278" t="s">
        <v>83</v>
      </c>
      <c r="G278">
        <v>2023</v>
      </c>
      <c r="H278" t="s">
        <v>1422</v>
      </c>
      <c r="I278" t="s">
        <v>1423</v>
      </c>
      <c r="J278">
        <v>-17.5</v>
      </c>
      <c r="K278">
        <v>-149.83333300000001</v>
      </c>
      <c r="L278" t="s">
        <v>389</v>
      </c>
      <c r="M278" t="s">
        <v>390</v>
      </c>
      <c r="N278" t="s">
        <v>594</v>
      </c>
      <c r="O278" t="s">
        <v>288</v>
      </c>
      <c r="P278" t="s">
        <v>289</v>
      </c>
      <c r="Q278" t="s">
        <v>291</v>
      </c>
      <c r="R278" t="s">
        <v>558</v>
      </c>
      <c r="S278" t="s">
        <v>717</v>
      </c>
      <c r="T278" t="s">
        <v>330</v>
      </c>
      <c r="U278">
        <v>5</v>
      </c>
      <c r="V278" t="s">
        <v>535</v>
      </c>
      <c r="W278">
        <v>2018</v>
      </c>
      <c r="X278" t="s">
        <v>292</v>
      </c>
      <c r="Y278" t="s">
        <v>696</v>
      </c>
      <c r="Z278" t="s">
        <v>302</v>
      </c>
      <c r="AA278" t="s">
        <v>303</v>
      </c>
      <c r="AB278" t="s">
        <v>770</v>
      </c>
      <c r="AC278" t="s">
        <v>1419</v>
      </c>
      <c r="AD278" t="s">
        <v>292</v>
      </c>
      <c r="AE278" t="s">
        <v>657</v>
      </c>
      <c r="AF278" t="s">
        <v>304</v>
      </c>
      <c r="AH278" t="s">
        <v>305</v>
      </c>
      <c r="AI278" t="s">
        <v>655</v>
      </c>
      <c r="AJ278" t="s">
        <v>1421</v>
      </c>
      <c r="AK278" t="s">
        <v>1424</v>
      </c>
      <c r="AL278" t="s">
        <v>1045</v>
      </c>
      <c r="AM278" t="s">
        <v>1059</v>
      </c>
      <c r="AN278" t="s">
        <v>583</v>
      </c>
      <c r="AO278" t="s">
        <v>1070</v>
      </c>
      <c r="AP278" t="s">
        <v>887</v>
      </c>
      <c r="AQ278" t="s">
        <v>614</v>
      </c>
      <c r="AR278">
        <v>546</v>
      </c>
      <c r="AS278" t="s">
        <v>311</v>
      </c>
      <c r="AT278">
        <v>88.425110000000004</v>
      </c>
      <c r="AU278">
        <v>3</v>
      </c>
      <c r="AV278">
        <v>477</v>
      </c>
      <c r="AW278" t="s">
        <v>311</v>
      </c>
      <c r="AX278">
        <v>40.149720000000002</v>
      </c>
      <c r="AY278">
        <v>3</v>
      </c>
      <c r="AZ278" t="s">
        <v>1055</v>
      </c>
      <c r="BA278" t="s">
        <v>1679</v>
      </c>
      <c r="BB278">
        <v>34</v>
      </c>
      <c r="BC278" t="s">
        <v>1672</v>
      </c>
      <c r="BD278" t="s">
        <v>311</v>
      </c>
      <c r="BE278" s="16" t="s">
        <v>1880</v>
      </c>
      <c r="BF278">
        <v>2.2000000000000002</v>
      </c>
      <c r="BG278">
        <v>0.42</v>
      </c>
      <c r="BH278">
        <v>0.05</v>
      </c>
      <c r="BI278">
        <v>0.02</v>
      </c>
      <c r="BJ278">
        <v>1.595</v>
      </c>
      <c r="BK278" t="s">
        <v>311</v>
      </c>
      <c r="BL278">
        <v>1.476</v>
      </c>
      <c r="BM278" t="s">
        <v>311</v>
      </c>
      <c r="BN278" t="s">
        <v>311</v>
      </c>
      <c r="BO278" t="s">
        <v>311</v>
      </c>
      <c r="BP278" t="s">
        <v>311</v>
      </c>
      <c r="BQ278" t="s">
        <v>311</v>
      </c>
      <c r="BR278" t="s">
        <v>311</v>
      </c>
      <c r="BS278" t="s">
        <v>311</v>
      </c>
      <c r="BT278">
        <v>3.7949999999999999</v>
      </c>
      <c r="BU278" t="s">
        <v>311</v>
      </c>
      <c r="BV278">
        <v>1.526</v>
      </c>
      <c r="BW278" t="s">
        <v>311</v>
      </c>
      <c r="BX278" t="s">
        <v>1126</v>
      </c>
      <c r="BY278" t="s">
        <v>1203</v>
      </c>
      <c r="BZ278">
        <v>1.526</v>
      </c>
      <c r="CA278">
        <v>27.5</v>
      </c>
      <c r="CB278" t="s">
        <v>1209</v>
      </c>
      <c r="CC278" t="s">
        <v>1209</v>
      </c>
      <c r="CD278" t="s">
        <v>311</v>
      </c>
      <c r="CE278" t="s">
        <v>311</v>
      </c>
      <c r="CF278" t="s">
        <v>311</v>
      </c>
      <c r="CG278" t="s">
        <v>311</v>
      </c>
      <c r="CH278" t="s">
        <v>311</v>
      </c>
      <c r="CI278" t="s">
        <v>311</v>
      </c>
      <c r="CJ278" s="39">
        <v>0.28999999999999998</v>
      </c>
      <c r="CK278" s="39">
        <v>0.12</v>
      </c>
      <c r="CL278" s="39">
        <v>15.6198</v>
      </c>
      <c r="CM278" s="39">
        <v>12.644600000000001</v>
      </c>
      <c r="CN278" s="38" t="s">
        <v>311</v>
      </c>
      <c r="CO278" s="38" t="s">
        <v>311</v>
      </c>
      <c r="CP278" s="41">
        <v>0.12</v>
      </c>
      <c r="CQ278" t="s">
        <v>1746</v>
      </c>
      <c r="CR278" t="s">
        <v>1635</v>
      </c>
    </row>
    <row r="279" spans="1:96">
      <c r="A279">
        <v>278</v>
      </c>
      <c r="B279">
        <v>42</v>
      </c>
      <c r="C279">
        <v>8</v>
      </c>
      <c r="D279" t="s">
        <v>1385</v>
      </c>
      <c r="E279" t="s">
        <v>1386</v>
      </c>
      <c r="F279" t="s">
        <v>83</v>
      </c>
      <c r="G279">
        <v>2023</v>
      </c>
      <c r="H279" t="s">
        <v>1422</v>
      </c>
      <c r="I279" t="s">
        <v>1423</v>
      </c>
      <c r="J279">
        <v>-17.5</v>
      </c>
      <c r="K279">
        <v>-149.83333300000001</v>
      </c>
      <c r="L279" t="s">
        <v>389</v>
      </c>
      <c r="M279" t="s">
        <v>390</v>
      </c>
      <c r="N279" t="s">
        <v>594</v>
      </c>
      <c r="O279" t="s">
        <v>288</v>
      </c>
      <c r="P279" t="s">
        <v>289</v>
      </c>
      <c r="Q279" t="s">
        <v>291</v>
      </c>
      <c r="R279" t="s">
        <v>558</v>
      </c>
      <c r="S279" t="s">
        <v>717</v>
      </c>
      <c r="T279" t="s">
        <v>330</v>
      </c>
      <c r="U279">
        <v>5</v>
      </c>
      <c r="V279" t="s">
        <v>535</v>
      </c>
      <c r="W279">
        <v>2018</v>
      </c>
      <c r="X279" t="s">
        <v>292</v>
      </c>
      <c r="Y279" t="s">
        <v>696</v>
      </c>
      <c r="Z279" t="s">
        <v>302</v>
      </c>
      <c r="AA279" t="s">
        <v>303</v>
      </c>
      <c r="AB279" t="s">
        <v>770</v>
      </c>
      <c r="AC279" t="s">
        <v>1419</v>
      </c>
      <c r="AD279" t="s">
        <v>292</v>
      </c>
      <c r="AE279" t="s">
        <v>657</v>
      </c>
      <c r="AF279" t="s">
        <v>304</v>
      </c>
      <c r="AH279" t="s">
        <v>305</v>
      </c>
      <c r="AI279" t="s">
        <v>655</v>
      </c>
      <c r="AJ279" t="s">
        <v>1421</v>
      </c>
      <c r="AK279" t="s">
        <v>1425</v>
      </c>
      <c r="AL279" t="s">
        <v>1045</v>
      </c>
      <c r="AM279" t="s">
        <v>1059</v>
      </c>
      <c r="AN279" t="s">
        <v>583</v>
      </c>
      <c r="AO279" t="s">
        <v>1286</v>
      </c>
      <c r="AP279" t="s">
        <v>614</v>
      </c>
      <c r="AQ279" t="s">
        <v>887</v>
      </c>
      <c r="AR279">
        <v>18.613</v>
      </c>
      <c r="AS279" t="s">
        <v>311</v>
      </c>
      <c r="AT279">
        <v>5.195309</v>
      </c>
      <c r="AU279">
        <v>3</v>
      </c>
      <c r="AV279">
        <v>14.222670000000001</v>
      </c>
      <c r="AW279" t="s">
        <v>311</v>
      </c>
      <c r="AX279">
        <v>2.940925</v>
      </c>
      <c r="AY279">
        <v>3</v>
      </c>
      <c r="AZ279" t="s">
        <v>1055</v>
      </c>
      <c r="BA279" t="s">
        <v>1679</v>
      </c>
      <c r="BB279">
        <v>10</v>
      </c>
      <c r="BC279" t="s">
        <v>1672</v>
      </c>
      <c r="BD279" t="s">
        <v>1764</v>
      </c>
      <c r="BE279" t="s">
        <v>1880</v>
      </c>
      <c r="BF279">
        <v>2.2000000000000002</v>
      </c>
      <c r="BG279">
        <v>0.42</v>
      </c>
      <c r="BH279">
        <v>0.05</v>
      </c>
      <c r="BI279">
        <v>0.02</v>
      </c>
      <c r="BJ279">
        <v>1.595</v>
      </c>
      <c r="BK279" t="s">
        <v>311</v>
      </c>
      <c r="BL279">
        <v>1.476</v>
      </c>
      <c r="BM279" t="s">
        <v>311</v>
      </c>
      <c r="BN279" t="s">
        <v>311</v>
      </c>
      <c r="BO279" t="s">
        <v>311</v>
      </c>
      <c r="BP279" t="s">
        <v>311</v>
      </c>
      <c r="BQ279" t="s">
        <v>311</v>
      </c>
      <c r="BR279" t="s">
        <v>311</v>
      </c>
      <c r="BS279" t="s">
        <v>311</v>
      </c>
      <c r="BT279">
        <v>3.7949999999999999</v>
      </c>
      <c r="BU279" t="s">
        <v>311</v>
      </c>
      <c r="BV279">
        <v>1.526</v>
      </c>
      <c r="BW279" t="s">
        <v>311</v>
      </c>
      <c r="BX279" t="s">
        <v>1126</v>
      </c>
      <c r="BY279" t="s">
        <v>1203</v>
      </c>
      <c r="BZ279">
        <v>1.526</v>
      </c>
      <c r="CA279">
        <v>27.5</v>
      </c>
      <c r="CB279" t="s">
        <v>1209</v>
      </c>
      <c r="CC279" t="s">
        <v>1209</v>
      </c>
      <c r="CD279" t="s">
        <v>311</v>
      </c>
      <c r="CE279" t="s">
        <v>311</v>
      </c>
      <c r="CF279" t="s">
        <v>311</v>
      </c>
      <c r="CG279" t="s">
        <v>311</v>
      </c>
      <c r="CH279" t="s">
        <v>311</v>
      </c>
      <c r="CI279" t="s">
        <v>311</v>
      </c>
      <c r="CJ279" s="39">
        <v>0.28999999999999998</v>
      </c>
      <c r="CK279" s="39">
        <v>0.12</v>
      </c>
      <c r="CL279" s="39">
        <v>15.6198</v>
      </c>
      <c r="CM279" s="39">
        <v>12.644600000000001</v>
      </c>
      <c r="CN279" s="38" t="s">
        <v>311</v>
      </c>
      <c r="CO279" s="38" t="s">
        <v>311</v>
      </c>
      <c r="CP279" s="41">
        <v>0.12</v>
      </c>
      <c r="CQ279" t="s">
        <v>1747</v>
      </c>
      <c r="CR279" t="s">
        <v>1637</v>
      </c>
    </row>
    <row r="280" spans="1:96">
      <c r="A280">
        <v>279</v>
      </c>
      <c r="B280">
        <v>42</v>
      </c>
      <c r="C280">
        <v>9</v>
      </c>
      <c r="D280" t="s">
        <v>1385</v>
      </c>
      <c r="E280" t="s">
        <v>1386</v>
      </c>
      <c r="F280" t="s">
        <v>83</v>
      </c>
      <c r="G280">
        <v>2023</v>
      </c>
      <c r="H280" t="s">
        <v>1422</v>
      </c>
      <c r="I280" t="s">
        <v>1423</v>
      </c>
      <c r="J280">
        <v>-17.5</v>
      </c>
      <c r="K280">
        <v>-149.83333300000001</v>
      </c>
      <c r="L280" t="s">
        <v>389</v>
      </c>
      <c r="M280" t="s">
        <v>390</v>
      </c>
      <c r="N280" t="s">
        <v>594</v>
      </c>
      <c r="O280" t="s">
        <v>288</v>
      </c>
      <c r="P280" t="s">
        <v>289</v>
      </c>
      <c r="Q280" t="s">
        <v>291</v>
      </c>
      <c r="R280" t="s">
        <v>558</v>
      </c>
      <c r="S280" t="s">
        <v>717</v>
      </c>
      <c r="T280" t="s">
        <v>330</v>
      </c>
      <c r="U280">
        <v>5</v>
      </c>
      <c r="V280" t="s">
        <v>535</v>
      </c>
      <c r="W280">
        <v>2018</v>
      </c>
      <c r="X280" t="s">
        <v>292</v>
      </c>
      <c r="Y280" t="s">
        <v>696</v>
      </c>
      <c r="Z280" t="s">
        <v>302</v>
      </c>
      <c r="AA280" t="s">
        <v>303</v>
      </c>
      <c r="AB280" t="s">
        <v>770</v>
      </c>
      <c r="AC280" t="s">
        <v>1419</v>
      </c>
      <c r="AD280" t="s">
        <v>292</v>
      </c>
      <c r="AE280" t="s">
        <v>657</v>
      </c>
      <c r="AF280" t="s">
        <v>304</v>
      </c>
      <c r="AH280" t="s">
        <v>305</v>
      </c>
      <c r="AI280" t="s">
        <v>655</v>
      </c>
      <c r="AJ280" t="s">
        <v>1421</v>
      </c>
      <c r="AK280" t="s">
        <v>1425</v>
      </c>
      <c r="AL280" t="s">
        <v>1045</v>
      </c>
      <c r="AM280" t="s">
        <v>1059</v>
      </c>
      <c r="AN280" t="s">
        <v>583</v>
      </c>
      <c r="AO280" t="s">
        <v>1286</v>
      </c>
      <c r="AP280" t="s">
        <v>614</v>
      </c>
      <c r="AQ280" t="s">
        <v>887</v>
      </c>
      <c r="AR280">
        <v>21.885999999999999</v>
      </c>
      <c r="AS280" t="s">
        <v>311</v>
      </c>
      <c r="AT280">
        <v>4.5401509999999998</v>
      </c>
      <c r="AU280">
        <v>3</v>
      </c>
      <c r="AV280">
        <v>10.62533</v>
      </c>
      <c r="AW280" t="s">
        <v>311</v>
      </c>
      <c r="AX280">
        <v>3.6736070000000001</v>
      </c>
      <c r="AY280">
        <v>3</v>
      </c>
      <c r="AZ280" t="s">
        <v>1055</v>
      </c>
      <c r="BA280" t="s">
        <v>1679</v>
      </c>
      <c r="BB280">
        <v>10</v>
      </c>
      <c r="BC280" t="s">
        <v>1672</v>
      </c>
      <c r="BD280" t="s">
        <v>1763</v>
      </c>
      <c r="BE280" t="s">
        <v>1880</v>
      </c>
      <c r="BF280">
        <v>2.2000000000000002</v>
      </c>
      <c r="BG280">
        <v>0.42</v>
      </c>
      <c r="BH280">
        <v>0.05</v>
      </c>
      <c r="BI280">
        <v>0.02</v>
      </c>
      <c r="BJ280">
        <v>1.595</v>
      </c>
      <c r="BK280" t="s">
        <v>311</v>
      </c>
      <c r="BL280">
        <v>1.476</v>
      </c>
      <c r="BM280" t="s">
        <v>311</v>
      </c>
      <c r="BN280" t="s">
        <v>311</v>
      </c>
      <c r="BO280" t="s">
        <v>311</v>
      </c>
      <c r="BP280" t="s">
        <v>311</v>
      </c>
      <c r="BQ280" t="s">
        <v>311</v>
      </c>
      <c r="BR280" t="s">
        <v>311</v>
      </c>
      <c r="BS280" t="s">
        <v>311</v>
      </c>
      <c r="BT280">
        <v>3.7949999999999999</v>
      </c>
      <c r="BU280" t="s">
        <v>311</v>
      </c>
      <c r="BV280">
        <v>1.526</v>
      </c>
      <c r="BW280" t="s">
        <v>311</v>
      </c>
      <c r="BX280" t="s">
        <v>1126</v>
      </c>
      <c r="BY280" t="s">
        <v>1203</v>
      </c>
      <c r="BZ280">
        <v>1.526</v>
      </c>
      <c r="CA280">
        <v>27.5</v>
      </c>
      <c r="CB280" t="s">
        <v>1209</v>
      </c>
      <c r="CC280" t="s">
        <v>1209</v>
      </c>
      <c r="CD280" t="s">
        <v>311</v>
      </c>
      <c r="CE280" t="s">
        <v>311</v>
      </c>
      <c r="CF280" t="s">
        <v>311</v>
      </c>
      <c r="CG280" t="s">
        <v>311</v>
      </c>
      <c r="CH280" t="s">
        <v>311</v>
      </c>
      <c r="CI280" t="s">
        <v>311</v>
      </c>
      <c r="CJ280" s="39">
        <v>0.28999999999999998</v>
      </c>
      <c r="CK280" s="39">
        <v>0.12</v>
      </c>
      <c r="CL280" s="39">
        <v>15.6198</v>
      </c>
      <c r="CM280" s="39">
        <v>12.644600000000001</v>
      </c>
      <c r="CN280" s="38" t="s">
        <v>311</v>
      </c>
      <c r="CO280" s="38" t="s">
        <v>311</v>
      </c>
      <c r="CP280" s="41">
        <v>0.12</v>
      </c>
      <c r="CQ280" t="s">
        <v>1748</v>
      </c>
      <c r="CR280" t="s">
        <v>1636</v>
      </c>
    </row>
    <row r="281" spans="1:96" s="30" customFormat="1">
      <c r="A281">
        <v>280</v>
      </c>
      <c r="B281" s="30">
        <v>43</v>
      </c>
      <c r="C281" s="30">
        <v>1</v>
      </c>
      <c r="D281" s="30" t="s">
        <v>1403</v>
      </c>
      <c r="E281" s="30" t="s">
        <v>1404</v>
      </c>
      <c r="F281" s="30" t="s">
        <v>1405</v>
      </c>
      <c r="G281" s="30">
        <v>2022</v>
      </c>
      <c r="H281" s="30" t="s">
        <v>1436</v>
      </c>
      <c r="I281" s="30" t="s">
        <v>1437</v>
      </c>
      <c r="J281" s="30">
        <v>40.832514000000003</v>
      </c>
      <c r="K281" s="30">
        <v>14.235457</v>
      </c>
      <c r="L281" s="30" t="s">
        <v>1433</v>
      </c>
      <c r="M281" s="30" t="s">
        <v>1434</v>
      </c>
      <c r="N281" s="30" t="s">
        <v>600</v>
      </c>
      <c r="O281" s="30" t="s">
        <v>332</v>
      </c>
      <c r="P281" s="30" t="s">
        <v>693</v>
      </c>
      <c r="Q281" s="30" t="s">
        <v>333</v>
      </c>
      <c r="R281" s="30" t="s">
        <v>550</v>
      </c>
      <c r="S281" s="30" t="s">
        <v>311</v>
      </c>
      <c r="T281" s="30" t="s">
        <v>330</v>
      </c>
      <c r="U281" s="30">
        <v>5</v>
      </c>
      <c r="V281" s="30" t="s">
        <v>559</v>
      </c>
      <c r="W281" s="30">
        <v>2018</v>
      </c>
      <c r="X281" s="30" t="s">
        <v>292</v>
      </c>
      <c r="Y281" s="30" t="s">
        <v>1443</v>
      </c>
      <c r="Z281" s="30" t="s">
        <v>537</v>
      </c>
      <c r="AA281" s="30" t="s">
        <v>538</v>
      </c>
      <c r="AB281" s="30" t="s">
        <v>1441</v>
      </c>
      <c r="AC281" s="30" t="s">
        <v>1442</v>
      </c>
      <c r="AD281" s="30" t="s">
        <v>292</v>
      </c>
      <c r="AE281" s="30" t="s">
        <v>1440</v>
      </c>
      <c r="AF281" s="30" t="s">
        <v>552</v>
      </c>
      <c r="AH281" s="30" t="s">
        <v>555</v>
      </c>
      <c r="AI281" s="30" t="s">
        <v>1438</v>
      </c>
      <c r="AJ281" s="30" t="s">
        <v>1439</v>
      </c>
      <c r="AK281" s="30" t="s">
        <v>564</v>
      </c>
      <c r="AL281" s="30" t="s">
        <v>357</v>
      </c>
      <c r="AM281" s="30" t="s">
        <v>1059</v>
      </c>
      <c r="AN281" s="30" t="s">
        <v>1281</v>
      </c>
      <c r="AO281" s="30" t="s">
        <v>870</v>
      </c>
      <c r="AP281" s="30" t="s">
        <v>887</v>
      </c>
      <c r="AQ281" s="30" t="s">
        <v>887</v>
      </c>
      <c r="AR281" s="30">
        <v>27.727272727272702</v>
      </c>
      <c r="AS281" s="30">
        <v>1.0227272727272982</v>
      </c>
      <c r="AT281" s="30" t="s">
        <v>311</v>
      </c>
      <c r="AU281" s="30">
        <v>3</v>
      </c>
      <c r="AV281" s="30">
        <v>20.909090909090899</v>
      </c>
      <c r="AW281" s="30">
        <v>1.5909090909091006</v>
      </c>
      <c r="AX281" s="30" t="s">
        <v>311</v>
      </c>
      <c r="AY281" s="30">
        <v>3</v>
      </c>
      <c r="AZ281" s="30" t="s">
        <v>1055</v>
      </c>
      <c r="BA281" s="30" t="s">
        <v>1679</v>
      </c>
      <c r="BB281">
        <v>42</v>
      </c>
      <c r="BC281" s="30" t="s">
        <v>1673</v>
      </c>
      <c r="BD281" s="30" t="s">
        <v>311</v>
      </c>
      <c r="BE281" s="30" t="s">
        <v>1880</v>
      </c>
      <c r="BF281" s="27" t="s">
        <v>311</v>
      </c>
      <c r="BG281" s="27" t="s">
        <v>311</v>
      </c>
      <c r="BH281" s="27" t="s">
        <v>311</v>
      </c>
      <c r="BI281" s="27" t="s">
        <v>311</v>
      </c>
      <c r="BJ281" s="27" t="s">
        <v>311</v>
      </c>
      <c r="BK281" s="27" t="s">
        <v>311</v>
      </c>
      <c r="BL281" s="27" t="s">
        <v>311</v>
      </c>
      <c r="BM281" s="27" t="s">
        <v>311</v>
      </c>
      <c r="BN281" s="27" t="s">
        <v>311</v>
      </c>
      <c r="BO281" s="27" t="s">
        <v>311</v>
      </c>
      <c r="BP281" s="30">
        <v>6.2825484764542896</v>
      </c>
      <c r="BQ281" s="30">
        <v>0.79778393351801036</v>
      </c>
      <c r="BR281" s="30">
        <v>9.7063711911357302</v>
      </c>
      <c r="BS281" s="30">
        <v>0.99722991689746898</v>
      </c>
      <c r="BT281" s="30">
        <v>8.2468341907399996</v>
      </c>
      <c r="BU281" s="30" t="s">
        <v>311</v>
      </c>
      <c r="BV281" s="30">
        <v>11.06105099409139</v>
      </c>
      <c r="BW281" s="30" t="s">
        <v>311</v>
      </c>
      <c r="BX281" s="30" t="s">
        <v>1126</v>
      </c>
      <c r="BY281" s="30" t="s">
        <v>1203</v>
      </c>
      <c r="BZ281" s="27">
        <v>10.89</v>
      </c>
      <c r="CA281" s="30">
        <v>24.5</v>
      </c>
      <c r="CB281" s="30" t="s">
        <v>1209</v>
      </c>
      <c r="CC281" s="30" t="s">
        <v>1209</v>
      </c>
      <c r="CD281" s="30" t="s">
        <v>311</v>
      </c>
      <c r="CE281" s="30" t="s">
        <v>311</v>
      </c>
      <c r="CF281" s="30" t="s">
        <v>311</v>
      </c>
      <c r="CG281" s="30" t="s">
        <v>311</v>
      </c>
      <c r="CH281" s="30" t="s">
        <v>311</v>
      </c>
      <c r="CI281" s="30" t="s">
        <v>311</v>
      </c>
      <c r="CJ281" s="38">
        <v>0.13</v>
      </c>
      <c r="CK281" s="38">
        <v>0.13</v>
      </c>
      <c r="CL281" s="38" t="s">
        <v>311</v>
      </c>
      <c r="CM281" s="38" t="s">
        <v>311</v>
      </c>
      <c r="CN281" s="38">
        <v>0.56700610997963297</v>
      </c>
      <c r="CO281" s="38">
        <v>0.69898167006109901</v>
      </c>
      <c r="CP281" s="38">
        <v>0.13</v>
      </c>
      <c r="CQ281" s="30" t="s">
        <v>1862</v>
      </c>
      <c r="CR281" s="30" t="s">
        <v>1896</v>
      </c>
    </row>
    <row r="282" spans="1:96">
      <c r="A282">
        <v>281</v>
      </c>
      <c r="B282">
        <v>43</v>
      </c>
      <c r="C282">
        <v>2</v>
      </c>
      <c r="D282" t="s">
        <v>1403</v>
      </c>
      <c r="E282" t="s">
        <v>1404</v>
      </c>
      <c r="F282" t="s">
        <v>1405</v>
      </c>
      <c r="G282">
        <v>2022</v>
      </c>
      <c r="H282" t="s">
        <v>1436</v>
      </c>
      <c r="I282" t="s">
        <v>1437</v>
      </c>
      <c r="J282">
        <v>40.832514000000003</v>
      </c>
      <c r="K282">
        <v>14.235457</v>
      </c>
      <c r="L282" t="s">
        <v>1433</v>
      </c>
      <c r="M282" t="s">
        <v>1434</v>
      </c>
      <c r="N282" t="s">
        <v>600</v>
      </c>
      <c r="O282" t="s">
        <v>332</v>
      </c>
      <c r="P282" t="s">
        <v>693</v>
      </c>
      <c r="Q282" t="s">
        <v>333</v>
      </c>
      <c r="R282" t="s">
        <v>550</v>
      </c>
      <c r="S282" t="s">
        <v>311</v>
      </c>
      <c r="T282" t="s">
        <v>330</v>
      </c>
      <c r="U282">
        <v>5</v>
      </c>
      <c r="V282" t="s">
        <v>559</v>
      </c>
      <c r="W282">
        <v>2018</v>
      </c>
      <c r="X282" t="s">
        <v>292</v>
      </c>
      <c r="Y282" t="s">
        <v>1443</v>
      </c>
      <c r="Z282" t="s">
        <v>537</v>
      </c>
      <c r="AA282" t="s">
        <v>538</v>
      </c>
      <c r="AB282" t="s">
        <v>1441</v>
      </c>
      <c r="AC282" t="s">
        <v>1442</v>
      </c>
      <c r="AD282" t="s">
        <v>292</v>
      </c>
      <c r="AE282" t="s">
        <v>1440</v>
      </c>
      <c r="AF282" t="s">
        <v>552</v>
      </c>
      <c r="AH282" t="s">
        <v>555</v>
      </c>
      <c r="AI282" t="s">
        <v>1438</v>
      </c>
      <c r="AJ282" t="s">
        <v>1439</v>
      </c>
      <c r="AK282" t="s">
        <v>589</v>
      </c>
      <c r="AL282" t="s">
        <v>357</v>
      </c>
      <c r="AM282" t="s">
        <v>1059</v>
      </c>
      <c r="AN282" t="s">
        <v>1281</v>
      </c>
      <c r="AO282" t="s">
        <v>870</v>
      </c>
      <c r="AP282" t="s">
        <v>614</v>
      </c>
      <c r="AQ282" t="s">
        <v>887</v>
      </c>
      <c r="AR282">
        <v>0.54324324324324302</v>
      </c>
      <c r="AS282">
        <v>4.0540540540540015E-2</v>
      </c>
      <c r="AT282" t="s">
        <v>311</v>
      </c>
      <c r="AU282">
        <v>3</v>
      </c>
      <c r="AV282">
        <v>0.429729729729729</v>
      </c>
      <c r="AW282">
        <v>4.8648648648648984E-2</v>
      </c>
      <c r="AX282" t="s">
        <v>311</v>
      </c>
      <c r="AY282">
        <v>3</v>
      </c>
      <c r="AZ282" t="s">
        <v>1055</v>
      </c>
      <c r="BA282" t="s">
        <v>1679</v>
      </c>
      <c r="BB282">
        <v>21</v>
      </c>
      <c r="BC282" t="s">
        <v>1672</v>
      </c>
      <c r="BD282" t="s">
        <v>311</v>
      </c>
      <c r="BE282" t="s">
        <v>1880</v>
      </c>
      <c r="BF282" s="27" t="s">
        <v>311</v>
      </c>
      <c r="BG282" s="27" t="s">
        <v>311</v>
      </c>
      <c r="BH282" s="27" t="s">
        <v>311</v>
      </c>
      <c r="BI282" s="27" t="s">
        <v>311</v>
      </c>
      <c r="BJ282" s="27" t="s">
        <v>311</v>
      </c>
      <c r="BK282" s="27" t="s">
        <v>311</v>
      </c>
      <c r="BL282" s="27" t="s">
        <v>311</v>
      </c>
      <c r="BM282" s="27" t="s">
        <v>311</v>
      </c>
      <c r="BN282" s="27" t="s">
        <v>311</v>
      </c>
      <c r="BO282" s="27" t="s">
        <v>311</v>
      </c>
      <c r="BP282">
        <v>6.2825484764542896</v>
      </c>
      <c r="BQ282">
        <v>0.79778393351801036</v>
      </c>
      <c r="BR282">
        <v>9.7063711911357302</v>
      </c>
      <c r="BS282">
        <v>0.99722991689746898</v>
      </c>
      <c r="BT282">
        <v>8.2468341907399996</v>
      </c>
      <c r="BU282" t="s">
        <v>311</v>
      </c>
      <c r="BV282">
        <v>11.06105099409139</v>
      </c>
      <c r="BW282" t="s">
        <v>311</v>
      </c>
      <c r="BX282" t="s">
        <v>1126</v>
      </c>
      <c r="BY282" t="s">
        <v>1203</v>
      </c>
      <c r="BZ282" s="27">
        <v>10.89</v>
      </c>
      <c r="CA282">
        <v>24.5</v>
      </c>
      <c r="CB282" t="s">
        <v>1209</v>
      </c>
      <c r="CC282" t="s">
        <v>1209</v>
      </c>
      <c r="CD282" t="s">
        <v>311</v>
      </c>
      <c r="CE282" t="s">
        <v>311</v>
      </c>
      <c r="CF282" t="s">
        <v>311</v>
      </c>
      <c r="CG282" t="s">
        <v>311</v>
      </c>
      <c r="CH282" t="s">
        <v>311</v>
      </c>
      <c r="CI282" t="s">
        <v>311</v>
      </c>
      <c r="CJ282" s="38">
        <v>0.13</v>
      </c>
      <c r="CK282" s="38">
        <v>0.13</v>
      </c>
      <c r="CL282" s="38" t="s">
        <v>311</v>
      </c>
      <c r="CM282" s="38" t="s">
        <v>311</v>
      </c>
      <c r="CN282" s="38">
        <v>0.56700610997963297</v>
      </c>
      <c r="CO282" s="38">
        <v>0.69898167006109901</v>
      </c>
      <c r="CP282" s="38">
        <v>0.13</v>
      </c>
      <c r="CQ282" t="s">
        <v>1749</v>
      </c>
      <c r="CR282" t="s">
        <v>1861</v>
      </c>
    </row>
    <row r="283" spans="1:96">
      <c r="A283">
        <v>282</v>
      </c>
      <c r="B283">
        <v>43</v>
      </c>
      <c r="C283">
        <v>3</v>
      </c>
      <c r="D283" t="s">
        <v>1403</v>
      </c>
      <c r="E283" t="s">
        <v>1404</v>
      </c>
      <c r="F283" t="s">
        <v>1405</v>
      </c>
      <c r="G283">
        <v>2022</v>
      </c>
      <c r="H283" t="s">
        <v>1436</v>
      </c>
      <c r="I283" t="s">
        <v>1437</v>
      </c>
      <c r="J283">
        <v>40.832514000000003</v>
      </c>
      <c r="K283">
        <v>14.235457</v>
      </c>
      <c r="L283" t="s">
        <v>1433</v>
      </c>
      <c r="M283" t="s">
        <v>1434</v>
      </c>
      <c r="N283" t="s">
        <v>600</v>
      </c>
      <c r="O283" t="s">
        <v>332</v>
      </c>
      <c r="P283" t="s">
        <v>693</v>
      </c>
      <c r="Q283" t="s">
        <v>333</v>
      </c>
      <c r="R283" t="s">
        <v>550</v>
      </c>
      <c r="S283" t="s">
        <v>311</v>
      </c>
      <c r="T283" t="s">
        <v>330</v>
      </c>
      <c r="U283">
        <v>5</v>
      </c>
      <c r="V283" t="s">
        <v>559</v>
      </c>
      <c r="W283">
        <v>2018</v>
      </c>
      <c r="X283" t="s">
        <v>292</v>
      </c>
      <c r="Y283" t="s">
        <v>1443</v>
      </c>
      <c r="Z283" t="s">
        <v>537</v>
      </c>
      <c r="AA283" t="s">
        <v>538</v>
      </c>
      <c r="AB283" t="s">
        <v>1441</v>
      </c>
      <c r="AC283" t="s">
        <v>1442</v>
      </c>
      <c r="AD283" t="s">
        <v>292</v>
      </c>
      <c r="AE283" t="s">
        <v>1440</v>
      </c>
      <c r="AF283" t="s">
        <v>552</v>
      </c>
      <c r="AH283" t="s">
        <v>555</v>
      </c>
      <c r="AI283" t="s">
        <v>1438</v>
      </c>
      <c r="AJ283" t="s">
        <v>1439</v>
      </c>
      <c r="AK283" t="s">
        <v>571</v>
      </c>
      <c r="AL283" t="s">
        <v>357</v>
      </c>
      <c r="AM283" t="s">
        <v>1059</v>
      </c>
      <c r="AN283" t="s">
        <v>1456</v>
      </c>
      <c r="AO283" t="s">
        <v>1287</v>
      </c>
      <c r="AP283" t="s">
        <v>614</v>
      </c>
      <c r="AQ283" t="s">
        <v>887</v>
      </c>
      <c r="AR283">
        <v>3.3846153846153797E-2</v>
      </c>
      <c r="AS283">
        <v>9.615384615384602E-3</v>
      </c>
      <c r="AT283" t="s">
        <v>311</v>
      </c>
      <c r="AU283">
        <v>3</v>
      </c>
      <c r="AV283">
        <v>2.7692307692307599E-2</v>
      </c>
      <c r="AW283">
        <v>7.6923076923076997E-3</v>
      </c>
      <c r="AX283" t="s">
        <v>311</v>
      </c>
      <c r="AY283">
        <v>3</v>
      </c>
      <c r="AZ283" t="s">
        <v>1055</v>
      </c>
      <c r="BA283" t="s">
        <v>1679</v>
      </c>
      <c r="BB283">
        <v>42</v>
      </c>
      <c r="BC283" t="s">
        <v>1672</v>
      </c>
      <c r="BD283" t="s">
        <v>311</v>
      </c>
      <c r="BE283" t="s">
        <v>1880</v>
      </c>
      <c r="BF283" s="27" t="s">
        <v>311</v>
      </c>
      <c r="BG283" s="27" t="s">
        <v>311</v>
      </c>
      <c r="BH283" s="27" t="s">
        <v>311</v>
      </c>
      <c r="BI283" s="27" t="s">
        <v>311</v>
      </c>
      <c r="BJ283" s="27" t="s">
        <v>311</v>
      </c>
      <c r="BK283" s="27" t="s">
        <v>311</v>
      </c>
      <c r="BL283" s="27" t="s">
        <v>311</v>
      </c>
      <c r="BM283" s="27" t="s">
        <v>311</v>
      </c>
      <c r="BN283" s="27" t="s">
        <v>311</v>
      </c>
      <c r="BO283" s="27" t="s">
        <v>311</v>
      </c>
      <c r="BP283">
        <v>6.2825484764542896</v>
      </c>
      <c r="BQ283">
        <v>0.79778393351801036</v>
      </c>
      <c r="BR283">
        <v>9.7063711911357302</v>
      </c>
      <c r="BS283">
        <v>0.99722991689746898</v>
      </c>
      <c r="BT283">
        <v>8.2468341907399996</v>
      </c>
      <c r="BU283" t="s">
        <v>311</v>
      </c>
      <c r="BV283">
        <v>11.06105099409139</v>
      </c>
      <c r="BW283" t="s">
        <v>311</v>
      </c>
      <c r="BX283" t="s">
        <v>1126</v>
      </c>
      <c r="BY283" t="s">
        <v>1203</v>
      </c>
      <c r="BZ283" s="27">
        <v>10.89</v>
      </c>
      <c r="CA283">
        <v>24.5</v>
      </c>
      <c r="CB283" t="s">
        <v>1209</v>
      </c>
      <c r="CC283" t="s">
        <v>1209</v>
      </c>
      <c r="CD283" t="s">
        <v>311</v>
      </c>
      <c r="CE283" t="s">
        <v>311</v>
      </c>
      <c r="CF283" t="s">
        <v>311</v>
      </c>
      <c r="CG283" t="s">
        <v>311</v>
      </c>
      <c r="CH283" t="s">
        <v>311</v>
      </c>
      <c r="CI283" t="s">
        <v>311</v>
      </c>
      <c r="CJ283" s="38">
        <v>0.13</v>
      </c>
      <c r="CK283" s="38">
        <v>0.13</v>
      </c>
      <c r="CL283" s="38" t="s">
        <v>311</v>
      </c>
      <c r="CM283" s="38" t="s">
        <v>311</v>
      </c>
      <c r="CN283" s="38">
        <v>0.56700610997963297</v>
      </c>
      <c r="CO283" s="38">
        <v>0.69898167006109901</v>
      </c>
      <c r="CP283" s="38">
        <v>0.13</v>
      </c>
      <c r="CQ283" t="s">
        <v>1750</v>
      </c>
      <c r="CR283" t="s">
        <v>1629</v>
      </c>
    </row>
    <row r="284" spans="1:96">
      <c r="A284">
        <v>283</v>
      </c>
      <c r="B284">
        <v>43</v>
      </c>
      <c r="C284">
        <v>4</v>
      </c>
      <c r="D284" t="s">
        <v>1403</v>
      </c>
      <c r="E284" t="s">
        <v>1404</v>
      </c>
      <c r="F284" t="s">
        <v>1405</v>
      </c>
      <c r="G284">
        <v>2022</v>
      </c>
      <c r="H284" t="s">
        <v>1436</v>
      </c>
      <c r="I284" t="s">
        <v>1437</v>
      </c>
      <c r="J284">
        <v>40.832514000000003</v>
      </c>
      <c r="K284">
        <v>14.235457</v>
      </c>
      <c r="L284" t="s">
        <v>1433</v>
      </c>
      <c r="M284" t="s">
        <v>1434</v>
      </c>
      <c r="N284" t="s">
        <v>600</v>
      </c>
      <c r="O284" t="s">
        <v>332</v>
      </c>
      <c r="P284" t="s">
        <v>693</v>
      </c>
      <c r="Q284" t="s">
        <v>333</v>
      </c>
      <c r="R284" t="s">
        <v>550</v>
      </c>
      <c r="S284" t="s">
        <v>311</v>
      </c>
      <c r="T284" t="s">
        <v>330</v>
      </c>
      <c r="U284">
        <v>5</v>
      </c>
      <c r="V284" t="s">
        <v>559</v>
      </c>
      <c r="W284">
        <v>2018</v>
      </c>
      <c r="X284" t="s">
        <v>292</v>
      </c>
      <c r="Y284" t="s">
        <v>1443</v>
      </c>
      <c r="Z284" t="s">
        <v>537</v>
      </c>
      <c r="AA284" t="s">
        <v>538</v>
      </c>
      <c r="AB284" t="s">
        <v>1441</v>
      </c>
      <c r="AC284" t="s">
        <v>1442</v>
      </c>
      <c r="AD284" t="s">
        <v>292</v>
      </c>
      <c r="AE284" t="s">
        <v>1440</v>
      </c>
      <c r="AF284" t="s">
        <v>552</v>
      </c>
      <c r="AH284" t="s">
        <v>555</v>
      </c>
      <c r="AI284" t="s">
        <v>1438</v>
      </c>
      <c r="AJ284" t="s">
        <v>1439</v>
      </c>
      <c r="AK284" t="s">
        <v>1446</v>
      </c>
      <c r="AL284" t="s">
        <v>357</v>
      </c>
      <c r="AM284" t="s">
        <v>1059</v>
      </c>
      <c r="AN284" t="s">
        <v>1281</v>
      </c>
      <c r="AO284" t="s">
        <v>1287</v>
      </c>
      <c r="AP284" t="s">
        <v>614</v>
      </c>
      <c r="AQ284" t="s">
        <v>887</v>
      </c>
      <c r="AR284">
        <v>0.104554455445544</v>
      </c>
      <c r="AS284">
        <v>2.9042904290429009E-2</v>
      </c>
      <c r="AT284" t="s">
        <v>311</v>
      </c>
      <c r="AU284">
        <v>3</v>
      </c>
      <c r="AV284">
        <v>7.4455445544554397E-2</v>
      </c>
      <c r="AW284">
        <v>1.4785478547854808E-2</v>
      </c>
      <c r="AX284" t="s">
        <v>311</v>
      </c>
      <c r="AY284">
        <v>3</v>
      </c>
      <c r="AZ284" t="s">
        <v>1055</v>
      </c>
      <c r="BA284" t="s">
        <v>1679</v>
      </c>
      <c r="BB284">
        <v>21</v>
      </c>
      <c r="BC284" t="s">
        <v>1672</v>
      </c>
      <c r="BD284" t="s">
        <v>311</v>
      </c>
      <c r="BE284" t="s">
        <v>1880</v>
      </c>
      <c r="BF284" s="27" t="s">
        <v>311</v>
      </c>
      <c r="BG284" s="27" t="s">
        <v>311</v>
      </c>
      <c r="BH284" s="27" t="s">
        <v>311</v>
      </c>
      <c r="BI284" s="27" t="s">
        <v>311</v>
      </c>
      <c r="BJ284" s="27" t="s">
        <v>311</v>
      </c>
      <c r="BK284" s="27" t="s">
        <v>311</v>
      </c>
      <c r="BL284" s="27" t="s">
        <v>311</v>
      </c>
      <c r="BM284" s="27" t="s">
        <v>311</v>
      </c>
      <c r="BN284" s="27" t="s">
        <v>311</v>
      </c>
      <c r="BO284" s="27" t="s">
        <v>311</v>
      </c>
      <c r="BP284">
        <v>6.2825484764542896</v>
      </c>
      <c r="BQ284">
        <v>0.79778393351801036</v>
      </c>
      <c r="BR284">
        <v>9.7063711911357302</v>
      </c>
      <c r="BS284">
        <v>0.99722991689746898</v>
      </c>
      <c r="BT284">
        <v>8.2468341907399996</v>
      </c>
      <c r="BU284" t="s">
        <v>311</v>
      </c>
      <c r="BV284">
        <v>11.06105099409139</v>
      </c>
      <c r="BW284" t="s">
        <v>311</v>
      </c>
      <c r="BX284" t="s">
        <v>1126</v>
      </c>
      <c r="BY284" t="s">
        <v>1203</v>
      </c>
      <c r="BZ284" s="27">
        <v>10.89</v>
      </c>
      <c r="CA284">
        <v>24.5</v>
      </c>
      <c r="CB284" t="s">
        <v>1209</v>
      </c>
      <c r="CC284" t="s">
        <v>1209</v>
      </c>
      <c r="CD284" t="s">
        <v>311</v>
      </c>
      <c r="CE284" t="s">
        <v>311</v>
      </c>
      <c r="CF284" t="s">
        <v>311</v>
      </c>
      <c r="CG284" t="s">
        <v>311</v>
      </c>
      <c r="CH284" t="s">
        <v>311</v>
      </c>
      <c r="CI284" t="s">
        <v>311</v>
      </c>
      <c r="CJ284" s="38">
        <v>0.13</v>
      </c>
      <c r="CK284" s="38">
        <v>0.13</v>
      </c>
      <c r="CL284" s="38" t="s">
        <v>311</v>
      </c>
      <c r="CM284" s="38" t="s">
        <v>311</v>
      </c>
      <c r="CN284" s="38">
        <v>0.56700610997963297</v>
      </c>
      <c r="CO284" s="38">
        <v>0.69898167006109901</v>
      </c>
      <c r="CP284" s="38">
        <v>0.13</v>
      </c>
      <c r="CQ284" t="s">
        <v>1752</v>
      </c>
      <c r="CR284" t="s">
        <v>1448</v>
      </c>
    </row>
    <row r="285" spans="1:96" s="30" customFormat="1">
      <c r="A285">
        <v>284</v>
      </c>
      <c r="B285" s="30">
        <v>43</v>
      </c>
      <c r="C285" s="30">
        <v>5</v>
      </c>
      <c r="D285" s="30" t="s">
        <v>1403</v>
      </c>
      <c r="E285" s="30" t="s">
        <v>1404</v>
      </c>
      <c r="F285" s="30" t="s">
        <v>1405</v>
      </c>
      <c r="G285" s="30">
        <v>2022</v>
      </c>
      <c r="H285" s="30" t="s">
        <v>1436</v>
      </c>
      <c r="I285" s="30" t="s">
        <v>1437</v>
      </c>
      <c r="J285" s="30">
        <v>40.832514000000003</v>
      </c>
      <c r="K285" s="30">
        <v>14.235457</v>
      </c>
      <c r="L285" s="30" t="s">
        <v>1433</v>
      </c>
      <c r="M285" s="30" t="s">
        <v>1434</v>
      </c>
      <c r="N285" s="30" t="s">
        <v>600</v>
      </c>
      <c r="O285" s="30" t="s">
        <v>332</v>
      </c>
      <c r="P285" s="30" t="s">
        <v>693</v>
      </c>
      <c r="Q285" s="30" t="s">
        <v>333</v>
      </c>
      <c r="R285" s="30" t="s">
        <v>550</v>
      </c>
      <c r="S285" s="30" t="s">
        <v>311</v>
      </c>
      <c r="T285" s="30" t="s">
        <v>330</v>
      </c>
      <c r="U285" s="30">
        <v>5</v>
      </c>
      <c r="V285" s="30" t="s">
        <v>559</v>
      </c>
      <c r="W285" s="30">
        <v>2018</v>
      </c>
      <c r="X285" s="30" t="s">
        <v>292</v>
      </c>
      <c r="Y285" s="30" t="s">
        <v>1443</v>
      </c>
      <c r="Z285" s="30" t="s">
        <v>537</v>
      </c>
      <c r="AA285" s="30" t="s">
        <v>538</v>
      </c>
      <c r="AB285" s="30" t="s">
        <v>1441</v>
      </c>
      <c r="AC285" s="30" t="s">
        <v>1442</v>
      </c>
      <c r="AD285" s="30" t="s">
        <v>292</v>
      </c>
      <c r="AE285" s="30" t="s">
        <v>1440</v>
      </c>
      <c r="AF285" s="30" t="s">
        <v>552</v>
      </c>
      <c r="AH285" s="30" t="s">
        <v>555</v>
      </c>
      <c r="AI285" s="30" t="s">
        <v>1438</v>
      </c>
      <c r="AJ285" s="30" t="s">
        <v>1439</v>
      </c>
      <c r="AK285" s="30" t="s">
        <v>1444</v>
      </c>
      <c r="AL285" s="30" t="s">
        <v>357</v>
      </c>
      <c r="AM285" s="30" t="s">
        <v>1059</v>
      </c>
      <c r="AN285" s="30" t="s">
        <v>1281</v>
      </c>
      <c r="AO285" s="30" t="s">
        <v>1287</v>
      </c>
      <c r="AP285" s="30" t="s">
        <v>887</v>
      </c>
      <c r="AQ285" s="30" t="s">
        <v>887</v>
      </c>
      <c r="AR285" s="30">
        <v>9.65217391304347E-2</v>
      </c>
      <c r="AS285" s="30">
        <v>9.3913043478252994E-3</v>
      </c>
      <c r="AT285" s="30" t="s">
        <v>311</v>
      </c>
      <c r="AU285" s="30">
        <v>3</v>
      </c>
      <c r="AV285" s="30">
        <v>7.9043478260869507E-2</v>
      </c>
      <c r="AW285" s="30">
        <v>1.5391304347826096E-2</v>
      </c>
      <c r="AX285" s="30" t="s">
        <v>311</v>
      </c>
      <c r="AY285" s="30">
        <v>3</v>
      </c>
      <c r="AZ285" s="30" t="s">
        <v>1055</v>
      </c>
      <c r="BA285" s="30" t="s">
        <v>1679</v>
      </c>
      <c r="BB285">
        <v>42</v>
      </c>
      <c r="BC285" s="30" t="s">
        <v>1673</v>
      </c>
      <c r="BD285" s="30" t="s">
        <v>311</v>
      </c>
      <c r="BE285" s="30" t="s">
        <v>1880</v>
      </c>
      <c r="BF285" s="27" t="s">
        <v>311</v>
      </c>
      <c r="BG285" s="27" t="s">
        <v>311</v>
      </c>
      <c r="BH285" s="27" t="s">
        <v>311</v>
      </c>
      <c r="BI285" s="27" t="s">
        <v>311</v>
      </c>
      <c r="BJ285" s="27" t="s">
        <v>311</v>
      </c>
      <c r="BK285" s="27" t="s">
        <v>311</v>
      </c>
      <c r="BL285" s="27" t="s">
        <v>311</v>
      </c>
      <c r="BM285" s="27" t="s">
        <v>311</v>
      </c>
      <c r="BN285" s="27" t="s">
        <v>311</v>
      </c>
      <c r="BO285" s="27" t="s">
        <v>311</v>
      </c>
      <c r="BP285" s="30">
        <v>6.2825484764542896</v>
      </c>
      <c r="BQ285" s="30">
        <v>0.79778393351801036</v>
      </c>
      <c r="BR285" s="30">
        <v>9.7063711911357302</v>
      </c>
      <c r="BS285" s="30">
        <v>0.99722991689746898</v>
      </c>
      <c r="BT285" s="30">
        <v>8.2468341907399996</v>
      </c>
      <c r="BU285" s="30" t="s">
        <v>311</v>
      </c>
      <c r="BV285" s="30">
        <v>11.06105099409139</v>
      </c>
      <c r="BW285" s="30" t="s">
        <v>311</v>
      </c>
      <c r="BX285" s="30" t="s">
        <v>1126</v>
      </c>
      <c r="BY285" s="30" t="s">
        <v>1203</v>
      </c>
      <c r="BZ285" s="27">
        <v>10.89</v>
      </c>
      <c r="CA285" s="30">
        <v>24.5</v>
      </c>
      <c r="CB285" s="30" t="s">
        <v>1209</v>
      </c>
      <c r="CC285" s="30" t="s">
        <v>1209</v>
      </c>
      <c r="CD285" s="30" t="s">
        <v>311</v>
      </c>
      <c r="CE285" s="30" t="s">
        <v>311</v>
      </c>
      <c r="CF285" s="30" t="s">
        <v>311</v>
      </c>
      <c r="CG285" s="30" t="s">
        <v>311</v>
      </c>
      <c r="CH285" s="30" t="s">
        <v>311</v>
      </c>
      <c r="CI285" s="30" t="s">
        <v>311</v>
      </c>
      <c r="CJ285" s="38">
        <v>0.13</v>
      </c>
      <c r="CK285" s="38">
        <v>0.13</v>
      </c>
      <c r="CL285" s="38" t="s">
        <v>311</v>
      </c>
      <c r="CM285" s="38" t="s">
        <v>311</v>
      </c>
      <c r="CN285" s="38">
        <v>0.56700610997963297</v>
      </c>
      <c r="CO285" s="38">
        <v>0.69898167006109901</v>
      </c>
      <c r="CP285" s="38">
        <v>0.13</v>
      </c>
      <c r="CQ285" s="30" t="s">
        <v>1751</v>
      </c>
      <c r="CR285" s="30" t="s">
        <v>1859</v>
      </c>
    </row>
    <row r="286" spans="1:96">
      <c r="A286">
        <v>285</v>
      </c>
      <c r="B286">
        <v>43</v>
      </c>
      <c r="C286">
        <v>6</v>
      </c>
      <c r="D286" t="s">
        <v>1403</v>
      </c>
      <c r="E286" t="s">
        <v>1404</v>
      </c>
      <c r="F286" t="s">
        <v>1405</v>
      </c>
      <c r="G286">
        <v>2022</v>
      </c>
      <c r="H286" t="s">
        <v>1436</v>
      </c>
      <c r="I286" t="s">
        <v>1437</v>
      </c>
      <c r="J286">
        <v>40.832514000000003</v>
      </c>
      <c r="K286">
        <v>14.235457</v>
      </c>
      <c r="L286" t="s">
        <v>1433</v>
      </c>
      <c r="M286" t="s">
        <v>1434</v>
      </c>
      <c r="N286" t="s">
        <v>600</v>
      </c>
      <c r="O286" t="s">
        <v>332</v>
      </c>
      <c r="P286" t="s">
        <v>693</v>
      </c>
      <c r="Q286" t="s">
        <v>333</v>
      </c>
      <c r="R286" t="s">
        <v>550</v>
      </c>
      <c r="S286" t="s">
        <v>311</v>
      </c>
      <c r="T286" t="s">
        <v>330</v>
      </c>
      <c r="U286">
        <v>5</v>
      </c>
      <c r="V286" t="s">
        <v>559</v>
      </c>
      <c r="W286">
        <v>2018</v>
      </c>
      <c r="X286" t="s">
        <v>292</v>
      </c>
      <c r="Y286" t="s">
        <v>1443</v>
      </c>
      <c r="Z286" t="s">
        <v>537</v>
      </c>
      <c r="AA286" t="s">
        <v>538</v>
      </c>
      <c r="AB286" t="s">
        <v>1441</v>
      </c>
      <c r="AC286" t="s">
        <v>1442</v>
      </c>
      <c r="AD286" t="s">
        <v>292</v>
      </c>
      <c r="AE286" t="s">
        <v>1440</v>
      </c>
      <c r="AF286" t="s">
        <v>552</v>
      </c>
      <c r="AH286" t="s">
        <v>555</v>
      </c>
      <c r="AI286" t="s">
        <v>1438</v>
      </c>
      <c r="AJ286" t="s">
        <v>1439</v>
      </c>
      <c r="AK286" t="s">
        <v>1445</v>
      </c>
      <c r="AL286" t="s">
        <v>357</v>
      </c>
      <c r="AM286" t="s">
        <v>1059</v>
      </c>
      <c r="AN286" t="s">
        <v>1281</v>
      </c>
      <c r="AO286" t="s">
        <v>1288</v>
      </c>
      <c r="AP286" t="s">
        <v>887</v>
      </c>
      <c r="AQ286" t="s">
        <v>887</v>
      </c>
      <c r="AR286">
        <v>4.3586956521739104</v>
      </c>
      <c r="AS286">
        <v>4.3478260869559193E-2</v>
      </c>
      <c r="AT286" t="s">
        <v>311</v>
      </c>
      <c r="AU286">
        <v>3</v>
      </c>
      <c r="AV286">
        <v>4.1739130434782599</v>
      </c>
      <c r="AW286">
        <v>7.6086956521730364E-2</v>
      </c>
      <c r="AX286" t="s">
        <v>311</v>
      </c>
      <c r="AY286">
        <v>3</v>
      </c>
      <c r="AZ286" t="s">
        <v>1055</v>
      </c>
      <c r="BA286" t="s">
        <v>1679</v>
      </c>
      <c r="BB286">
        <v>42</v>
      </c>
      <c r="BC286" t="s">
        <v>1672</v>
      </c>
      <c r="BD286" t="s">
        <v>311</v>
      </c>
      <c r="BE286" t="s">
        <v>1880</v>
      </c>
      <c r="BF286" s="27" t="s">
        <v>311</v>
      </c>
      <c r="BG286" s="27" t="s">
        <v>311</v>
      </c>
      <c r="BH286" s="27" t="s">
        <v>311</v>
      </c>
      <c r="BI286" s="27" t="s">
        <v>311</v>
      </c>
      <c r="BJ286" s="27" t="s">
        <v>311</v>
      </c>
      <c r="BK286" s="27" t="s">
        <v>311</v>
      </c>
      <c r="BL286" s="27" t="s">
        <v>311</v>
      </c>
      <c r="BM286" s="27" t="s">
        <v>311</v>
      </c>
      <c r="BN286" s="27" t="s">
        <v>311</v>
      </c>
      <c r="BO286" s="27" t="s">
        <v>311</v>
      </c>
      <c r="BP286">
        <v>6.2825484764542896</v>
      </c>
      <c r="BQ286">
        <v>0.79778393351801036</v>
      </c>
      <c r="BR286">
        <v>9.7063711911357302</v>
      </c>
      <c r="BS286">
        <v>0.99722991689746898</v>
      </c>
      <c r="BT286">
        <v>8.2468341907399996</v>
      </c>
      <c r="BU286" t="s">
        <v>311</v>
      </c>
      <c r="BV286">
        <v>11.06105099409139</v>
      </c>
      <c r="BW286" t="s">
        <v>311</v>
      </c>
      <c r="BX286" t="s">
        <v>1126</v>
      </c>
      <c r="BY286" t="s">
        <v>1203</v>
      </c>
      <c r="BZ286" s="27">
        <v>10.89</v>
      </c>
      <c r="CA286">
        <v>24.5</v>
      </c>
      <c r="CB286" t="s">
        <v>1209</v>
      </c>
      <c r="CC286" t="s">
        <v>1209</v>
      </c>
      <c r="CD286" t="s">
        <v>311</v>
      </c>
      <c r="CE286" t="s">
        <v>311</v>
      </c>
      <c r="CF286" t="s">
        <v>311</v>
      </c>
      <c r="CG286" t="s">
        <v>311</v>
      </c>
      <c r="CH286" t="s">
        <v>311</v>
      </c>
      <c r="CI286" t="s">
        <v>311</v>
      </c>
      <c r="CJ286" s="38">
        <v>0.13</v>
      </c>
      <c r="CK286" s="38">
        <v>0.13</v>
      </c>
      <c r="CL286" s="38" t="s">
        <v>311</v>
      </c>
      <c r="CM286" s="38" t="s">
        <v>311</v>
      </c>
      <c r="CN286" s="38">
        <v>0.56700610997963297</v>
      </c>
      <c r="CO286" s="38">
        <v>0.69898167006109901</v>
      </c>
      <c r="CP286" s="38">
        <v>0.13</v>
      </c>
      <c r="CQ286" t="s">
        <v>1751</v>
      </c>
      <c r="CR286" t="s">
        <v>1860</v>
      </c>
    </row>
    <row r="287" spans="1:96">
      <c r="A287">
        <v>286</v>
      </c>
      <c r="B287">
        <v>43</v>
      </c>
      <c r="C287">
        <v>7</v>
      </c>
      <c r="D287" t="s">
        <v>1403</v>
      </c>
      <c r="E287" t="s">
        <v>1404</v>
      </c>
      <c r="F287" t="s">
        <v>1405</v>
      </c>
      <c r="G287">
        <v>2022</v>
      </c>
      <c r="H287" t="s">
        <v>1436</v>
      </c>
      <c r="I287" t="s">
        <v>1437</v>
      </c>
      <c r="J287">
        <v>40.832514000000003</v>
      </c>
      <c r="K287">
        <v>14.235457</v>
      </c>
      <c r="L287" t="s">
        <v>1433</v>
      </c>
      <c r="M287" t="s">
        <v>1434</v>
      </c>
      <c r="N287" t="s">
        <v>600</v>
      </c>
      <c r="O287" t="s">
        <v>332</v>
      </c>
      <c r="P287" t="s">
        <v>693</v>
      </c>
      <c r="Q287" t="s">
        <v>333</v>
      </c>
      <c r="R287" t="s">
        <v>550</v>
      </c>
      <c r="S287" t="s">
        <v>311</v>
      </c>
      <c r="T287" t="s">
        <v>330</v>
      </c>
      <c r="U287">
        <v>5</v>
      </c>
      <c r="V287" t="s">
        <v>559</v>
      </c>
      <c r="W287">
        <v>2018</v>
      </c>
      <c r="X287" t="s">
        <v>292</v>
      </c>
      <c r="Y287" t="s">
        <v>1443</v>
      </c>
      <c r="Z287" t="s">
        <v>537</v>
      </c>
      <c r="AA287" t="s">
        <v>538</v>
      </c>
      <c r="AB287" t="s">
        <v>1441</v>
      </c>
      <c r="AC287" t="s">
        <v>1442</v>
      </c>
      <c r="AD287" t="s">
        <v>292</v>
      </c>
      <c r="AE287" t="s">
        <v>1440</v>
      </c>
      <c r="AF287" t="s">
        <v>552</v>
      </c>
      <c r="AH287" t="s">
        <v>555</v>
      </c>
      <c r="AI287" t="s">
        <v>1438</v>
      </c>
      <c r="AJ287" t="s">
        <v>1439</v>
      </c>
      <c r="AK287" t="s">
        <v>1447</v>
      </c>
      <c r="AL287" t="s">
        <v>357</v>
      </c>
      <c r="AM287" t="s">
        <v>1059</v>
      </c>
      <c r="AN287" t="s">
        <v>1578</v>
      </c>
      <c r="AO287" t="s">
        <v>1287</v>
      </c>
      <c r="AP287" s="6" t="s">
        <v>614</v>
      </c>
      <c r="AQ287" t="s">
        <v>887</v>
      </c>
      <c r="AR287">
        <v>4.1363636363636297E-2</v>
      </c>
      <c r="AS287">
        <v>1.5909090909091012E-3</v>
      </c>
      <c r="AT287" t="s">
        <v>311</v>
      </c>
      <c r="AU287">
        <v>3</v>
      </c>
      <c r="AV287">
        <v>4.1098484848484801E-2</v>
      </c>
      <c r="AW287">
        <v>1.16666666666667E-2</v>
      </c>
      <c r="AX287" t="s">
        <v>311</v>
      </c>
      <c r="AY287">
        <v>3</v>
      </c>
      <c r="AZ287" t="s">
        <v>1055</v>
      </c>
      <c r="BA287" t="s">
        <v>1679</v>
      </c>
      <c r="BB287">
        <v>42</v>
      </c>
      <c r="BC287" t="s">
        <v>1672</v>
      </c>
      <c r="BD287" t="s">
        <v>311</v>
      </c>
      <c r="BE287" t="s">
        <v>1880</v>
      </c>
      <c r="BF287" s="27" t="s">
        <v>311</v>
      </c>
      <c r="BG287" s="27" t="s">
        <v>311</v>
      </c>
      <c r="BH287" s="27" t="s">
        <v>311</v>
      </c>
      <c r="BI287" s="27" t="s">
        <v>311</v>
      </c>
      <c r="BJ287" s="27" t="s">
        <v>311</v>
      </c>
      <c r="BK287" s="27" t="s">
        <v>311</v>
      </c>
      <c r="BL287" s="27" t="s">
        <v>311</v>
      </c>
      <c r="BM287" s="27" t="s">
        <v>311</v>
      </c>
      <c r="BN287" s="27" t="s">
        <v>311</v>
      </c>
      <c r="BO287" s="27" t="s">
        <v>311</v>
      </c>
      <c r="BP287">
        <v>6.2825484764542896</v>
      </c>
      <c r="BQ287">
        <v>0.79778393351801036</v>
      </c>
      <c r="BR287">
        <v>9.7063711911357302</v>
      </c>
      <c r="BS287">
        <v>0.99722991689746898</v>
      </c>
      <c r="BT287">
        <v>8.2468341907399996</v>
      </c>
      <c r="BU287" t="s">
        <v>311</v>
      </c>
      <c r="BV287">
        <v>11.06105099409139</v>
      </c>
      <c r="BW287" t="s">
        <v>311</v>
      </c>
      <c r="BX287" t="s">
        <v>1126</v>
      </c>
      <c r="BY287" t="s">
        <v>1203</v>
      </c>
      <c r="BZ287" s="27">
        <v>10.89</v>
      </c>
      <c r="CA287">
        <v>24.5</v>
      </c>
      <c r="CB287" t="s">
        <v>1209</v>
      </c>
      <c r="CC287" t="s">
        <v>1209</v>
      </c>
      <c r="CD287" t="s">
        <v>311</v>
      </c>
      <c r="CE287" t="s">
        <v>311</v>
      </c>
      <c r="CF287" t="s">
        <v>311</v>
      </c>
      <c r="CG287" t="s">
        <v>311</v>
      </c>
      <c r="CH287" t="s">
        <v>311</v>
      </c>
      <c r="CI287" t="s">
        <v>311</v>
      </c>
      <c r="CJ287" s="38">
        <v>0.13</v>
      </c>
      <c r="CK287" s="38">
        <v>0.13</v>
      </c>
      <c r="CL287" s="38" t="s">
        <v>311</v>
      </c>
      <c r="CM287" s="38" t="s">
        <v>311</v>
      </c>
      <c r="CN287" s="38">
        <v>0.56700610997963297</v>
      </c>
      <c r="CO287" s="38">
        <v>0.69898167006109901</v>
      </c>
      <c r="CP287" s="38">
        <v>0.13</v>
      </c>
      <c r="CQ287" t="s">
        <v>1753</v>
      </c>
      <c r="CR287" t="s">
        <v>1449</v>
      </c>
    </row>
    <row r="288" spans="1:96">
      <c r="A288">
        <v>287</v>
      </c>
      <c r="B288">
        <v>44</v>
      </c>
      <c r="C288">
        <v>1</v>
      </c>
      <c r="D288" t="s">
        <v>1487</v>
      </c>
      <c r="E288" t="s">
        <v>1486</v>
      </c>
      <c r="F288" t="s">
        <v>311</v>
      </c>
      <c r="G288" t="s">
        <v>311</v>
      </c>
      <c r="H288" t="s">
        <v>1501</v>
      </c>
      <c r="I288" t="s">
        <v>1502</v>
      </c>
      <c r="J288" s="20">
        <v>24.830881999999999</v>
      </c>
      <c r="K288">
        <v>-76.248706999999996</v>
      </c>
      <c r="L288" t="s">
        <v>358</v>
      </c>
      <c r="M288" t="s">
        <v>1498</v>
      </c>
      <c r="N288" t="s">
        <v>531</v>
      </c>
      <c r="O288" t="s">
        <v>532</v>
      </c>
      <c r="P288" t="s">
        <v>693</v>
      </c>
      <c r="Q288" t="s">
        <v>419</v>
      </c>
      <c r="R288" t="s">
        <v>550</v>
      </c>
      <c r="S288" t="s">
        <v>717</v>
      </c>
      <c r="T288" t="s">
        <v>331</v>
      </c>
      <c r="U288">
        <v>3</v>
      </c>
      <c r="V288" t="s">
        <v>535</v>
      </c>
      <c r="W288">
        <v>2015</v>
      </c>
      <c r="X288" t="s">
        <v>292</v>
      </c>
      <c r="Y288" t="s">
        <v>546</v>
      </c>
      <c r="Z288" t="s">
        <v>302</v>
      </c>
      <c r="AA288" t="s">
        <v>303</v>
      </c>
      <c r="AB288" t="s">
        <v>791</v>
      </c>
      <c r="AC288" t="s">
        <v>1499</v>
      </c>
      <c r="AD288" t="s">
        <v>340</v>
      </c>
      <c r="AE288" t="s">
        <v>311</v>
      </c>
      <c r="AF288" t="s">
        <v>567</v>
      </c>
      <c r="AG288" t="s">
        <v>1902</v>
      </c>
      <c r="AH288" t="s">
        <v>311</v>
      </c>
      <c r="AI288" t="s">
        <v>311</v>
      </c>
      <c r="AJ288" t="s">
        <v>311</v>
      </c>
      <c r="AK288" t="s">
        <v>1500</v>
      </c>
      <c r="AL288" t="s">
        <v>357</v>
      </c>
      <c r="AM288" t="s">
        <v>1059</v>
      </c>
      <c r="AN288" t="s">
        <v>584</v>
      </c>
      <c r="AO288" t="s">
        <v>1287</v>
      </c>
      <c r="AP288" s="32" t="s">
        <v>537</v>
      </c>
      <c r="AQ288" t="s">
        <v>614</v>
      </c>
      <c r="AR288">
        <v>8.0668789808917063E-2</v>
      </c>
      <c r="AS288" t="s">
        <v>311</v>
      </c>
      <c r="AT288">
        <v>2.1088581064527046E-2</v>
      </c>
      <c r="AU288">
        <v>16</v>
      </c>
      <c r="AV288">
        <v>5.8980891719745174E-2</v>
      </c>
      <c r="AW288" t="s">
        <v>311</v>
      </c>
      <c r="AX288">
        <v>2.6053119994790267E-2</v>
      </c>
      <c r="AY288">
        <v>16</v>
      </c>
      <c r="AZ288" t="s">
        <v>1677</v>
      </c>
      <c r="BA288" t="s">
        <v>1679</v>
      </c>
      <c r="BB288">
        <v>35</v>
      </c>
      <c r="BC288" t="s">
        <v>1672</v>
      </c>
      <c r="BD288" t="s">
        <v>311</v>
      </c>
      <c r="BE288" t="s">
        <v>1880</v>
      </c>
      <c r="BF288" t="s">
        <v>311</v>
      </c>
      <c r="BG288" t="s">
        <v>311</v>
      </c>
      <c r="BH288" t="s">
        <v>311</v>
      </c>
      <c r="BI288" t="s">
        <v>311</v>
      </c>
      <c r="BJ288" t="s">
        <v>311</v>
      </c>
      <c r="BK288" t="s">
        <v>311</v>
      </c>
      <c r="BL288" t="s">
        <v>311</v>
      </c>
      <c r="BM288" t="s">
        <v>311</v>
      </c>
      <c r="BN288" t="s">
        <v>311</v>
      </c>
      <c r="BO288" t="s">
        <v>311</v>
      </c>
      <c r="BP288" t="s">
        <v>311</v>
      </c>
      <c r="BQ288" t="s">
        <v>311</v>
      </c>
      <c r="BR288" t="s">
        <v>311</v>
      </c>
      <c r="BS288" t="s">
        <v>311</v>
      </c>
      <c r="BT288" t="s">
        <v>311</v>
      </c>
      <c r="BU288" t="s">
        <v>311</v>
      </c>
      <c r="BV288" t="s">
        <v>311</v>
      </c>
      <c r="BW288" t="s">
        <v>311</v>
      </c>
      <c r="BX288" t="s">
        <v>311</v>
      </c>
      <c r="BY288" t="s">
        <v>311</v>
      </c>
      <c r="BZ288">
        <v>4.8000000000000001E-2</v>
      </c>
      <c r="CA288">
        <v>26</v>
      </c>
      <c r="CB288" t="s">
        <v>1209</v>
      </c>
      <c r="CC288" t="s">
        <v>1210</v>
      </c>
      <c r="CD288" t="s">
        <v>311</v>
      </c>
      <c r="CE288" t="s">
        <v>311</v>
      </c>
      <c r="CF288" t="s">
        <v>311</v>
      </c>
      <c r="CG288" t="s">
        <v>1503</v>
      </c>
      <c r="CH288" t="s">
        <v>1504</v>
      </c>
      <c r="CI288">
        <v>175</v>
      </c>
      <c r="CJ288" s="38" t="s">
        <v>311</v>
      </c>
      <c r="CK288" s="38" t="s">
        <v>311</v>
      </c>
      <c r="CL288" s="38" t="s">
        <v>311</v>
      </c>
      <c r="CM288" s="38" t="s">
        <v>311</v>
      </c>
      <c r="CN288" s="38" t="s">
        <v>311</v>
      </c>
      <c r="CO288" s="38" t="s">
        <v>311</v>
      </c>
      <c r="CP288" s="38" t="s">
        <v>311</v>
      </c>
      <c r="CQ288" t="s">
        <v>1754</v>
      </c>
      <c r="CR288" t="s">
        <v>1515</v>
      </c>
    </row>
    <row r="289" spans="1:96">
      <c r="A289">
        <v>288</v>
      </c>
      <c r="B289">
        <v>44</v>
      </c>
      <c r="C289">
        <v>2</v>
      </c>
      <c r="D289" t="s">
        <v>1487</v>
      </c>
      <c r="E289" t="s">
        <v>1486</v>
      </c>
      <c r="F289" t="s">
        <v>311</v>
      </c>
      <c r="G289" t="s">
        <v>311</v>
      </c>
      <c r="H289" t="s">
        <v>1501</v>
      </c>
      <c r="I289" t="s">
        <v>1502</v>
      </c>
      <c r="J289" s="20">
        <v>24.830881999999999</v>
      </c>
      <c r="K289">
        <v>-76.248706999999996</v>
      </c>
      <c r="L289" t="s">
        <v>358</v>
      </c>
      <c r="M289" t="s">
        <v>1498</v>
      </c>
      <c r="N289" t="s">
        <v>531</v>
      </c>
      <c r="O289" t="s">
        <v>532</v>
      </c>
      <c r="P289" t="s">
        <v>693</v>
      </c>
      <c r="Q289" t="s">
        <v>419</v>
      </c>
      <c r="R289" t="s">
        <v>550</v>
      </c>
      <c r="S289" t="s">
        <v>717</v>
      </c>
      <c r="T289" t="s">
        <v>331</v>
      </c>
      <c r="U289">
        <v>5</v>
      </c>
      <c r="V289" t="s">
        <v>535</v>
      </c>
      <c r="W289">
        <v>2015</v>
      </c>
      <c r="X289" t="s">
        <v>292</v>
      </c>
      <c r="Y289" t="s">
        <v>546</v>
      </c>
      <c r="Z289" t="s">
        <v>302</v>
      </c>
      <c r="AA289" t="s">
        <v>303</v>
      </c>
      <c r="AB289" t="s">
        <v>791</v>
      </c>
      <c r="AC289" t="s">
        <v>1499</v>
      </c>
      <c r="AD289" t="s">
        <v>340</v>
      </c>
      <c r="AE289" t="s">
        <v>311</v>
      </c>
      <c r="AF289" t="s">
        <v>342</v>
      </c>
      <c r="AH289" t="s">
        <v>311</v>
      </c>
      <c r="AI289" t="s">
        <v>311</v>
      </c>
      <c r="AJ289" t="s">
        <v>311</v>
      </c>
      <c r="AK289" t="s">
        <v>1505</v>
      </c>
      <c r="AL289" t="s">
        <v>357</v>
      </c>
      <c r="AM289" t="s">
        <v>764</v>
      </c>
      <c r="AN289" t="s">
        <v>1280</v>
      </c>
      <c r="AO289" t="s">
        <v>541</v>
      </c>
      <c r="AP289" t="s">
        <v>887</v>
      </c>
      <c r="AQ289" t="s">
        <v>887</v>
      </c>
      <c r="AR289">
        <v>1.1508896797152961</v>
      </c>
      <c r="AS289" t="s">
        <v>311</v>
      </c>
      <c r="AT289">
        <v>0.2686756144179327</v>
      </c>
      <c r="AU289">
        <v>5</v>
      </c>
      <c r="AV289">
        <v>0.23914590747330919</v>
      </c>
      <c r="AW289" t="s">
        <v>311</v>
      </c>
      <c r="AX289">
        <v>8.8634606754471837E-2</v>
      </c>
      <c r="AY289">
        <v>5</v>
      </c>
      <c r="AZ289" t="s">
        <v>1678</v>
      </c>
      <c r="BA289" t="s">
        <v>1679</v>
      </c>
      <c r="BB289">
        <v>3</v>
      </c>
      <c r="BC289" t="s">
        <v>1672</v>
      </c>
      <c r="BD289" t="s">
        <v>311</v>
      </c>
      <c r="BE289" t="s">
        <v>1881</v>
      </c>
      <c r="BF289" t="s">
        <v>311</v>
      </c>
      <c r="BG289" t="s">
        <v>311</v>
      </c>
      <c r="BH289" t="s">
        <v>311</v>
      </c>
      <c r="BI289" t="s">
        <v>311</v>
      </c>
      <c r="BJ289" t="s">
        <v>311</v>
      </c>
      <c r="BK289" t="s">
        <v>311</v>
      </c>
      <c r="BL289" t="s">
        <v>311</v>
      </c>
      <c r="BM289" t="s">
        <v>311</v>
      </c>
      <c r="BN289" t="s">
        <v>311</v>
      </c>
      <c r="BO289" t="s">
        <v>311</v>
      </c>
      <c r="BP289" t="s">
        <v>311</v>
      </c>
      <c r="BQ289" t="s">
        <v>311</v>
      </c>
      <c r="BR289" t="s">
        <v>311</v>
      </c>
      <c r="BS289" t="s">
        <v>311</v>
      </c>
      <c r="BT289" t="s">
        <v>311</v>
      </c>
      <c r="BU289" t="s">
        <v>311</v>
      </c>
      <c r="BV289" t="s">
        <v>311</v>
      </c>
      <c r="BW289" t="s">
        <v>311</v>
      </c>
      <c r="BX289" t="s">
        <v>311</v>
      </c>
      <c r="BY289" t="s">
        <v>311</v>
      </c>
      <c r="BZ289">
        <v>4.8000000000000001E-2</v>
      </c>
      <c r="CA289">
        <v>26</v>
      </c>
      <c r="CB289" t="s">
        <v>1209</v>
      </c>
      <c r="CC289" t="s">
        <v>1210</v>
      </c>
      <c r="CD289" t="s">
        <v>311</v>
      </c>
      <c r="CE289" t="s">
        <v>311</v>
      </c>
      <c r="CF289" t="s">
        <v>311</v>
      </c>
      <c r="CG289" t="s">
        <v>1503</v>
      </c>
      <c r="CH289" t="s">
        <v>1504</v>
      </c>
      <c r="CI289">
        <v>175</v>
      </c>
      <c r="CJ289" s="38" t="s">
        <v>311</v>
      </c>
      <c r="CK289" s="38" t="s">
        <v>311</v>
      </c>
      <c r="CL289" s="38" t="s">
        <v>311</v>
      </c>
      <c r="CM289" s="38" t="s">
        <v>311</v>
      </c>
      <c r="CN289" s="38" t="s">
        <v>311</v>
      </c>
      <c r="CO289" s="38" t="s">
        <v>311</v>
      </c>
      <c r="CP289" s="38" t="s">
        <v>311</v>
      </c>
      <c r="CQ289" t="s">
        <v>1755</v>
      </c>
      <c r="CR289" t="s">
        <v>1506</v>
      </c>
    </row>
    <row r="290" spans="1:96">
      <c r="A290">
        <v>289</v>
      </c>
      <c r="B290">
        <v>44</v>
      </c>
      <c r="C290">
        <v>3</v>
      </c>
      <c r="D290" t="s">
        <v>1487</v>
      </c>
      <c r="E290" t="s">
        <v>1486</v>
      </c>
      <c r="F290" t="s">
        <v>311</v>
      </c>
      <c r="G290" t="s">
        <v>311</v>
      </c>
      <c r="H290" t="s">
        <v>1501</v>
      </c>
      <c r="I290" t="s">
        <v>1502</v>
      </c>
      <c r="J290" s="20">
        <v>24.830881999999999</v>
      </c>
      <c r="K290">
        <v>-76.248706999999996</v>
      </c>
      <c r="L290" t="s">
        <v>358</v>
      </c>
      <c r="M290" t="s">
        <v>1498</v>
      </c>
      <c r="N290" t="s">
        <v>531</v>
      </c>
      <c r="O290" t="s">
        <v>532</v>
      </c>
      <c r="P290" t="s">
        <v>693</v>
      </c>
      <c r="Q290" t="s">
        <v>419</v>
      </c>
      <c r="R290" t="s">
        <v>550</v>
      </c>
      <c r="S290" t="s">
        <v>717</v>
      </c>
      <c r="T290" t="s">
        <v>331</v>
      </c>
      <c r="U290">
        <v>5</v>
      </c>
      <c r="V290" t="s">
        <v>535</v>
      </c>
      <c r="W290">
        <v>2015</v>
      </c>
      <c r="X290" t="s">
        <v>292</v>
      </c>
      <c r="Y290" t="s">
        <v>546</v>
      </c>
      <c r="Z290" t="s">
        <v>302</v>
      </c>
      <c r="AA290" t="s">
        <v>303</v>
      </c>
      <c r="AB290" t="s">
        <v>791</v>
      </c>
      <c r="AC290" t="s">
        <v>1499</v>
      </c>
      <c r="AD290" t="s">
        <v>340</v>
      </c>
      <c r="AE290" t="s">
        <v>311</v>
      </c>
      <c r="AF290" t="s">
        <v>342</v>
      </c>
      <c r="AH290" t="s">
        <v>311</v>
      </c>
      <c r="AI290" t="s">
        <v>311</v>
      </c>
      <c r="AJ290" t="s">
        <v>311</v>
      </c>
      <c r="AK290" t="s">
        <v>1505</v>
      </c>
      <c r="AL290" t="s">
        <v>357</v>
      </c>
      <c r="AM290" t="s">
        <v>764</v>
      </c>
      <c r="AN290" t="s">
        <v>1280</v>
      </c>
      <c r="AO290" t="s">
        <v>541</v>
      </c>
      <c r="AP290" t="s">
        <v>887</v>
      </c>
      <c r="AQ290" t="s">
        <v>887</v>
      </c>
      <c r="AR290">
        <v>1.0398576509999999</v>
      </c>
      <c r="AS290" t="s">
        <v>311</v>
      </c>
      <c r="AT290">
        <v>0.341248946</v>
      </c>
      <c r="AU290">
        <v>5</v>
      </c>
      <c r="AV290">
        <v>0.40249110300000002</v>
      </c>
      <c r="AW290" t="s">
        <v>311</v>
      </c>
      <c r="AX290">
        <v>8.6206246E-2</v>
      </c>
      <c r="AY290">
        <v>5</v>
      </c>
      <c r="AZ290" t="s">
        <v>1678</v>
      </c>
      <c r="BA290" t="s">
        <v>1679</v>
      </c>
      <c r="BB290">
        <v>3</v>
      </c>
      <c r="BC290" t="s">
        <v>1672</v>
      </c>
      <c r="BD290" t="s">
        <v>311</v>
      </c>
      <c r="BE290" t="s">
        <v>1881</v>
      </c>
      <c r="BF290" t="s">
        <v>311</v>
      </c>
      <c r="BG290" t="s">
        <v>311</v>
      </c>
      <c r="BH290" t="s">
        <v>311</v>
      </c>
      <c r="BI290" t="s">
        <v>311</v>
      </c>
      <c r="BJ290" t="s">
        <v>311</v>
      </c>
      <c r="BK290" t="s">
        <v>311</v>
      </c>
      <c r="BL290" t="s">
        <v>311</v>
      </c>
      <c r="BM290" t="s">
        <v>311</v>
      </c>
      <c r="BN290" t="s">
        <v>311</v>
      </c>
      <c r="BO290" t="s">
        <v>311</v>
      </c>
      <c r="BP290" t="s">
        <v>311</v>
      </c>
      <c r="BQ290" t="s">
        <v>311</v>
      </c>
      <c r="BR290" t="s">
        <v>311</v>
      </c>
      <c r="BS290" t="s">
        <v>311</v>
      </c>
      <c r="BT290" t="s">
        <v>311</v>
      </c>
      <c r="BU290" t="s">
        <v>311</v>
      </c>
      <c r="BV290" t="s">
        <v>311</v>
      </c>
      <c r="BW290" t="s">
        <v>311</v>
      </c>
      <c r="BX290" t="s">
        <v>311</v>
      </c>
      <c r="BY290" t="s">
        <v>311</v>
      </c>
      <c r="BZ290">
        <v>4.8000000000000001E-2</v>
      </c>
      <c r="CA290">
        <v>26</v>
      </c>
      <c r="CB290" t="s">
        <v>1209</v>
      </c>
      <c r="CC290" t="s">
        <v>1210</v>
      </c>
      <c r="CD290" t="s">
        <v>311</v>
      </c>
      <c r="CE290" t="s">
        <v>311</v>
      </c>
      <c r="CF290" t="s">
        <v>311</v>
      </c>
      <c r="CG290" t="s">
        <v>1503</v>
      </c>
      <c r="CH290" t="s">
        <v>1504</v>
      </c>
      <c r="CI290">
        <v>175</v>
      </c>
      <c r="CJ290" s="38" t="s">
        <v>311</v>
      </c>
      <c r="CK290" s="38" t="s">
        <v>311</v>
      </c>
      <c r="CL290" s="38" t="s">
        <v>311</v>
      </c>
      <c r="CM290" s="38" t="s">
        <v>311</v>
      </c>
      <c r="CN290" s="38" t="s">
        <v>311</v>
      </c>
      <c r="CO290" s="38" t="s">
        <v>311</v>
      </c>
      <c r="CP290" s="38" t="s">
        <v>311</v>
      </c>
      <c r="CQ290" t="s">
        <v>1755</v>
      </c>
      <c r="CR290" t="s">
        <v>1507</v>
      </c>
    </row>
    <row r="291" spans="1:96">
      <c r="A291">
        <v>290</v>
      </c>
      <c r="B291">
        <v>45</v>
      </c>
      <c r="C291">
        <v>1</v>
      </c>
      <c r="D291" t="s">
        <v>1514</v>
      </c>
      <c r="E291" t="s">
        <v>1513</v>
      </c>
      <c r="F291" t="s">
        <v>311</v>
      </c>
      <c r="G291" t="s">
        <v>311</v>
      </c>
      <c r="H291" t="s">
        <v>1516</v>
      </c>
      <c r="I291" t="s">
        <v>1517</v>
      </c>
      <c r="J291" s="20">
        <v>32.731741999999997</v>
      </c>
      <c r="K291">
        <v>-117.210859</v>
      </c>
      <c r="L291" t="s">
        <v>361</v>
      </c>
      <c r="M291" t="s">
        <v>1518</v>
      </c>
      <c r="N291" t="s">
        <v>531</v>
      </c>
      <c r="O291" t="s">
        <v>288</v>
      </c>
      <c r="P291" t="s">
        <v>693</v>
      </c>
      <c r="Q291" t="s">
        <v>333</v>
      </c>
      <c r="R291" t="s">
        <v>550</v>
      </c>
      <c r="S291" t="s">
        <v>717</v>
      </c>
      <c r="T291" t="s">
        <v>330</v>
      </c>
      <c r="U291">
        <v>5</v>
      </c>
      <c r="V291" t="s">
        <v>551</v>
      </c>
      <c r="W291">
        <v>2023</v>
      </c>
      <c r="X291" t="s">
        <v>292</v>
      </c>
      <c r="Y291" t="s">
        <v>685</v>
      </c>
      <c r="Z291" t="s">
        <v>537</v>
      </c>
      <c r="AA291" t="s">
        <v>538</v>
      </c>
      <c r="AB291" t="s">
        <v>1519</v>
      </c>
      <c r="AC291" t="s">
        <v>1520</v>
      </c>
      <c r="AD291" t="s">
        <v>292</v>
      </c>
      <c r="AE291" t="s">
        <v>618</v>
      </c>
      <c r="AF291" t="s">
        <v>552</v>
      </c>
      <c r="AH291" t="s">
        <v>555</v>
      </c>
      <c r="AI291" t="s">
        <v>619</v>
      </c>
      <c r="AJ291" t="s">
        <v>620</v>
      </c>
      <c r="AK291" t="s">
        <v>1522</v>
      </c>
      <c r="AL291" t="s">
        <v>357</v>
      </c>
      <c r="AM291" t="s">
        <v>1059</v>
      </c>
      <c r="AN291" t="s">
        <v>1277</v>
      </c>
      <c r="AO291" t="s">
        <v>1283</v>
      </c>
      <c r="AP291" t="s">
        <v>614</v>
      </c>
      <c r="AQ291" t="s">
        <v>887</v>
      </c>
      <c r="AR291">
        <v>12.9545454545454</v>
      </c>
      <c r="AS291">
        <v>1.7727272727273</v>
      </c>
      <c r="AT291" t="s">
        <v>311</v>
      </c>
      <c r="AU291">
        <v>4</v>
      </c>
      <c r="AV291">
        <v>14.659090909090899</v>
      </c>
      <c r="AW291">
        <v>1.0227272727272005</v>
      </c>
      <c r="AX291" t="s">
        <v>311</v>
      </c>
      <c r="AY291">
        <v>4</v>
      </c>
      <c r="AZ291" t="s">
        <v>1055</v>
      </c>
      <c r="BA291" t="s">
        <v>1679</v>
      </c>
      <c r="BB291">
        <v>24</v>
      </c>
      <c r="BC291" t="s">
        <v>1672</v>
      </c>
      <c r="BD291" t="s">
        <v>311</v>
      </c>
      <c r="BE291" t="s">
        <v>1880</v>
      </c>
      <c r="BF291" t="s">
        <v>311</v>
      </c>
      <c r="BG291" t="s">
        <v>311</v>
      </c>
      <c r="BH291" t="s">
        <v>311</v>
      </c>
      <c r="BI291" t="s">
        <v>311</v>
      </c>
      <c r="BJ291" t="s">
        <v>311</v>
      </c>
      <c r="BK291" t="s">
        <v>311</v>
      </c>
      <c r="BL291" t="s">
        <v>311</v>
      </c>
      <c r="BM291" t="s">
        <v>311</v>
      </c>
      <c r="BN291" t="s">
        <v>311</v>
      </c>
      <c r="BO291" t="s">
        <v>311</v>
      </c>
      <c r="BP291" t="s">
        <v>311</v>
      </c>
      <c r="BQ291" t="s">
        <v>311</v>
      </c>
      <c r="BR291" t="s">
        <v>311</v>
      </c>
      <c r="BS291" t="s">
        <v>311</v>
      </c>
      <c r="BT291" t="s">
        <v>311</v>
      </c>
      <c r="BU291" t="s">
        <v>311</v>
      </c>
      <c r="BV291" t="s">
        <v>311</v>
      </c>
      <c r="BW291" t="s">
        <v>311</v>
      </c>
      <c r="BX291" t="s">
        <v>311</v>
      </c>
      <c r="BY291" t="s">
        <v>311</v>
      </c>
      <c r="BZ291">
        <v>1.05</v>
      </c>
      <c r="CA291">
        <v>18.2</v>
      </c>
      <c r="CB291" t="s">
        <v>1209</v>
      </c>
      <c r="CC291" t="s">
        <v>1210</v>
      </c>
      <c r="CD291" t="s">
        <v>311</v>
      </c>
      <c r="CE291" t="s">
        <v>311</v>
      </c>
      <c r="CF291" t="s">
        <v>311</v>
      </c>
      <c r="CG291" t="s">
        <v>1538</v>
      </c>
      <c r="CH291" t="s">
        <v>1537</v>
      </c>
      <c r="CI291">
        <v>0</v>
      </c>
      <c r="CJ291" s="38" t="s">
        <v>311</v>
      </c>
      <c r="CK291" s="38" t="s">
        <v>311</v>
      </c>
      <c r="CL291" s="38" t="s">
        <v>311</v>
      </c>
      <c r="CM291" s="38" t="s">
        <v>311</v>
      </c>
      <c r="CN291" s="38" t="s">
        <v>311</v>
      </c>
      <c r="CO291" s="38" t="s">
        <v>311</v>
      </c>
      <c r="CP291" s="38" t="s">
        <v>311</v>
      </c>
      <c r="CQ291" t="s">
        <v>1756</v>
      </c>
      <c r="CR291" t="s">
        <v>1536</v>
      </c>
    </row>
    <row r="292" spans="1:96">
      <c r="A292">
        <v>291</v>
      </c>
      <c r="B292">
        <v>45</v>
      </c>
      <c r="C292">
        <v>2</v>
      </c>
      <c r="D292" t="s">
        <v>1514</v>
      </c>
      <c r="E292" t="s">
        <v>1513</v>
      </c>
      <c r="F292" t="s">
        <v>311</v>
      </c>
      <c r="G292" t="s">
        <v>311</v>
      </c>
      <c r="H292" t="s">
        <v>1516</v>
      </c>
      <c r="I292" t="s">
        <v>1517</v>
      </c>
      <c r="J292" s="20">
        <v>32.731741999999997</v>
      </c>
      <c r="K292">
        <v>-117.210859</v>
      </c>
      <c r="L292" t="s">
        <v>361</v>
      </c>
      <c r="M292" t="s">
        <v>1518</v>
      </c>
      <c r="N292" t="s">
        <v>531</v>
      </c>
      <c r="O292" t="s">
        <v>288</v>
      </c>
      <c r="P292" t="s">
        <v>693</v>
      </c>
      <c r="Q292" t="s">
        <v>333</v>
      </c>
      <c r="R292" t="s">
        <v>550</v>
      </c>
      <c r="S292" t="s">
        <v>717</v>
      </c>
      <c r="T292" t="s">
        <v>330</v>
      </c>
      <c r="U292">
        <v>5</v>
      </c>
      <c r="V292" t="s">
        <v>551</v>
      </c>
      <c r="W292">
        <v>2023</v>
      </c>
      <c r="X292" t="s">
        <v>292</v>
      </c>
      <c r="Y292" t="s">
        <v>685</v>
      </c>
      <c r="Z292" t="s">
        <v>537</v>
      </c>
      <c r="AA292" t="s">
        <v>538</v>
      </c>
      <c r="AB292" t="s">
        <v>1519</v>
      </c>
      <c r="AC292" t="s">
        <v>1520</v>
      </c>
      <c r="AD292" t="s">
        <v>340</v>
      </c>
      <c r="AE292" t="s">
        <v>311</v>
      </c>
      <c r="AF292" t="s">
        <v>567</v>
      </c>
      <c r="AG292" t="s">
        <v>1900</v>
      </c>
      <c r="AH292" t="s">
        <v>311</v>
      </c>
      <c r="AI292" t="s">
        <v>311</v>
      </c>
      <c r="AJ292" t="s">
        <v>311</v>
      </c>
      <c r="AK292" t="s">
        <v>1523</v>
      </c>
      <c r="AL292" t="s">
        <v>357</v>
      </c>
      <c r="AM292" t="s">
        <v>1059</v>
      </c>
      <c r="AN292" t="s">
        <v>584</v>
      </c>
      <c r="AO292" t="s">
        <v>606</v>
      </c>
      <c r="AP292" t="s">
        <v>887</v>
      </c>
      <c r="AQ292" t="s">
        <v>887</v>
      </c>
      <c r="AR292">
        <v>6.6159695817490399E-2</v>
      </c>
      <c r="AS292">
        <v>1.7680608365019099E-2</v>
      </c>
      <c r="AT292" t="s">
        <v>311</v>
      </c>
      <c r="AU292">
        <v>4</v>
      </c>
      <c r="AV292">
        <v>8.2699619771863103E-2</v>
      </c>
      <c r="AW292">
        <v>2.3954372623573902E-2</v>
      </c>
      <c r="AX292" t="s">
        <v>311</v>
      </c>
      <c r="AY292">
        <v>4</v>
      </c>
      <c r="AZ292" t="s">
        <v>1055</v>
      </c>
      <c r="BA292" t="s">
        <v>1679</v>
      </c>
      <c r="BB292">
        <v>17</v>
      </c>
      <c r="BC292" t="s">
        <v>1672</v>
      </c>
      <c r="BD292" t="s">
        <v>311</v>
      </c>
      <c r="BE292" t="s">
        <v>1880</v>
      </c>
      <c r="BF292" t="s">
        <v>311</v>
      </c>
      <c r="BG292" t="s">
        <v>311</v>
      </c>
      <c r="BH292" t="s">
        <v>311</v>
      </c>
      <c r="BI292" t="s">
        <v>311</v>
      </c>
      <c r="BJ292" t="s">
        <v>311</v>
      </c>
      <c r="BK292" t="s">
        <v>311</v>
      </c>
      <c r="BL292" t="s">
        <v>311</v>
      </c>
      <c r="BM292" t="s">
        <v>311</v>
      </c>
      <c r="BN292" t="s">
        <v>311</v>
      </c>
      <c r="BO292" t="s">
        <v>311</v>
      </c>
      <c r="BP292" t="s">
        <v>311</v>
      </c>
      <c r="BQ292" t="s">
        <v>311</v>
      </c>
      <c r="BR292" t="s">
        <v>311</v>
      </c>
      <c r="BS292" t="s">
        <v>311</v>
      </c>
      <c r="BT292" t="s">
        <v>311</v>
      </c>
      <c r="BU292" t="s">
        <v>311</v>
      </c>
      <c r="BV292" t="s">
        <v>311</v>
      </c>
      <c r="BW292" t="s">
        <v>311</v>
      </c>
      <c r="BX292" t="s">
        <v>311</v>
      </c>
      <c r="BY292" t="s">
        <v>311</v>
      </c>
      <c r="BZ292">
        <v>1.05</v>
      </c>
      <c r="CA292">
        <v>18.2</v>
      </c>
      <c r="CB292" t="s">
        <v>1209</v>
      </c>
      <c r="CC292" t="s">
        <v>1210</v>
      </c>
      <c r="CD292" t="s">
        <v>311</v>
      </c>
      <c r="CE292" t="s">
        <v>311</v>
      </c>
      <c r="CF292" t="s">
        <v>311</v>
      </c>
      <c r="CG292" t="s">
        <v>1538</v>
      </c>
      <c r="CH292" t="s">
        <v>1537</v>
      </c>
      <c r="CI292">
        <v>0</v>
      </c>
      <c r="CJ292" s="38" t="s">
        <v>311</v>
      </c>
      <c r="CK292" s="38" t="s">
        <v>311</v>
      </c>
      <c r="CL292" s="38" t="s">
        <v>311</v>
      </c>
      <c r="CM292" s="38" t="s">
        <v>311</v>
      </c>
      <c r="CN292" s="38" t="s">
        <v>311</v>
      </c>
      <c r="CO292" s="38" t="s">
        <v>311</v>
      </c>
      <c r="CP292" s="38" t="s">
        <v>311</v>
      </c>
      <c r="CQ292" t="s">
        <v>1757</v>
      </c>
      <c r="CR292" t="s">
        <v>1526</v>
      </c>
    </row>
    <row r="293" spans="1:96">
      <c r="A293">
        <v>292</v>
      </c>
      <c r="B293">
        <v>45</v>
      </c>
      <c r="C293">
        <v>3</v>
      </c>
      <c r="D293" t="s">
        <v>1514</v>
      </c>
      <c r="E293" t="s">
        <v>1513</v>
      </c>
      <c r="F293" t="s">
        <v>311</v>
      </c>
      <c r="G293" t="s">
        <v>311</v>
      </c>
      <c r="H293" t="s">
        <v>1516</v>
      </c>
      <c r="I293" t="s">
        <v>1517</v>
      </c>
      <c r="J293" s="20">
        <v>32.731741999999997</v>
      </c>
      <c r="K293">
        <v>-117.210859</v>
      </c>
      <c r="L293" t="s">
        <v>361</v>
      </c>
      <c r="M293" t="s">
        <v>1518</v>
      </c>
      <c r="N293" t="s">
        <v>531</v>
      </c>
      <c r="O293" t="s">
        <v>288</v>
      </c>
      <c r="P293" t="s">
        <v>693</v>
      </c>
      <c r="Q293" t="s">
        <v>333</v>
      </c>
      <c r="R293" t="s">
        <v>550</v>
      </c>
      <c r="S293" t="s">
        <v>717</v>
      </c>
      <c r="T293" t="s">
        <v>330</v>
      </c>
      <c r="U293">
        <v>5</v>
      </c>
      <c r="V293" t="s">
        <v>752</v>
      </c>
      <c r="W293">
        <v>2023</v>
      </c>
      <c r="X293" t="s">
        <v>292</v>
      </c>
      <c r="Y293" t="s">
        <v>685</v>
      </c>
      <c r="Z293" t="s">
        <v>537</v>
      </c>
      <c r="AA293" t="s">
        <v>538</v>
      </c>
      <c r="AB293" t="s">
        <v>1519</v>
      </c>
      <c r="AC293" t="s">
        <v>1520</v>
      </c>
      <c r="AD293" t="s">
        <v>292</v>
      </c>
      <c r="AE293" t="s">
        <v>618</v>
      </c>
      <c r="AF293" t="s">
        <v>552</v>
      </c>
      <c r="AH293" t="s">
        <v>555</v>
      </c>
      <c r="AI293" t="s">
        <v>619</v>
      </c>
      <c r="AJ293" t="s">
        <v>620</v>
      </c>
      <c r="AK293" t="s">
        <v>1527</v>
      </c>
      <c r="AL293" t="s">
        <v>357</v>
      </c>
      <c r="AM293" t="s">
        <v>1059</v>
      </c>
      <c r="AN293" t="s">
        <v>1277</v>
      </c>
      <c r="AO293" t="s">
        <v>1283</v>
      </c>
      <c r="AP293" t="s">
        <v>614</v>
      </c>
      <c r="AQ293" t="s">
        <v>887</v>
      </c>
      <c r="AR293">
        <v>13.295454545454501</v>
      </c>
      <c r="AS293">
        <v>1.8409090909090988</v>
      </c>
      <c r="AT293" t="s">
        <v>311</v>
      </c>
      <c r="AU293">
        <v>4</v>
      </c>
      <c r="AV293">
        <v>14.7272727272727</v>
      </c>
      <c r="AW293">
        <v>2.0454545454544988</v>
      </c>
      <c r="AX293" t="s">
        <v>311</v>
      </c>
      <c r="AY293">
        <v>4</v>
      </c>
      <c r="AZ293" t="s">
        <v>1055</v>
      </c>
      <c r="BA293" t="s">
        <v>1679</v>
      </c>
      <c r="BB293">
        <v>11</v>
      </c>
      <c r="BC293" t="s">
        <v>1672</v>
      </c>
      <c r="BD293" t="s">
        <v>311</v>
      </c>
      <c r="BE293" t="s">
        <v>1880</v>
      </c>
      <c r="BF293" t="s">
        <v>311</v>
      </c>
      <c r="BG293" t="s">
        <v>311</v>
      </c>
      <c r="BH293" t="s">
        <v>311</v>
      </c>
      <c r="BI293" t="s">
        <v>311</v>
      </c>
      <c r="BJ293" t="s">
        <v>311</v>
      </c>
      <c r="BK293" t="s">
        <v>311</v>
      </c>
      <c r="BL293" t="s">
        <v>311</v>
      </c>
      <c r="BM293" t="s">
        <v>311</v>
      </c>
      <c r="BN293" t="s">
        <v>311</v>
      </c>
      <c r="BO293" t="s">
        <v>311</v>
      </c>
      <c r="BP293" t="s">
        <v>311</v>
      </c>
      <c r="BQ293" t="s">
        <v>311</v>
      </c>
      <c r="BR293" t="s">
        <v>311</v>
      </c>
      <c r="BS293" t="s">
        <v>311</v>
      </c>
      <c r="BT293" t="s">
        <v>311</v>
      </c>
      <c r="BU293" t="s">
        <v>311</v>
      </c>
      <c r="BV293" t="s">
        <v>311</v>
      </c>
      <c r="BW293" t="s">
        <v>311</v>
      </c>
      <c r="BX293" t="s">
        <v>311</v>
      </c>
      <c r="BY293" t="s">
        <v>311</v>
      </c>
      <c r="BZ293">
        <v>1.05</v>
      </c>
      <c r="CA293">
        <v>22.8</v>
      </c>
      <c r="CB293" t="s">
        <v>1209</v>
      </c>
      <c r="CC293" t="s">
        <v>1210</v>
      </c>
      <c r="CD293" t="s">
        <v>311</v>
      </c>
      <c r="CE293" t="s">
        <v>311</v>
      </c>
      <c r="CF293" t="s">
        <v>311</v>
      </c>
      <c r="CG293" t="s">
        <v>1538</v>
      </c>
      <c r="CH293" t="s">
        <v>1537</v>
      </c>
      <c r="CI293">
        <v>0</v>
      </c>
      <c r="CJ293" s="38" t="s">
        <v>311</v>
      </c>
      <c r="CK293" s="38" t="s">
        <v>311</v>
      </c>
      <c r="CL293" s="38" t="s">
        <v>311</v>
      </c>
      <c r="CM293" s="38" t="s">
        <v>311</v>
      </c>
      <c r="CN293" s="38" t="s">
        <v>311</v>
      </c>
      <c r="CO293" s="38" t="s">
        <v>311</v>
      </c>
      <c r="CP293" s="38" t="s">
        <v>311</v>
      </c>
      <c r="CQ293" t="s">
        <v>1758</v>
      </c>
      <c r="CR293" t="s">
        <v>1521</v>
      </c>
    </row>
    <row r="294" spans="1:96">
      <c r="A294">
        <v>293</v>
      </c>
      <c r="B294">
        <v>45</v>
      </c>
      <c r="C294">
        <v>4</v>
      </c>
      <c r="D294" t="s">
        <v>1514</v>
      </c>
      <c r="E294" t="s">
        <v>1513</v>
      </c>
      <c r="F294" t="s">
        <v>311</v>
      </c>
      <c r="G294" t="s">
        <v>311</v>
      </c>
      <c r="H294" t="s">
        <v>1516</v>
      </c>
      <c r="I294" t="s">
        <v>1517</v>
      </c>
      <c r="J294" s="20">
        <v>32.731741999999997</v>
      </c>
      <c r="K294">
        <v>-117.210859</v>
      </c>
      <c r="L294" t="s">
        <v>361</v>
      </c>
      <c r="M294" t="s">
        <v>1518</v>
      </c>
      <c r="N294" t="s">
        <v>531</v>
      </c>
      <c r="O294" t="s">
        <v>288</v>
      </c>
      <c r="P294" t="s">
        <v>693</v>
      </c>
      <c r="Q294" t="s">
        <v>333</v>
      </c>
      <c r="R294" t="s">
        <v>550</v>
      </c>
      <c r="S294" t="s">
        <v>717</v>
      </c>
      <c r="T294" t="s">
        <v>330</v>
      </c>
      <c r="U294">
        <v>5</v>
      </c>
      <c r="V294" t="s">
        <v>752</v>
      </c>
      <c r="W294">
        <v>2023</v>
      </c>
      <c r="X294" t="s">
        <v>292</v>
      </c>
      <c r="Y294" t="s">
        <v>685</v>
      </c>
      <c r="Z294" t="s">
        <v>537</v>
      </c>
      <c r="AA294" t="s">
        <v>538</v>
      </c>
      <c r="AB294" t="s">
        <v>1519</v>
      </c>
      <c r="AC294" t="s">
        <v>1520</v>
      </c>
      <c r="AD294" t="s">
        <v>340</v>
      </c>
      <c r="AE294" t="s">
        <v>311</v>
      </c>
      <c r="AF294" t="s">
        <v>567</v>
      </c>
      <c r="AG294" t="s">
        <v>1900</v>
      </c>
      <c r="AH294" t="s">
        <v>311</v>
      </c>
      <c r="AI294" t="s">
        <v>311</v>
      </c>
      <c r="AJ294" t="s">
        <v>311</v>
      </c>
      <c r="AK294" t="s">
        <v>1524</v>
      </c>
      <c r="AL294" t="s">
        <v>357</v>
      </c>
      <c r="AM294" t="s">
        <v>1059</v>
      </c>
      <c r="AN294" t="s">
        <v>584</v>
      </c>
      <c r="AO294" t="s">
        <v>870</v>
      </c>
      <c r="AP294" t="s">
        <v>887</v>
      </c>
      <c r="AQ294" t="s">
        <v>887</v>
      </c>
      <c r="AR294">
        <v>3.9171974522293</v>
      </c>
      <c r="AS294">
        <v>0.89808917197451965</v>
      </c>
      <c r="AT294" t="s">
        <v>311</v>
      </c>
      <c r="AU294">
        <v>4</v>
      </c>
      <c r="AV294">
        <v>1.8343949044585901</v>
      </c>
      <c r="AW294">
        <v>0.28662420382165998</v>
      </c>
      <c r="AX294" t="s">
        <v>311</v>
      </c>
      <c r="AY294">
        <v>4</v>
      </c>
      <c r="AZ294" t="s">
        <v>1677</v>
      </c>
      <c r="BA294" t="s">
        <v>1679</v>
      </c>
      <c r="BB294">
        <v>11</v>
      </c>
      <c r="BC294" t="s">
        <v>1672</v>
      </c>
      <c r="BD294" t="s">
        <v>311</v>
      </c>
      <c r="BE294" t="s">
        <v>1880</v>
      </c>
      <c r="BF294" t="s">
        <v>311</v>
      </c>
      <c r="BG294" t="s">
        <v>311</v>
      </c>
      <c r="BH294" t="s">
        <v>311</v>
      </c>
      <c r="BI294" t="s">
        <v>311</v>
      </c>
      <c r="BJ294" t="s">
        <v>311</v>
      </c>
      <c r="BK294" t="s">
        <v>311</v>
      </c>
      <c r="BL294" t="s">
        <v>311</v>
      </c>
      <c r="BM294" t="s">
        <v>311</v>
      </c>
      <c r="BN294" t="s">
        <v>311</v>
      </c>
      <c r="BO294" t="s">
        <v>311</v>
      </c>
      <c r="BP294" t="s">
        <v>311</v>
      </c>
      <c r="BQ294" t="s">
        <v>311</v>
      </c>
      <c r="BR294" t="s">
        <v>311</v>
      </c>
      <c r="BS294" t="s">
        <v>311</v>
      </c>
      <c r="BT294" t="s">
        <v>311</v>
      </c>
      <c r="BU294" t="s">
        <v>311</v>
      </c>
      <c r="BV294" t="s">
        <v>311</v>
      </c>
      <c r="BW294" t="s">
        <v>311</v>
      </c>
      <c r="BX294" t="s">
        <v>311</v>
      </c>
      <c r="BY294" t="s">
        <v>311</v>
      </c>
      <c r="BZ294">
        <v>1.05</v>
      </c>
      <c r="CA294">
        <v>22.8</v>
      </c>
      <c r="CB294" t="s">
        <v>1209</v>
      </c>
      <c r="CC294" t="s">
        <v>1210</v>
      </c>
      <c r="CD294" t="s">
        <v>311</v>
      </c>
      <c r="CE294" t="s">
        <v>311</v>
      </c>
      <c r="CF294" t="s">
        <v>311</v>
      </c>
      <c r="CG294" t="s">
        <v>1538</v>
      </c>
      <c r="CH294" t="s">
        <v>1537</v>
      </c>
      <c r="CI294">
        <v>0</v>
      </c>
      <c r="CJ294" s="38" t="s">
        <v>311</v>
      </c>
      <c r="CK294" s="38" t="s">
        <v>311</v>
      </c>
      <c r="CL294" s="38" t="s">
        <v>311</v>
      </c>
      <c r="CM294" s="38" t="s">
        <v>311</v>
      </c>
      <c r="CN294" s="38" t="s">
        <v>311</v>
      </c>
      <c r="CO294" s="38" t="s">
        <v>311</v>
      </c>
      <c r="CP294" s="38" t="s">
        <v>311</v>
      </c>
      <c r="CQ294" t="s">
        <v>1759</v>
      </c>
      <c r="CR294" t="s">
        <v>1525</v>
      </c>
    </row>
    <row r="295" spans="1:96">
      <c r="A295">
        <v>294</v>
      </c>
      <c r="B295">
        <v>45</v>
      </c>
      <c r="C295">
        <v>5</v>
      </c>
      <c r="D295" t="s">
        <v>1514</v>
      </c>
      <c r="E295" t="s">
        <v>1513</v>
      </c>
      <c r="F295" t="s">
        <v>311</v>
      </c>
      <c r="G295" t="s">
        <v>311</v>
      </c>
      <c r="H295" t="s">
        <v>1516</v>
      </c>
      <c r="I295" t="s">
        <v>1517</v>
      </c>
      <c r="J295" s="20">
        <v>32.731741999999997</v>
      </c>
      <c r="K295">
        <v>-117.210859</v>
      </c>
      <c r="L295" t="s">
        <v>361</v>
      </c>
      <c r="M295" t="s">
        <v>1518</v>
      </c>
      <c r="N295" t="s">
        <v>531</v>
      </c>
      <c r="O295" t="s">
        <v>288</v>
      </c>
      <c r="P295" t="s">
        <v>693</v>
      </c>
      <c r="Q295" t="s">
        <v>333</v>
      </c>
      <c r="R295" t="s">
        <v>550</v>
      </c>
      <c r="S295" t="s">
        <v>717</v>
      </c>
      <c r="T295" t="s">
        <v>330</v>
      </c>
      <c r="U295">
        <v>5</v>
      </c>
      <c r="V295" t="s">
        <v>535</v>
      </c>
      <c r="W295">
        <v>2023</v>
      </c>
      <c r="X295" t="s">
        <v>292</v>
      </c>
      <c r="Y295" t="s">
        <v>685</v>
      </c>
      <c r="Z295" t="s">
        <v>537</v>
      </c>
      <c r="AA295" t="s">
        <v>538</v>
      </c>
      <c r="AB295" t="s">
        <v>1519</v>
      </c>
      <c r="AC295" t="s">
        <v>1520</v>
      </c>
      <c r="AD295" t="s">
        <v>292</v>
      </c>
      <c r="AE295" t="s">
        <v>618</v>
      </c>
      <c r="AF295" t="s">
        <v>552</v>
      </c>
      <c r="AH295" t="s">
        <v>555</v>
      </c>
      <c r="AI295" t="s">
        <v>619</v>
      </c>
      <c r="AJ295" t="s">
        <v>620</v>
      </c>
      <c r="AK295" t="s">
        <v>1528</v>
      </c>
      <c r="AL295" t="s">
        <v>357</v>
      </c>
      <c r="AM295" t="s">
        <v>1059</v>
      </c>
      <c r="AN295" t="s">
        <v>1277</v>
      </c>
      <c r="AO295" t="s">
        <v>1283</v>
      </c>
      <c r="AP295" t="s">
        <v>614</v>
      </c>
      <c r="AQ295" t="s">
        <v>887</v>
      </c>
      <c r="AR295">
        <v>6.37755102040816</v>
      </c>
      <c r="AS295">
        <v>1.4795918367346896</v>
      </c>
      <c r="AT295" t="s">
        <v>311</v>
      </c>
      <c r="AU295">
        <v>4</v>
      </c>
      <c r="AV295">
        <v>11.0204081632653</v>
      </c>
      <c r="AW295">
        <v>1.2244897959183003</v>
      </c>
      <c r="AX295" t="s">
        <v>311</v>
      </c>
      <c r="AY295">
        <v>4</v>
      </c>
      <c r="AZ295" t="s">
        <v>1055</v>
      </c>
      <c r="BA295" t="s">
        <v>1679</v>
      </c>
      <c r="BB295">
        <v>28</v>
      </c>
      <c r="BC295" t="s">
        <v>1672</v>
      </c>
      <c r="BD295" t="s">
        <v>311</v>
      </c>
      <c r="BE295" t="s">
        <v>1880</v>
      </c>
      <c r="BF295" t="s">
        <v>311</v>
      </c>
      <c r="BG295" t="s">
        <v>311</v>
      </c>
      <c r="BH295" t="s">
        <v>311</v>
      </c>
      <c r="BI295" t="s">
        <v>311</v>
      </c>
      <c r="BJ295" t="s">
        <v>311</v>
      </c>
      <c r="BK295" t="s">
        <v>311</v>
      </c>
      <c r="BL295" t="s">
        <v>311</v>
      </c>
      <c r="BM295" t="s">
        <v>311</v>
      </c>
      <c r="BN295" t="s">
        <v>311</v>
      </c>
      <c r="BO295" t="s">
        <v>311</v>
      </c>
      <c r="BP295" t="s">
        <v>311</v>
      </c>
      <c r="BQ295" t="s">
        <v>311</v>
      </c>
      <c r="BR295" t="s">
        <v>311</v>
      </c>
      <c r="BS295" t="s">
        <v>311</v>
      </c>
      <c r="BT295" t="s">
        <v>311</v>
      </c>
      <c r="BU295" t="s">
        <v>311</v>
      </c>
      <c r="BV295" t="s">
        <v>311</v>
      </c>
      <c r="BW295" t="s">
        <v>311</v>
      </c>
      <c r="BX295" t="s">
        <v>311</v>
      </c>
      <c r="BY295" t="s">
        <v>311</v>
      </c>
      <c r="BZ295">
        <v>1.05</v>
      </c>
      <c r="CA295">
        <v>22.1</v>
      </c>
      <c r="CB295" t="s">
        <v>1209</v>
      </c>
      <c r="CC295" t="s">
        <v>1210</v>
      </c>
      <c r="CD295" t="s">
        <v>311</v>
      </c>
      <c r="CE295" t="s">
        <v>311</v>
      </c>
      <c r="CF295" t="s">
        <v>311</v>
      </c>
      <c r="CG295" t="s">
        <v>1538</v>
      </c>
      <c r="CH295" t="s">
        <v>1537</v>
      </c>
      <c r="CI295">
        <v>0</v>
      </c>
      <c r="CJ295" s="38" t="s">
        <v>311</v>
      </c>
      <c r="CK295" s="38" t="s">
        <v>311</v>
      </c>
      <c r="CL295" s="38" t="s">
        <v>311</v>
      </c>
      <c r="CM295" s="38" t="s">
        <v>311</v>
      </c>
      <c r="CN295" s="38" t="s">
        <v>311</v>
      </c>
      <c r="CO295" s="38" t="s">
        <v>311</v>
      </c>
      <c r="CP295" s="38" t="s">
        <v>311</v>
      </c>
      <c r="CQ295" t="s">
        <v>1760</v>
      </c>
      <c r="CR295" t="s">
        <v>1534</v>
      </c>
    </row>
    <row r="296" spans="1:96">
      <c r="A296">
        <v>295</v>
      </c>
      <c r="B296">
        <v>45</v>
      </c>
      <c r="C296">
        <v>6</v>
      </c>
      <c r="D296" t="s">
        <v>1514</v>
      </c>
      <c r="E296" t="s">
        <v>1513</v>
      </c>
      <c r="F296" t="s">
        <v>311</v>
      </c>
      <c r="G296" t="s">
        <v>311</v>
      </c>
      <c r="H296" t="s">
        <v>1516</v>
      </c>
      <c r="I296" t="s">
        <v>1517</v>
      </c>
      <c r="J296" s="20">
        <v>32.731741999999997</v>
      </c>
      <c r="K296">
        <v>-117.210859</v>
      </c>
      <c r="L296" t="s">
        <v>361</v>
      </c>
      <c r="M296" t="s">
        <v>1518</v>
      </c>
      <c r="N296" t="s">
        <v>531</v>
      </c>
      <c r="O296" t="s">
        <v>288</v>
      </c>
      <c r="P296" t="s">
        <v>693</v>
      </c>
      <c r="Q296" t="s">
        <v>333</v>
      </c>
      <c r="R296" t="s">
        <v>550</v>
      </c>
      <c r="S296" t="s">
        <v>717</v>
      </c>
      <c r="T296" t="s">
        <v>330</v>
      </c>
      <c r="U296">
        <v>5</v>
      </c>
      <c r="V296" t="s">
        <v>535</v>
      </c>
      <c r="W296">
        <v>2023</v>
      </c>
      <c r="X296" t="s">
        <v>292</v>
      </c>
      <c r="Y296" t="s">
        <v>1529</v>
      </c>
      <c r="Z296" t="s">
        <v>604</v>
      </c>
      <c r="AA296" t="s">
        <v>538</v>
      </c>
      <c r="AB296" t="s">
        <v>1530</v>
      </c>
      <c r="AC296" t="s">
        <v>1531</v>
      </c>
      <c r="AD296" t="s">
        <v>292</v>
      </c>
      <c r="AE296" t="s">
        <v>618</v>
      </c>
      <c r="AF296" t="s">
        <v>552</v>
      </c>
      <c r="AH296" t="s">
        <v>555</v>
      </c>
      <c r="AI296" t="s">
        <v>619</v>
      </c>
      <c r="AJ296" t="s">
        <v>620</v>
      </c>
      <c r="AK296" t="s">
        <v>1528</v>
      </c>
      <c r="AL296" t="s">
        <v>357</v>
      </c>
      <c r="AM296" t="s">
        <v>1059</v>
      </c>
      <c r="AN296" t="s">
        <v>1277</v>
      </c>
      <c r="AO296" t="s">
        <v>1283</v>
      </c>
      <c r="AP296" t="s">
        <v>614</v>
      </c>
      <c r="AQ296" t="s">
        <v>887</v>
      </c>
      <c r="AR296">
        <v>8.7244897959183607</v>
      </c>
      <c r="AS296">
        <v>1.1224489795918391</v>
      </c>
      <c r="AT296" t="s">
        <v>311</v>
      </c>
      <c r="AU296">
        <v>4</v>
      </c>
      <c r="AV296">
        <v>11.0204081632653</v>
      </c>
      <c r="AW296">
        <v>1.2244897959183003</v>
      </c>
      <c r="AX296" t="s">
        <v>311</v>
      </c>
      <c r="AY296">
        <v>4</v>
      </c>
      <c r="AZ296" t="s">
        <v>1055</v>
      </c>
      <c r="BA296" t="s">
        <v>1679</v>
      </c>
      <c r="BB296">
        <v>28</v>
      </c>
      <c r="BC296" t="s">
        <v>1672</v>
      </c>
      <c r="BD296" t="s">
        <v>311</v>
      </c>
      <c r="BE296" t="s">
        <v>1880</v>
      </c>
      <c r="BF296" t="s">
        <v>311</v>
      </c>
      <c r="BG296" t="s">
        <v>311</v>
      </c>
      <c r="BH296" t="s">
        <v>311</v>
      </c>
      <c r="BI296" t="s">
        <v>311</v>
      </c>
      <c r="BJ296" t="s">
        <v>311</v>
      </c>
      <c r="BK296" t="s">
        <v>311</v>
      </c>
      <c r="BL296" t="s">
        <v>311</v>
      </c>
      <c r="BM296" t="s">
        <v>311</v>
      </c>
      <c r="BN296" t="s">
        <v>311</v>
      </c>
      <c r="BO296" t="s">
        <v>311</v>
      </c>
      <c r="BP296" t="s">
        <v>311</v>
      </c>
      <c r="BQ296" t="s">
        <v>311</v>
      </c>
      <c r="BR296" t="s">
        <v>311</v>
      </c>
      <c r="BS296" t="s">
        <v>311</v>
      </c>
      <c r="BT296" t="s">
        <v>311</v>
      </c>
      <c r="BU296" t="s">
        <v>311</v>
      </c>
      <c r="BV296" t="s">
        <v>311</v>
      </c>
      <c r="BW296" t="s">
        <v>311</v>
      </c>
      <c r="BX296" t="s">
        <v>311</v>
      </c>
      <c r="BY296" t="s">
        <v>311</v>
      </c>
      <c r="BZ296">
        <v>1.05</v>
      </c>
      <c r="CA296">
        <v>22.1</v>
      </c>
      <c r="CB296" t="s">
        <v>1209</v>
      </c>
      <c r="CC296" t="s">
        <v>1210</v>
      </c>
      <c r="CD296" t="s">
        <v>311</v>
      </c>
      <c r="CE296" t="s">
        <v>311</v>
      </c>
      <c r="CF296" t="s">
        <v>311</v>
      </c>
      <c r="CG296" t="s">
        <v>1538</v>
      </c>
      <c r="CH296" t="s">
        <v>1537</v>
      </c>
      <c r="CI296">
        <v>0</v>
      </c>
      <c r="CJ296" s="38" t="s">
        <v>311</v>
      </c>
      <c r="CK296" s="38" t="s">
        <v>311</v>
      </c>
      <c r="CL296" s="38" t="s">
        <v>311</v>
      </c>
      <c r="CM296" s="38" t="s">
        <v>311</v>
      </c>
      <c r="CN296" s="38" t="s">
        <v>311</v>
      </c>
      <c r="CO296" s="38" t="s">
        <v>311</v>
      </c>
      <c r="CP296" s="38" t="s">
        <v>311</v>
      </c>
      <c r="CQ296" t="s">
        <v>1760</v>
      </c>
      <c r="CR296" t="s">
        <v>1533</v>
      </c>
    </row>
    <row r="297" spans="1:96">
      <c r="A297">
        <v>296</v>
      </c>
      <c r="B297">
        <v>45</v>
      </c>
      <c r="C297">
        <v>7</v>
      </c>
      <c r="D297" t="s">
        <v>1514</v>
      </c>
      <c r="E297" t="s">
        <v>1513</v>
      </c>
      <c r="F297" t="s">
        <v>311</v>
      </c>
      <c r="G297" t="s">
        <v>311</v>
      </c>
      <c r="H297" t="s">
        <v>1516</v>
      </c>
      <c r="I297" t="s">
        <v>1517</v>
      </c>
      <c r="J297" s="20">
        <v>32.731741999999997</v>
      </c>
      <c r="K297">
        <v>-117.210859</v>
      </c>
      <c r="L297" t="s">
        <v>361</v>
      </c>
      <c r="M297" t="s">
        <v>1518</v>
      </c>
      <c r="N297" t="s">
        <v>531</v>
      </c>
      <c r="O297" t="s">
        <v>288</v>
      </c>
      <c r="P297" t="s">
        <v>693</v>
      </c>
      <c r="Q297" t="s">
        <v>333</v>
      </c>
      <c r="R297" t="s">
        <v>550</v>
      </c>
      <c r="S297" t="s">
        <v>717</v>
      </c>
      <c r="T297" t="s">
        <v>330</v>
      </c>
      <c r="U297">
        <v>5</v>
      </c>
      <c r="V297" t="s">
        <v>535</v>
      </c>
      <c r="W297">
        <v>2023</v>
      </c>
      <c r="X297" t="s">
        <v>340</v>
      </c>
      <c r="Y297" t="s">
        <v>311</v>
      </c>
      <c r="Z297" t="s">
        <v>537</v>
      </c>
      <c r="AA297" t="s">
        <v>538</v>
      </c>
      <c r="AB297" t="s">
        <v>311</v>
      </c>
      <c r="AC297" t="s">
        <v>311</v>
      </c>
      <c r="AD297" t="s">
        <v>292</v>
      </c>
      <c r="AE297" t="s">
        <v>618</v>
      </c>
      <c r="AF297" t="s">
        <v>552</v>
      </c>
      <c r="AH297" t="s">
        <v>555</v>
      </c>
      <c r="AI297" t="s">
        <v>619</v>
      </c>
      <c r="AJ297" t="s">
        <v>620</v>
      </c>
      <c r="AK297" t="s">
        <v>1528</v>
      </c>
      <c r="AL297" t="s">
        <v>357</v>
      </c>
      <c r="AM297" t="s">
        <v>1059</v>
      </c>
      <c r="AN297" t="s">
        <v>1277</v>
      </c>
      <c r="AO297" t="s">
        <v>1283</v>
      </c>
      <c r="AP297" t="s">
        <v>614</v>
      </c>
      <c r="AQ297" t="s">
        <v>887</v>
      </c>
      <c r="AR297">
        <v>12.040816326530599</v>
      </c>
      <c r="AS297">
        <v>1.6836734693877009</v>
      </c>
      <c r="AT297" t="s">
        <v>311</v>
      </c>
      <c r="AU297">
        <v>4</v>
      </c>
      <c r="AV297">
        <v>11.0204081632653</v>
      </c>
      <c r="AW297">
        <v>1.2244897959183003</v>
      </c>
      <c r="AX297" t="s">
        <v>311</v>
      </c>
      <c r="AY297">
        <v>4</v>
      </c>
      <c r="AZ297" t="s">
        <v>1055</v>
      </c>
      <c r="BA297" t="s">
        <v>1679</v>
      </c>
      <c r="BB297">
        <v>28</v>
      </c>
      <c r="BC297" t="s">
        <v>1672</v>
      </c>
      <c r="BD297" t="s">
        <v>311</v>
      </c>
      <c r="BE297" t="s">
        <v>1880</v>
      </c>
      <c r="BF297" t="s">
        <v>311</v>
      </c>
      <c r="BG297" t="s">
        <v>311</v>
      </c>
      <c r="BH297" t="s">
        <v>311</v>
      </c>
      <c r="BI297" t="s">
        <v>311</v>
      </c>
      <c r="BJ297" t="s">
        <v>311</v>
      </c>
      <c r="BK297" t="s">
        <v>311</v>
      </c>
      <c r="BL297" t="s">
        <v>311</v>
      </c>
      <c r="BM297" t="s">
        <v>311</v>
      </c>
      <c r="BN297" t="s">
        <v>311</v>
      </c>
      <c r="BO297" t="s">
        <v>311</v>
      </c>
      <c r="BP297" t="s">
        <v>311</v>
      </c>
      <c r="BQ297" t="s">
        <v>311</v>
      </c>
      <c r="BR297" t="s">
        <v>311</v>
      </c>
      <c r="BS297" t="s">
        <v>311</v>
      </c>
      <c r="BT297" t="s">
        <v>311</v>
      </c>
      <c r="BU297" t="s">
        <v>311</v>
      </c>
      <c r="BV297" t="s">
        <v>311</v>
      </c>
      <c r="BW297" t="s">
        <v>311</v>
      </c>
      <c r="BX297" t="s">
        <v>311</v>
      </c>
      <c r="BY297" t="s">
        <v>311</v>
      </c>
      <c r="BZ297">
        <v>1.05</v>
      </c>
      <c r="CA297">
        <v>22.1</v>
      </c>
      <c r="CB297" t="s">
        <v>1209</v>
      </c>
      <c r="CC297" t="s">
        <v>1210</v>
      </c>
      <c r="CD297" t="s">
        <v>311</v>
      </c>
      <c r="CE297" t="s">
        <v>311</v>
      </c>
      <c r="CF297" t="s">
        <v>311</v>
      </c>
      <c r="CG297" t="s">
        <v>1538</v>
      </c>
      <c r="CH297" t="s">
        <v>1537</v>
      </c>
      <c r="CI297">
        <v>0</v>
      </c>
      <c r="CJ297" s="38" t="s">
        <v>311</v>
      </c>
      <c r="CK297" s="38" t="s">
        <v>311</v>
      </c>
      <c r="CL297" s="38" t="s">
        <v>311</v>
      </c>
      <c r="CM297" s="38" t="s">
        <v>311</v>
      </c>
      <c r="CN297" s="38" t="s">
        <v>311</v>
      </c>
      <c r="CO297" s="38" t="s">
        <v>311</v>
      </c>
      <c r="CP297" s="38" t="s">
        <v>311</v>
      </c>
      <c r="CQ297" t="s">
        <v>1760</v>
      </c>
      <c r="CR297" t="s">
        <v>1532</v>
      </c>
    </row>
    <row r="298" spans="1:96">
      <c r="A298">
        <v>297</v>
      </c>
      <c r="B298">
        <v>46</v>
      </c>
      <c r="C298">
        <v>1</v>
      </c>
      <c r="D298" t="s">
        <v>1547</v>
      </c>
      <c r="E298" t="s">
        <v>1546</v>
      </c>
      <c r="F298" t="s">
        <v>32</v>
      </c>
      <c r="G298">
        <v>2012</v>
      </c>
      <c r="H298" t="s">
        <v>1549</v>
      </c>
      <c r="I298" t="s">
        <v>1548</v>
      </c>
      <c r="J298" s="20">
        <v>-41.151667000000003</v>
      </c>
      <c r="K298">
        <v>173.875</v>
      </c>
      <c r="L298" t="s">
        <v>366</v>
      </c>
      <c r="M298" t="s">
        <v>1550</v>
      </c>
      <c r="N298" t="s">
        <v>594</v>
      </c>
      <c r="O298" t="s">
        <v>288</v>
      </c>
      <c r="P298" t="s">
        <v>289</v>
      </c>
      <c r="Q298" t="s">
        <v>273</v>
      </c>
      <c r="R298" t="s">
        <v>550</v>
      </c>
      <c r="S298" t="s">
        <v>311</v>
      </c>
      <c r="T298" t="s">
        <v>330</v>
      </c>
      <c r="U298">
        <v>5</v>
      </c>
      <c r="V298" t="s">
        <v>311</v>
      </c>
      <c r="W298" t="s">
        <v>311</v>
      </c>
      <c r="X298" t="s">
        <v>292</v>
      </c>
      <c r="Y298" t="s">
        <v>1553</v>
      </c>
      <c r="Z298" t="s">
        <v>760</v>
      </c>
      <c r="AA298" t="s">
        <v>761</v>
      </c>
      <c r="AB298" t="s">
        <v>1551</v>
      </c>
      <c r="AC298" t="s">
        <v>1552</v>
      </c>
      <c r="AD298" t="s">
        <v>340</v>
      </c>
      <c r="AE298" t="s">
        <v>311</v>
      </c>
      <c r="AF298" t="s">
        <v>342</v>
      </c>
      <c r="AH298" t="s">
        <v>311</v>
      </c>
      <c r="AI298" t="s">
        <v>311</v>
      </c>
      <c r="AJ298" t="s">
        <v>311</v>
      </c>
      <c r="AK298" t="s">
        <v>564</v>
      </c>
      <c r="AL298" t="s">
        <v>1627</v>
      </c>
      <c r="AM298" t="s">
        <v>1059</v>
      </c>
      <c r="AN298" t="s">
        <v>1554</v>
      </c>
      <c r="AO298" t="s">
        <v>541</v>
      </c>
      <c r="AP298" t="s">
        <v>887</v>
      </c>
      <c r="AQ298" t="s">
        <v>887</v>
      </c>
      <c r="AR298">
        <v>297</v>
      </c>
      <c r="AS298">
        <v>48</v>
      </c>
      <c r="AT298" t="s">
        <v>311</v>
      </c>
      <c r="AU298">
        <v>4</v>
      </c>
      <c r="AV298">
        <v>89.965397923875301</v>
      </c>
      <c r="AW298">
        <v>12.370242214532695</v>
      </c>
      <c r="AX298" t="s">
        <v>311</v>
      </c>
      <c r="AY298">
        <v>4</v>
      </c>
      <c r="AZ298" t="s">
        <v>1678</v>
      </c>
      <c r="BA298" t="s">
        <v>1679</v>
      </c>
      <c r="BB298">
        <v>14</v>
      </c>
      <c r="BC298" t="s">
        <v>1672</v>
      </c>
      <c r="BD298" t="s">
        <v>311</v>
      </c>
      <c r="BE298" t="s">
        <v>1881</v>
      </c>
      <c r="BF298" t="s">
        <v>311</v>
      </c>
      <c r="BG298" t="s">
        <v>311</v>
      </c>
      <c r="BH298" t="s">
        <v>311</v>
      </c>
      <c r="BI298" t="s">
        <v>311</v>
      </c>
      <c r="BJ298" t="s">
        <v>311</v>
      </c>
      <c r="BK298" t="s">
        <v>311</v>
      </c>
      <c r="BL298" t="s">
        <v>311</v>
      </c>
      <c r="BM298" t="s">
        <v>311</v>
      </c>
      <c r="BN298" t="s">
        <v>311</v>
      </c>
      <c r="BO298" t="s">
        <v>311</v>
      </c>
      <c r="BP298" t="s">
        <v>311</v>
      </c>
      <c r="BQ298" t="s">
        <v>311</v>
      </c>
      <c r="BR298" t="s">
        <v>311</v>
      </c>
      <c r="BS298" t="s">
        <v>311</v>
      </c>
      <c r="BT298" t="s">
        <v>311</v>
      </c>
      <c r="BU298" t="s">
        <v>311</v>
      </c>
      <c r="BV298" t="s">
        <v>311</v>
      </c>
      <c r="BW298" t="s">
        <v>311</v>
      </c>
      <c r="BX298" t="s">
        <v>311</v>
      </c>
      <c r="BY298" t="s">
        <v>311</v>
      </c>
      <c r="BZ298">
        <v>1.9</v>
      </c>
      <c r="CA298">
        <v>10</v>
      </c>
      <c r="CB298" t="s">
        <v>1209</v>
      </c>
      <c r="CC298" t="s">
        <v>1210</v>
      </c>
      <c r="CD298" t="s">
        <v>311</v>
      </c>
      <c r="CE298" t="s">
        <v>311</v>
      </c>
      <c r="CF298" t="s">
        <v>311</v>
      </c>
      <c r="CG298" t="s">
        <v>1557</v>
      </c>
      <c r="CH298" t="s">
        <v>1558</v>
      </c>
      <c r="CI298">
        <v>0</v>
      </c>
      <c r="CJ298" s="38" t="s">
        <v>311</v>
      </c>
      <c r="CK298" s="38" t="s">
        <v>311</v>
      </c>
      <c r="CL298" s="38" t="s">
        <v>311</v>
      </c>
      <c r="CM298" s="38" t="s">
        <v>311</v>
      </c>
      <c r="CN298" s="38" t="s">
        <v>311</v>
      </c>
      <c r="CO298" s="38" t="s">
        <v>311</v>
      </c>
      <c r="CP298" s="38" t="s">
        <v>311</v>
      </c>
      <c r="CQ298" t="s">
        <v>1761</v>
      </c>
      <c r="CR298" t="s">
        <v>1883</v>
      </c>
    </row>
    <row r="299" spans="1:96">
      <c r="A299">
        <v>298</v>
      </c>
      <c r="B299">
        <v>46</v>
      </c>
      <c r="C299">
        <v>2</v>
      </c>
      <c r="D299" t="s">
        <v>1547</v>
      </c>
      <c r="E299" t="s">
        <v>1546</v>
      </c>
      <c r="F299" t="s">
        <v>32</v>
      </c>
      <c r="G299">
        <v>2012</v>
      </c>
      <c r="H299" t="s">
        <v>1549</v>
      </c>
      <c r="I299" t="s">
        <v>1548</v>
      </c>
      <c r="J299" s="20">
        <v>-41.151667000000003</v>
      </c>
      <c r="K299">
        <v>173.875</v>
      </c>
      <c r="L299" t="s">
        <v>366</v>
      </c>
      <c r="M299" t="s">
        <v>1550</v>
      </c>
      <c r="N299" t="s">
        <v>594</v>
      </c>
      <c r="O299" t="s">
        <v>288</v>
      </c>
      <c r="P299" t="s">
        <v>289</v>
      </c>
      <c r="Q299" t="s">
        <v>273</v>
      </c>
      <c r="R299" t="s">
        <v>550</v>
      </c>
      <c r="S299" t="s">
        <v>311</v>
      </c>
      <c r="T299" t="s">
        <v>330</v>
      </c>
      <c r="U299">
        <v>5</v>
      </c>
      <c r="V299" t="s">
        <v>311</v>
      </c>
      <c r="W299" t="s">
        <v>311</v>
      </c>
      <c r="X299" t="s">
        <v>292</v>
      </c>
      <c r="Y299" t="s">
        <v>536</v>
      </c>
      <c r="Z299" t="s">
        <v>537</v>
      </c>
      <c r="AA299" t="s">
        <v>538</v>
      </c>
      <c r="AB299" t="s">
        <v>1555</v>
      </c>
      <c r="AC299" t="s">
        <v>1556</v>
      </c>
      <c r="AD299" t="s">
        <v>340</v>
      </c>
      <c r="AE299" t="s">
        <v>311</v>
      </c>
      <c r="AF299" t="s">
        <v>342</v>
      </c>
      <c r="AH299" t="s">
        <v>311</v>
      </c>
      <c r="AI299" t="s">
        <v>311</v>
      </c>
      <c r="AJ299" t="s">
        <v>311</v>
      </c>
      <c r="AK299" t="s">
        <v>564</v>
      </c>
      <c r="AL299" t="s">
        <v>1627</v>
      </c>
      <c r="AM299" t="s">
        <v>1090</v>
      </c>
      <c r="AN299" t="s">
        <v>1554</v>
      </c>
      <c r="AO299" t="s">
        <v>541</v>
      </c>
      <c r="AP299" t="s">
        <v>887</v>
      </c>
      <c r="AQ299" t="s">
        <v>887</v>
      </c>
      <c r="AR299">
        <v>527</v>
      </c>
      <c r="AS299">
        <v>87</v>
      </c>
      <c r="AT299" t="s">
        <v>311</v>
      </c>
      <c r="AU299">
        <v>4</v>
      </c>
      <c r="AV299">
        <v>89.965397923875301</v>
      </c>
      <c r="AW299">
        <v>12.370242214532695</v>
      </c>
      <c r="AX299" t="s">
        <v>311</v>
      </c>
      <c r="AY299">
        <v>4</v>
      </c>
      <c r="AZ299" t="s">
        <v>1678</v>
      </c>
      <c r="BA299" t="s">
        <v>1679</v>
      </c>
      <c r="BB299">
        <v>14</v>
      </c>
      <c r="BC299" t="s">
        <v>1672</v>
      </c>
      <c r="BD299" t="s">
        <v>311</v>
      </c>
      <c r="BE299" t="s">
        <v>1881</v>
      </c>
      <c r="BF299" t="s">
        <v>311</v>
      </c>
      <c r="BG299" t="s">
        <v>311</v>
      </c>
      <c r="BH299" t="s">
        <v>311</v>
      </c>
      <c r="BI299" t="s">
        <v>311</v>
      </c>
      <c r="BJ299" t="s">
        <v>311</v>
      </c>
      <c r="BK299" t="s">
        <v>311</v>
      </c>
      <c r="BL299" t="s">
        <v>311</v>
      </c>
      <c r="BM299" t="s">
        <v>311</v>
      </c>
      <c r="BN299" t="s">
        <v>311</v>
      </c>
      <c r="BO299" t="s">
        <v>311</v>
      </c>
      <c r="BP299" t="s">
        <v>311</v>
      </c>
      <c r="BQ299" t="s">
        <v>311</v>
      </c>
      <c r="BR299" t="s">
        <v>311</v>
      </c>
      <c r="BS299" t="s">
        <v>311</v>
      </c>
      <c r="BT299" t="s">
        <v>311</v>
      </c>
      <c r="BU299" t="s">
        <v>311</v>
      </c>
      <c r="BV299" t="s">
        <v>311</v>
      </c>
      <c r="BW299" t="s">
        <v>311</v>
      </c>
      <c r="BX299" t="s">
        <v>311</v>
      </c>
      <c r="BY299" t="s">
        <v>311</v>
      </c>
      <c r="BZ299">
        <v>1.9</v>
      </c>
      <c r="CA299">
        <v>10</v>
      </c>
      <c r="CB299" t="s">
        <v>1209</v>
      </c>
      <c r="CC299" t="s">
        <v>1210</v>
      </c>
      <c r="CD299" t="s">
        <v>311</v>
      </c>
      <c r="CE299" t="s">
        <v>311</v>
      </c>
      <c r="CF299" t="s">
        <v>311</v>
      </c>
      <c r="CG299" t="s">
        <v>1557</v>
      </c>
      <c r="CH299" t="s">
        <v>1558</v>
      </c>
      <c r="CI299">
        <v>0</v>
      </c>
      <c r="CJ299" s="38" t="s">
        <v>311</v>
      </c>
      <c r="CK299" s="38" t="s">
        <v>311</v>
      </c>
      <c r="CL299" s="38" t="s">
        <v>311</v>
      </c>
      <c r="CM299" s="38" t="s">
        <v>311</v>
      </c>
      <c r="CN299" s="38" t="s">
        <v>311</v>
      </c>
      <c r="CO299" s="38" t="s">
        <v>311</v>
      </c>
      <c r="CP299" s="38" t="s">
        <v>311</v>
      </c>
      <c r="CQ299" t="s">
        <v>1761</v>
      </c>
      <c r="CR299" t="s">
        <v>1628</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F56E-43DC-2A49-B206-177366BE8A02}">
  <dimension ref="A2:CO5"/>
  <sheetViews>
    <sheetView workbookViewId="0">
      <selection activeCell="A5" sqref="A5:XFD5"/>
    </sheetView>
  </sheetViews>
  <sheetFormatPr baseColWidth="10" defaultRowHeight="16"/>
  <sheetData>
    <row r="2" spans="1:93" s="12" customFormat="1">
      <c r="A2" s="12">
        <v>12</v>
      </c>
      <c r="B2" s="12">
        <v>3</v>
      </c>
      <c r="C2" s="12">
        <v>13</v>
      </c>
      <c r="D2" s="12" t="s">
        <v>30</v>
      </c>
      <c r="E2" s="12" t="s">
        <v>31</v>
      </c>
      <c r="F2" s="12" t="s">
        <v>32</v>
      </c>
      <c r="G2" s="12">
        <v>2018</v>
      </c>
      <c r="H2" s="12" t="s">
        <v>413</v>
      </c>
      <c r="I2" s="12" t="s">
        <v>414</v>
      </c>
      <c r="J2" s="12">
        <v>-14.683332999999999</v>
      </c>
      <c r="K2" s="12">
        <v>145.44999999999999</v>
      </c>
      <c r="L2" s="12" t="s">
        <v>370</v>
      </c>
      <c r="M2" s="12" t="s">
        <v>371</v>
      </c>
      <c r="N2" s="12" t="s">
        <v>594</v>
      </c>
      <c r="O2" s="12" t="s">
        <v>288</v>
      </c>
      <c r="P2" s="12" t="s">
        <v>289</v>
      </c>
      <c r="Q2" s="12" t="s">
        <v>291</v>
      </c>
      <c r="R2" s="12" t="s">
        <v>327</v>
      </c>
      <c r="S2" s="12" t="s">
        <v>717</v>
      </c>
      <c r="T2" s="12" t="s">
        <v>330</v>
      </c>
      <c r="U2" s="12">
        <v>5</v>
      </c>
      <c r="V2" s="12" t="s">
        <v>535</v>
      </c>
      <c r="W2" s="12">
        <v>2015</v>
      </c>
      <c r="X2" s="12" t="s">
        <v>292</v>
      </c>
      <c r="Y2" s="12" t="s">
        <v>696</v>
      </c>
      <c r="Z2" s="12" t="s">
        <v>302</v>
      </c>
      <c r="AA2" s="12" t="s">
        <v>303</v>
      </c>
      <c r="AB2" s="12" t="s">
        <v>770</v>
      </c>
      <c r="AC2" s="12" t="s">
        <v>771</v>
      </c>
      <c r="AD2" s="12" t="s">
        <v>292</v>
      </c>
      <c r="AE2" s="12" t="s">
        <v>657</v>
      </c>
      <c r="AF2" s="12" t="s">
        <v>304</v>
      </c>
      <c r="AG2" s="12" t="s">
        <v>305</v>
      </c>
      <c r="AH2" s="12" t="s">
        <v>655</v>
      </c>
      <c r="AI2" s="12" t="s">
        <v>772</v>
      </c>
      <c r="AJ2" s="12" t="s">
        <v>1667</v>
      </c>
      <c r="AK2" s="12" t="s">
        <v>357</v>
      </c>
      <c r="AL2" s="12" t="s">
        <v>1059</v>
      </c>
      <c r="AM2" s="12" t="s">
        <v>1276</v>
      </c>
      <c r="AN2" s="12" t="s">
        <v>606</v>
      </c>
      <c r="AO2" s="12" t="s">
        <v>887</v>
      </c>
      <c r="AP2" s="12" t="s">
        <v>614</v>
      </c>
      <c r="AQ2" s="12">
        <v>0.46076233183856502</v>
      </c>
      <c r="AR2" s="12">
        <v>6.0538116591927926E-2</v>
      </c>
      <c r="AS2" s="12" t="s">
        <v>311</v>
      </c>
      <c r="AT2" s="12">
        <v>9</v>
      </c>
      <c r="AU2" s="12">
        <v>0.55493273542600896</v>
      </c>
      <c r="AV2" s="12">
        <v>9.0807174887892028E-2</v>
      </c>
      <c r="AW2" s="12" t="s">
        <v>311</v>
      </c>
      <c r="AX2" s="12">
        <v>9</v>
      </c>
      <c r="AY2" s="12" t="s">
        <v>1055</v>
      </c>
      <c r="AZ2" s="12" t="s">
        <v>1679</v>
      </c>
      <c r="BA2" s="12">
        <v>36</v>
      </c>
      <c r="BB2" s="12" t="s">
        <v>1673</v>
      </c>
      <c r="BC2" s="12" t="s">
        <v>1764</v>
      </c>
      <c r="BE2" s="12" t="s">
        <v>1864</v>
      </c>
      <c r="BL2" s="12" t="s">
        <v>311</v>
      </c>
      <c r="BM2" s="12" t="s">
        <v>311</v>
      </c>
      <c r="BN2" s="12" t="s">
        <v>311</v>
      </c>
      <c r="BO2" s="12" t="s">
        <v>311</v>
      </c>
      <c r="BP2" s="12" t="s">
        <v>311</v>
      </c>
      <c r="BQ2" s="12" t="s">
        <v>311</v>
      </c>
      <c r="BR2" s="12" t="s">
        <v>311</v>
      </c>
      <c r="BS2" s="12" t="s">
        <v>311</v>
      </c>
      <c r="BT2" s="12" t="s">
        <v>311</v>
      </c>
      <c r="BU2" s="12" t="s">
        <v>311</v>
      </c>
      <c r="BV2" s="12" t="s">
        <v>311</v>
      </c>
      <c r="BW2" s="12" t="s">
        <v>311</v>
      </c>
      <c r="BX2" s="12" t="s">
        <v>311</v>
      </c>
      <c r="BY2" s="12" t="s">
        <v>311</v>
      </c>
      <c r="BZ2" s="12" t="s">
        <v>311</v>
      </c>
      <c r="CA2" s="12" t="s">
        <v>311</v>
      </c>
      <c r="CB2" s="12" t="s">
        <v>311</v>
      </c>
      <c r="CC2" s="12" t="s">
        <v>311</v>
      </c>
      <c r="CD2" s="12" t="s">
        <v>311</v>
      </c>
      <c r="CE2" s="12" t="s">
        <v>311</v>
      </c>
      <c r="CF2" s="12">
        <v>0.08</v>
      </c>
      <c r="CG2" s="12">
        <v>25</v>
      </c>
      <c r="CH2" s="12" t="s">
        <v>1209</v>
      </c>
      <c r="CI2" s="12" t="s">
        <v>1210</v>
      </c>
      <c r="CJ2" s="12" t="s">
        <v>311</v>
      </c>
      <c r="CK2" s="12" t="s">
        <v>311</v>
      </c>
      <c r="CL2" s="12" t="s">
        <v>311</v>
      </c>
      <c r="CM2" s="12" t="s">
        <v>1237</v>
      </c>
      <c r="CN2" s="12">
        <v>1983</v>
      </c>
      <c r="CO2" s="12">
        <v>0</v>
      </c>
    </row>
    <row r="3" spans="1:93" s="13" customFormat="1">
      <c r="A3" s="13">
        <v>31</v>
      </c>
      <c r="B3" s="13">
        <v>9</v>
      </c>
      <c r="C3" s="13">
        <v>2</v>
      </c>
      <c r="D3" s="13" t="s">
        <v>63</v>
      </c>
      <c r="E3" s="13" t="s">
        <v>64</v>
      </c>
      <c r="F3" s="13" t="s">
        <v>32</v>
      </c>
      <c r="G3" s="13">
        <v>2016</v>
      </c>
      <c r="H3" s="13" t="s">
        <v>1238</v>
      </c>
      <c r="I3" s="13" t="s">
        <v>1239</v>
      </c>
      <c r="J3" s="13">
        <v>47.430833</v>
      </c>
      <c r="K3" s="13">
        <v>-61.816082999999999</v>
      </c>
      <c r="L3" s="13" t="s">
        <v>362</v>
      </c>
      <c r="M3" s="13" t="s">
        <v>363</v>
      </c>
      <c r="N3" s="13" t="s">
        <v>531</v>
      </c>
      <c r="O3" s="13" t="s">
        <v>532</v>
      </c>
      <c r="P3" s="13" t="s">
        <v>693</v>
      </c>
      <c r="Q3" s="13" t="s">
        <v>333</v>
      </c>
      <c r="R3" s="13" t="s">
        <v>327</v>
      </c>
      <c r="S3" s="13" t="s">
        <v>534</v>
      </c>
      <c r="T3" s="13" t="s">
        <v>331</v>
      </c>
      <c r="U3" s="13">
        <v>3</v>
      </c>
      <c r="V3" s="13" t="s">
        <v>535</v>
      </c>
      <c r="W3" s="13">
        <v>2010</v>
      </c>
      <c r="X3" s="13" t="s">
        <v>292</v>
      </c>
      <c r="Y3" s="13" t="s">
        <v>536</v>
      </c>
      <c r="Z3" s="13" t="s">
        <v>537</v>
      </c>
      <c r="AA3" s="13" t="s">
        <v>538</v>
      </c>
      <c r="AB3" s="13" t="s">
        <v>539</v>
      </c>
      <c r="AC3" s="13" t="s">
        <v>540</v>
      </c>
      <c r="AD3" s="13" t="s">
        <v>340</v>
      </c>
      <c r="AE3" s="13" t="s">
        <v>311</v>
      </c>
      <c r="AF3" s="13" t="s">
        <v>342</v>
      </c>
      <c r="AG3" s="13" t="s">
        <v>311</v>
      </c>
      <c r="AH3" s="13" t="s">
        <v>311</v>
      </c>
      <c r="AI3" s="13" t="s">
        <v>311</v>
      </c>
      <c r="AJ3" s="13" t="s">
        <v>542</v>
      </c>
      <c r="AK3" s="13" t="s">
        <v>542</v>
      </c>
      <c r="AL3" s="13" t="s">
        <v>1059</v>
      </c>
      <c r="AM3" s="13" t="s">
        <v>1280</v>
      </c>
      <c r="AN3" s="13" t="s">
        <v>541</v>
      </c>
      <c r="AO3" s="13" t="s">
        <v>887</v>
      </c>
      <c r="AP3" s="13" t="s">
        <v>614</v>
      </c>
      <c r="AQ3" s="13">
        <v>5.2</v>
      </c>
      <c r="AR3" s="13" t="s">
        <v>311</v>
      </c>
      <c r="AS3" s="13">
        <v>1.58</v>
      </c>
      <c r="AT3" s="13">
        <v>12</v>
      </c>
      <c r="AU3" s="13">
        <v>6</v>
      </c>
      <c r="AV3" s="13" t="s">
        <v>311</v>
      </c>
      <c r="AW3" s="13">
        <v>1.26</v>
      </c>
      <c r="AX3" s="13">
        <v>12</v>
      </c>
      <c r="AY3" s="13" t="s">
        <v>1678</v>
      </c>
      <c r="AZ3" s="13" t="s">
        <v>1679</v>
      </c>
      <c r="BA3" s="13">
        <v>5</v>
      </c>
      <c r="BB3" s="13" t="s">
        <v>1672</v>
      </c>
      <c r="BC3" s="13" t="s">
        <v>311</v>
      </c>
      <c r="BD3" s="13" t="s">
        <v>1798</v>
      </c>
      <c r="BE3" s="13" t="s">
        <v>1567</v>
      </c>
      <c r="BL3" s="13">
        <v>8.3000000000000007</v>
      </c>
      <c r="BM3" s="13">
        <v>2.1106436616981719</v>
      </c>
      <c r="BN3" s="13">
        <v>2</v>
      </c>
      <c r="BO3" s="13">
        <v>0.55521767503085384</v>
      </c>
      <c r="BP3" s="13" t="s">
        <v>311</v>
      </c>
      <c r="BQ3" s="13" t="s">
        <v>311</v>
      </c>
      <c r="BR3" s="13" t="s">
        <v>311</v>
      </c>
      <c r="BS3" s="13" t="s">
        <v>311</v>
      </c>
      <c r="BT3" s="13">
        <v>6</v>
      </c>
      <c r="BU3" s="13">
        <v>6</v>
      </c>
      <c r="BV3" s="13" t="s">
        <v>311</v>
      </c>
      <c r="BW3" s="13" t="s">
        <v>311</v>
      </c>
      <c r="BX3" s="13" t="s">
        <v>311</v>
      </c>
      <c r="BY3" s="13" t="s">
        <v>311</v>
      </c>
      <c r="BZ3" s="13">
        <v>1.2</v>
      </c>
      <c r="CA3" s="13">
        <v>0.08</v>
      </c>
      <c r="CB3" s="13">
        <v>1</v>
      </c>
      <c r="CC3" s="13">
        <v>6.6666666666666652E-2</v>
      </c>
      <c r="CD3" s="13" t="s">
        <v>1126</v>
      </c>
      <c r="CE3" s="13" t="s">
        <v>1203</v>
      </c>
      <c r="CF3" s="13">
        <v>2.9</v>
      </c>
      <c r="CG3" s="13">
        <v>19.458930899999999</v>
      </c>
      <c r="CH3" s="13" t="s">
        <v>1210</v>
      </c>
      <c r="CI3" s="13" t="s">
        <v>1209</v>
      </c>
      <c r="CJ3" s="13" t="s">
        <v>1226</v>
      </c>
      <c r="CK3" s="13" t="s">
        <v>844</v>
      </c>
      <c r="CL3" s="13">
        <v>0</v>
      </c>
      <c r="CM3" s="13" t="s">
        <v>311</v>
      </c>
      <c r="CN3" s="13" t="s">
        <v>311</v>
      </c>
      <c r="CO3" s="13" t="s">
        <v>311</v>
      </c>
    </row>
    <row r="4" spans="1:93" s="13" customFormat="1">
      <c r="A4" s="13">
        <v>31</v>
      </c>
      <c r="B4" s="13">
        <v>9</v>
      </c>
      <c r="C4" s="13">
        <v>8</v>
      </c>
      <c r="D4" s="13" t="s">
        <v>63</v>
      </c>
      <c r="E4" s="13" t="s">
        <v>64</v>
      </c>
      <c r="F4" s="13" t="s">
        <v>32</v>
      </c>
      <c r="G4" s="13">
        <v>2016</v>
      </c>
      <c r="H4" s="13" t="s">
        <v>1238</v>
      </c>
      <c r="I4" s="13" t="s">
        <v>1239</v>
      </c>
      <c r="J4" s="13">
        <v>47.430833</v>
      </c>
      <c r="K4" s="13">
        <v>-61.816082999999999</v>
      </c>
      <c r="L4" s="13" t="s">
        <v>362</v>
      </c>
      <c r="M4" s="13" t="s">
        <v>363</v>
      </c>
      <c r="N4" s="13" t="s">
        <v>531</v>
      </c>
      <c r="O4" s="13" t="s">
        <v>532</v>
      </c>
      <c r="P4" s="13" t="s">
        <v>693</v>
      </c>
      <c r="Q4" s="13" t="s">
        <v>333</v>
      </c>
      <c r="R4" s="13" t="s">
        <v>327</v>
      </c>
      <c r="S4" s="13" t="s">
        <v>534</v>
      </c>
      <c r="T4" s="13" t="s">
        <v>331</v>
      </c>
      <c r="U4" s="13">
        <v>3</v>
      </c>
      <c r="V4" s="13" t="s">
        <v>535</v>
      </c>
      <c r="W4" s="13">
        <v>2010</v>
      </c>
      <c r="X4" s="13" t="s">
        <v>292</v>
      </c>
      <c r="Y4" s="13" t="s">
        <v>536</v>
      </c>
      <c r="Z4" s="13" t="s">
        <v>537</v>
      </c>
      <c r="AA4" s="13" t="s">
        <v>538</v>
      </c>
      <c r="AB4" s="13" t="s">
        <v>539</v>
      </c>
      <c r="AC4" s="13" t="s">
        <v>540</v>
      </c>
      <c r="AD4" s="13" t="s">
        <v>340</v>
      </c>
      <c r="AE4" s="13" t="s">
        <v>311</v>
      </c>
      <c r="AF4" s="13" t="s">
        <v>342</v>
      </c>
      <c r="AG4" s="13" t="s">
        <v>311</v>
      </c>
      <c r="AH4" s="13" t="s">
        <v>311</v>
      </c>
      <c r="AI4" s="13" t="s">
        <v>311</v>
      </c>
      <c r="AJ4" s="13" t="s">
        <v>542</v>
      </c>
      <c r="AK4" s="13" t="s">
        <v>542</v>
      </c>
      <c r="AL4" s="13" t="s">
        <v>1059</v>
      </c>
      <c r="AM4" s="13" t="s">
        <v>584</v>
      </c>
      <c r="AN4" s="13" t="s">
        <v>345</v>
      </c>
      <c r="AO4" s="13" t="s">
        <v>887</v>
      </c>
      <c r="AP4" s="13" t="s">
        <v>614</v>
      </c>
      <c r="AQ4" s="13">
        <v>240000</v>
      </c>
      <c r="AR4" s="13" t="s">
        <v>311</v>
      </c>
      <c r="AS4" s="13">
        <v>57000</v>
      </c>
      <c r="AT4" s="13">
        <v>12</v>
      </c>
      <c r="AU4" s="13">
        <v>220000</v>
      </c>
      <c r="AV4" s="13" t="s">
        <v>311</v>
      </c>
      <c r="AW4" s="13">
        <v>32000</v>
      </c>
      <c r="AX4" s="13">
        <v>12</v>
      </c>
      <c r="AY4" s="13" t="s">
        <v>1677</v>
      </c>
      <c r="AZ4" s="13" t="s">
        <v>1679</v>
      </c>
      <c r="BA4" s="13">
        <v>5</v>
      </c>
      <c r="BB4" s="13" t="s">
        <v>1672</v>
      </c>
      <c r="BC4" s="13" t="s">
        <v>311</v>
      </c>
      <c r="BD4" s="13" t="s">
        <v>1798</v>
      </c>
      <c r="BE4" s="13" t="s">
        <v>1780</v>
      </c>
      <c r="BL4" s="13">
        <v>8.3000000000000007</v>
      </c>
      <c r="BM4" s="13">
        <v>2.1106436616981719</v>
      </c>
      <c r="BN4" s="13">
        <v>2</v>
      </c>
      <c r="BO4" s="13">
        <v>0.55521767503085384</v>
      </c>
      <c r="BP4" s="13" t="s">
        <v>311</v>
      </c>
      <c r="BQ4" s="13" t="s">
        <v>311</v>
      </c>
      <c r="BR4" s="13" t="s">
        <v>311</v>
      </c>
      <c r="BS4" s="13" t="s">
        <v>311</v>
      </c>
      <c r="BT4" s="13">
        <v>6</v>
      </c>
      <c r="BU4" s="13">
        <v>6</v>
      </c>
      <c r="BV4" s="13" t="s">
        <v>311</v>
      </c>
      <c r="BW4" s="13" t="s">
        <v>311</v>
      </c>
      <c r="BX4" s="13" t="s">
        <v>311</v>
      </c>
      <c r="BY4" s="13" t="s">
        <v>311</v>
      </c>
      <c r="BZ4" s="13">
        <v>1.2</v>
      </c>
      <c r="CA4" s="13">
        <v>0.08</v>
      </c>
      <c r="CB4" s="13">
        <v>1</v>
      </c>
      <c r="CC4" s="13">
        <v>6.6666666666666652E-2</v>
      </c>
      <c r="CD4" s="13" t="s">
        <v>1126</v>
      </c>
      <c r="CE4" s="13" t="s">
        <v>1203</v>
      </c>
      <c r="CF4" s="13">
        <v>2.9</v>
      </c>
      <c r="CG4" s="13">
        <v>19.458930899999999</v>
      </c>
      <c r="CH4" s="13" t="s">
        <v>1210</v>
      </c>
      <c r="CI4" s="13" t="s">
        <v>1209</v>
      </c>
      <c r="CJ4" s="13" t="s">
        <v>1226</v>
      </c>
      <c r="CK4" s="13" t="s">
        <v>844</v>
      </c>
      <c r="CL4" s="13">
        <v>0</v>
      </c>
      <c r="CM4" s="13" t="s">
        <v>311</v>
      </c>
      <c r="CN4" s="13" t="s">
        <v>311</v>
      </c>
      <c r="CO4" s="13" t="s">
        <v>311</v>
      </c>
    </row>
    <row r="5" spans="1:93" s="13" customFormat="1">
      <c r="A5" s="13">
        <v>20</v>
      </c>
      <c r="B5" s="13">
        <v>7</v>
      </c>
      <c r="C5" s="13">
        <v>1</v>
      </c>
      <c r="D5" s="13" t="s">
        <v>57</v>
      </c>
      <c r="E5" s="13" t="s">
        <v>58</v>
      </c>
      <c r="F5" s="13" t="s">
        <v>59</v>
      </c>
      <c r="G5" s="13">
        <v>2016</v>
      </c>
      <c r="H5" s="13" t="s">
        <v>432</v>
      </c>
      <c r="I5" s="35" t="s">
        <v>433</v>
      </c>
      <c r="J5" s="13">
        <v>30.279878</v>
      </c>
      <c r="K5" s="13">
        <v>-115.913456</v>
      </c>
      <c r="L5" s="13" t="s">
        <v>359</v>
      </c>
      <c r="M5" s="13" t="s">
        <v>434</v>
      </c>
      <c r="N5" s="13" t="s">
        <v>531</v>
      </c>
      <c r="O5" s="13" t="s">
        <v>288</v>
      </c>
      <c r="P5" s="13" t="s">
        <v>1435</v>
      </c>
      <c r="Q5" s="13" t="s">
        <v>419</v>
      </c>
      <c r="R5" s="13" t="s">
        <v>550</v>
      </c>
      <c r="S5" s="13" t="s">
        <v>717</v>
      </c>
      <c r="T5" s="13" t="s">
        <v>331</v>
      </c>
      <c r="U5" s="13">
        <v>3</v>
      </c>
      <c r="V5" s="13" t="s">
        <v>559</v>
      </c>
      <c r="W5" s="13">
        <v>2015</v>
      </c>
      <c r="X5" s="13" t="s">
        <v>292</v>
      </c>
      <c r="Y5" s="13" t="s">
        <v>617</v>
      </c>
      <c r="Z5" s="13" t="s">
        <v>537</v>
      </c>
      <c r="AA5" s="13" t="s">
        <v>538</v>
      </c>
      <c r="AB5" s="13" t="s">
        <v>615</v>
      </c>
      <c r="AC5" s="13" t="s">
        <v>616</v>
      </c>
      <c r="AD5" s="13" t="s">
        <v>292</v>
      </c>
      <c r="AE5" s="13" t="s">
        <v>618</v>
      </c>
      <c r="AF5" s="13" t="s">
        <v>552</v>
      </c>
      <c r="AG5" s="13" t="s">
        <v>555</v>
      </c>
      <c r="AH5" s="13" t="s">
        <v>619</v>
      </c>
      <c r="AI5" s="13" t="s">
        <v>620</v>
      </c>
      <c r="AJ5" s="13" t="s">
        <v>621</v>
      </c>
      <c r="AK5" s="13" t="s">
        <v>357</v>
      </c>
      <c r="AL5" s="13" t="s">
        <v>1059</v>
      </c>
      <c r="AM5" s="13" t="s">
        <v>1277</v>
      </c>
      <c r="AN5" s="13" t="s">
        <v>1284</v>
      </c>
      <c r="AO5" s="13" t="s">
        <v>887</v>
      </c>
      <c r="AP5" s="13" t="s">
        <v>887</v>
      </c>
      <c r="AQ5" s="13">
        <v>1071.6831683168291</v>
      </c>
      <c r="AR5" s="13">
        <v>33.717777808437795</v>
      </c>
      <c r="AS5" s="13" t="s">
        <v>311</v>
      </c>
      <c r="AT5" s="13">
        <v>4</v>
      </c>
      <c r="AU5" s="13">
        <v>842.37623762375893</v>
      </c>
      <c r="AV5" s="13">
        <v>30.260607110755569</v>
      </c>
      <c r="AW5" s="13" t="s">
        <v>311</v>
      </c>
      <c r="AX5" s="13">
        <v>4</v>
      </c>
      <c r="AY5" s="13" t="s">
        <v>1678</v>
      </c>
      <c r="AZ5" s="13" t="s">
        <v>1680</v>
      </c>
      <c r="BA5" s="13">
        <v>0.25</v>
      </c>
      <c r="BB5" s="13" t="s">
        <v>1672</v>
      </c>
      <c r="BC5" s="13" t="s">
        <v>311</v>
      </c>
      <c r="BD5" s="13" t="s">
        <v>1774</v>
      </c>
      <c r="BE5" s="13" t="s">
        <v>1185</v>
      </c>
      <c r="BL5" s="13">
        <v>1.6</v>
      </c>
      <c r="BM5" s="13">
        <v>0.3</v>
      </c>
      <c r="BN5" s="13">
        <v>0.6</v>
      </c>
      <c r="BO5" s="13">
        <v>0.2</v>
      </c>
      <c r="BP5" s="13">
        <v>0.49</v>
      </c>
      <c r="BQ5" s="13">
        <v>0.1</v>
      </c>
      <c r="BR5" s="13">
        <v>0.47</v>
      </c>
      <c r="BS5" s="13">
        <v>0.1</v>
      </c>
      <c r="BT5" s="13">
        <v>6</v>
      </c>
      <c r="BU5" s="13">
        <v>6</v>
      </c>
      <c r="BV5" s="13">
        <v>192</v>
      </c>
      <c r="BW5" s="13">
        <v>16</v>
      </c>
      <c r="BX5" s="13">
        <v>422</v>
      </c>
      <c r="BY5" s="13">
        <v>31</v>
      </c>
      <c r="BZ5" s="13" t="s">
        <v>311</v>
      </c>
      <c r="CA5" s="13" t="s">
        <v>311</v>
      </c>
      <c r="CB5" s="13" t="s">
        <v>311</v>
      </c>
      <c r="CC5" s="13" t="s">
        <v>311</v>
      </c>
      <c r="CD5" s="13" t="s">
        <v>1126</v>
      </c>
      <c r="CE5" s="13" t="s">
        <v>1203</v>
      </c>
      <c r="CF5" s="13">
        <v>1.0699999999999998</v>
      </c>
      <c r="CG5" s="13">
        <v>18</v>
      </c>
      <c r="CH5" s="13" t="s">
        <v>1209</v>
      </c>
      <c r="CI5" s="13" t="s">
        <v>1209</v>
      </c>
      <c r="CJ5" s="13" t="s">
        <v>311</v>
      </c>
      <c r="CK5" s="13" t="s">
        <v>311</v>
      </c>
      <c r="CL5" s="13" t="s">
        <v>311</v>
      </c>
      <c r="CM5" s="13" t="s">
        <v>311</v>
      </c>
      <c r="CN5" s="13" t="s">
        <v>311</v>
      </c>
      <c r="CO5" s="13"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BBD6-86D3-A649-93C6-E1B7FD833629}">
  <dimension ref="A1:CB28"/>
  <sheetViews>
    <sheetView workbookViewId="0">
      <selection activeCell="E31" sqref="E31"/>
    </sheetView>
  </sheetViews>
  <sheetFormatPr baseColWidth="10" defaultRowHeight="16"/>
  <cols>
    <col min="38" max="38" width="18.6640625" bestFit="1" customWidth="1"/>
  </cols>
  <sheetData>
    <row r="1" spans="1:49">
      <c r="A1" t="s">
        <v>839</v>
      </c>
      <c r="B1" t="s">
        <v>0</v>
      </c>
      <c r="C1" t="s">
        <v>1</v>
      </c>
      <c r="D1" t="s">
        <v>11</v>
      </c>
      <c r="E1" t="s">
        <v>2</v>
      </c>
      <c r="F1" t="s">
        <v>4</v>
      </c>
      <c r="G1" t="s">
        <v>3</v>
      </c>
      <c r="H1" t="s">
        <v>279</v>
      </c>
      <c r="I1" t="s">
        <v>280</v>
      </c>
      <c r="J1" t="s">
        <v>283</v>
      </c>
      <c r="K1" t="s">
        <v>284</v>
      </c>
      <c r="L1" t="s">
        <v>6</v>
      </c>
      <c r="M1" t="s">
        <v>268</v>
      </c>
      <c r="N1" t="s">
        <v>350</v>
      </c>
      <c r="O1" t="s">
        <v>285</v>
      </c>
      <c r="P1" t="s">
        <v>286</v>
      </c>
      <c r="Q1" t="s">
        <v>5</v>
      </c>
      <c r="R1" t="s">
        <v>326</v>
      </c>
      <c r="S1" t="s">
        <v>533</v>
      </c>
      <c r="T1" t="s">
        <v>329</v>
      </c>
      <c r="U1" t="s">
        <v>351</v>
      </c>
      <c r="V1" t="s">
        <v>528</v>
      </c>
      <c r="W1" t="s">
        <v>308</v>
      </c>
      <c r="X1" t="s">
        <v>529</v>
      </c>
      <c r="Y1" t="s">
        <v>274</v>
      </c>
      <c r="Z1" t="s">
        <v>275</v>
      </c>
      <c r="AA1" t="s">
        <v>276</v>
      </c>
      <c r="AB1" t="s">
        <v>277</v>
      </c>
      <c r="AC1" t="s">
        <v>312</v>
      </c>
      <c r="AD1" t="s">
        <v>569</v>
      </c>
      <c r="AE1" t="s">
        <v>7</v>
      </c>
      <c r="AF1" t="s">
        <v>8</v>
      </c>
      <c r="AG1" t="s">
        <v>9</v>
      </c>
      <c r="AH1" t="s">
        <v>278</v>
      </c>
      <c r="AI1" t="s">
        <v>287</v>
      </c>
      <c r="AJ1" t="s">
        <v>356</v>
      </c>
      <c r="AK1" t="s">
        <v>352</v>
      </c>
      <c r="AL1" t="s">
        <v>313</v>
      </c>
      <c r="AM1" t="s">
        <v>353</v>
      </c>
      <c r="AN1" t="s">
        <v>315</v>
      </c>
      <c r="AO1" t="s">
        <v>318</v>
      </c>
      <c r="AP1" t="s">
        <v>543</v>
      </c>
      <c r="AQ1" t="s">
        <v>355</v>
      </c>
      <c r="AR1" t="s">
        <v>316</v>
      </c>
      <c r="AS1" t="s">
        <v>319</v>
      </c>
      <c r="AT1" t="s">
        <v>544</v>
      </c>
      <c r="AU1" t="s">
        <v>354</v>
      </c>
      <c r="AW1" t="s">
        <v>10</v>
      </c>
    </row>
    <row r="2" spans="1:49">
      <c r="A2" t="s">
        <v>840</v>
      </c>
      <c r="B2">
        <v>1</v>
      </c>
      <c r="C2">
        <v>1</v>
      </c>
      <c r="D2" t="s">
        <v>18</v>
      </c>
      <c r="E2" t="s">
        <v>19</v>
      </c>
      <c r="F2" t="s">
        <v>20</v>
      </c>
      <c r="G2">
        <v>2019</v>
      </c>
      <c r="H2" t="s">
        <v>412</v>
      </c>
      <c r="I2" t="s">
        <v>411</v>
      </c>
      <c r="J2">
        <v>-5.8333329999999997</v>
      </c>
      <c r="K2">
        <v>72</v>
      </c>
      <c r="L2" t="s">
        <v>376</v>
      </c>
      <c r="M2" t="s">
        <v>375</v>
      </c>
      <c r="N2" t="s">
        <v>593</v>
      </c>
      <c r="O2" t="s">
        <v>556</v>
      </c>
      <c r="P2" t="s">
        <v>557</v>
      </c>
      <c r="Q2" t="s">
        <v>291</v>
      </c>
      <c r="R2" t="s">
        <v>558</v>
      </c>
      <c r="S2" t="s">
        <v>311</v>
      </c>
      <c r="T2" t="s">
        <v>331</v>
      </c>
      <c r="U2" t="s">
        <v>559</v>
      </c>
      <c r="V2" s="4" t="s">
        <v>595</v>
      </c>
      <c r="W2" t="s">
        <v>340</v>
      </c>
      <c r="X2" t="s">
        <v>311</v>
      </c>
      <c r="Y2" t="s">
        <v>563</v>
      </c>
      <c r="Z2" t="s">
        <v>303</v>
      </c>
      <c r="AA2" t="s">
        <v>311</v>
      </c>
      <c r="AB2" t="s">
        <v>311</v>
      </c>
      <c r="AC2" t="s">
        <v>340</v>
      </c>
      <c r="AD2" t="s">
        <v>311</v>
      </c>
      <c r="AE2" t="s">
        <v>304</v>
      </c>
      <c r="AF2" t="s">
        <v>305</v>
      </c>
      <c r="AG2" t="s">
        <v>311</v>
      </c>
      <c r="AH2" t="s">
        <v>311</v>
      </c>
      <c r="AI2" t="s">
        <v>564</v>
      </c>
      <c r="AJ2" t="s">
        <v>357</v>
      </c>
      <c r="AK2" t="s">
        <v>637</v>
      </c>
      <c r="AL2" t="s">
        <v>565</v>
      </c>
      <c r="AM2" t="s">
        <v>311</v>
      </c>
      <c r="AN2">
        <v>-10.103626943005203</v>
      </c>
      <c r="AO2">
        <v>5.8202005886577881</v>
      </c>
      <c r="AP2" t="s">
        <v>311</v>
      </c>
      <c r="AQ2">
        <v>5</v>
      </c>
      <c r="AR2">
        <v>-7.3056994818653003</v>
      </c>
      <c r="AS2">
        <v>4.663212435233139</v>
      </c>
      <c r="AT2" t="s">
        <v>311</v>
      </c>
      <c r="AU2">
        <v>5</v>
      </c>
      <c r="AW2" t="s">
        <v>588</v>
      </c>
    </row>
    <row r="3" spans="1:49">
      <c r="A3" t="s">
        <v>840</v>
      </c>
      <c r="B3">
        <v>1</v>
      </c>
      <c r="C3">
        <v>2</v>
      </c>
      <c r="D3" t="s">
        <v>18</v>
      </c>
      <c r="E3" t="s">
        <v>19</v>
      </c>
      <c r="F3" t="s">
        <v>20</v>
      </c>
      <c r="G3">
        <v>2019</v>
      </c>
      <c r="H3" t="s">
        <v>412</v>
      </c>
      <c r="I3" t="s">
        <v>411</v>
      </c>
      <c r="J3">
        <v>-5.8333329999999997</v>
      </c>
      <c r="K3">
        <v>72</v>
      </c>
      <c r="L3" t="s">
        <v>376</v>
      </c>
      <c r="M3" t="s">
        <v>375</v>
      </c>
      <c r="N3" t="s">
        <v>593</v>
      </c>
      <c r="O3" t="s">
        <v>556</v>
      </c>
      <c r="P3" t="s">
        <v>557</v>
      </c>
      <c r="Q3" t="s">
        <v>291</v>
      </c>
      <c r="R3" t="s">
        <v>558</v>
      </c>
      <c r="S3" t="s">
        <v>311</v>
      </c>
      <c r="T3" t="s">
        <v>331</v>
      </c>
      <c r="U3" t="s">
        <v>559</v>
      </c>
      <c r="V3" s="4" t="s">
        <v>595</v>
      </c>
      <c r="W3" t="s">
        <v>340</v>
      </c>
      <c r="X3" t="s">
        <v>311</v>
      </c>
      <c r="Y3" t="s">
        <v>563</v>
      </c>
      <c r="Z3" t="s">
        <v>303</v>
      </c>
      <c r="AA3" t="s">
        <v>311</v>
      </c>
      <c r="AB3" t="s">
        <v>311</v>
      </c>
      <c r="AC3" t="s">
        <v>309</v>
      </c>
      <c r="AD3" t="s">
        <v>566</v>
      </c>
      <c r="AE3" t="s">
        <v>660</v>
      </c>
      <c r="AF3" t="s">
        <v>570</v>
      </c>
      <c r="AG3" t="s">
        <v>568</v>
      </c>
      <c r="AH3" t="s">
        <v>311</v>
      </c>
      <c r="AI3" t="s">
        <v>571</v>
      </c>
      <c r="AJ3" t="s">
        <v>357</v>
      </c>
      <c r="AK3" t="s">
        <v>637</v>
      </c>
      <c r="AL3" t="s">
        <v>565</v>
      </c>
      <c r="AM3" t="s">
        <v>311</v>
      </c>
      <c r="AN3">
        <v>18.711340206185501</v>
      </c>
      <c r="AO3">
        <v>4.0942893695486466</v>
      </c>
      <c r="AP3" t="s">
        <v>311</v>
      </c>
      <c r="AQ3">
        <v>5</v>
      </c>
      <c r="AR3">
        <v>-1.237113402061859</v>
      </c>
      <c r="AS3">
        <v>1.1257901890640061</v>
      </c>
      <c r="AT3" t="s">
        <v>311</v>
      </c>
      <c r="AU3">
        <v>5</v>
      </c>
      <c r="AW3" t="s">
        <v>588</v>
      </c>
    </row>
    <row r="4" spans="1:49">
      <c r="A4" t="s">
        <v>840</v>
      </c>
      <c r="B4">
        <v>1</v>
      </c>
      <c r="C4">
        <v>3</v>
      </c>
      <c r="D4" t="s">
        <v>18</v>
      </c>
      <c r="E4" t="s">
        <v>19</v>
      </c>
      <c r="F4" t="s">
        <v>20</v>
      </c>
      <c r="G4">
        <v>2019</v>
      </c>
      <c r="H4" t="s">
        <v>412</v>
      </c>
      <c r="I4" t="s">
        <v>411</v>
      </c>
      <c r="J4">
        <v>-5.8333329999999997</v>
      </c>
      <c r="K4">
        <v>72</v>
      </c>
      <c r="L4" t="s">
        <v>376</v>
      </c>
      <c r="M4" t="s">
        <v>375</v>
      </c>
      <c r="N4" t="s">
        <v>593</v>
      </c>
      <c r="O4" t="s">
        <v>556</v>
      </c>
      <c r="P4" t="s">
        <v>557</v>
      </c>
      <c r="Q4" t="s">
        <v>291</v>
      </c>
      <c r="R4" t="s">
        <v>558</v>
      </c>
      <c r="S4" t="s">
        <v>311</v>
      </c>
      <c r="T4" t="s">
        <v>331</v>
      </c>
      <c r="U4" t="s">
        <v>559</v>
      </c>
      <c r="V4" s="4" t="s">
        <v>595</v>
      </c>
      <c r="W4" t="s">
        <v>340</v>
      </c>
      <c r="X4" t="s">
        <v>311</v>
      </c>
      <c r="Y4" t="s">
        <v>563</v>
      </c>
      <c r="Z4" t="s">
        <v>303</v>
      </c>
      <c r="AA4" t="s">
        <v>311</v>
      </c>
      <c r="AB4" t="s">
        <v>311</v>
      </c>
      <c r="AC4" t="s">
        <v>340</v>
      </c>
      <c r="AD4" t="s">
        <v>311</v>
      </c>
      <c r="AE4" t="s">
        <v>660</v>
      </c>
      <c r="AF4" t="s">
        <v>591</v>
      </c>
      <c r="AG4" t="s">
        <v>311</v>
      </c>
      <c r="AH4" t="s">
        <v>311</v>
      </c>
      <c r="AI4" t="s">
        <v>589</v>
      </c>
      <c r="AJ4" t="s">
        <v>357</v>
      </c>
      <c r="AK4" t="s">
        <v>637</v>
      </c>
      <c r="AL4" t="s">
        <v>565</v>
      </c>
      <c r="AM4" t="s">
        <v>311</v>
      </c>
      <c r="AN4">
        <v>19.261363636363551</v>
      </c>
      <c r="AO4">
        <v>4.7681593400112199</v>
      </c>
      <c r="AP4" t="s">
        <v>311</v>
      </c>
      <c r="AQ4">
        <v>5</v>
      </c>
      <c r="AR4">
        <v>4.3465909090908603</v>
      </c>
      <c r="AS4">
        <v>4.0917967786900862</v>
      </c>
      <c r="AT4" t="s">
        <v>311</v>
      </c>
      <c r="AU4">
        <v>5</v>
      </c>
      <c r="AW4" t="s">
        <v>588</v>
      </c>
    </row>
    <row r="5" spans="1:49">
      <c r="A5" t="s">
        <v>827</v>
      </c>
      <c r="B5">
        <v>2</v>
      </c>
      <c r="C5">
        <v>1</v>
      </c>
      <c r="D5" t="s">
        <v>30</v>
      </c>
      <c r="E5" t="s">
        <v>31</v>
      </c>
      <c r="F5" t="s">
        <v>32</v>
      </c>
      <c r="G5">
        <v>2018</v>
      </c>
      <c r="H5" t="s">
        <v>413</v>
      </c>
      <c r="I5" t="s">
        <v>414</v>
      </c>
      <c r="J5">
        <v>-14.683332999999999</v>
      </c>
      <c r="K5">
        <v>145.44999999999999</v>
      </c>
      <c r="L5" t="s">
        <v>370</v>
      </c>
      <c r="M5" t="s">
        <v>371</v>
      </c>
      <c r="N5" t="s">
        <v>594</v>
      </c>
      <c r="O5" t="s">
        <v>288</v>
      </c>
      <c r="P5" t="s">
        <v>693</v>
      </c>
      <c r="Q5" t="s">
        <v>291</v>
      </c>
      <c r="R5" t="s">
        <v>327</v>
      </c>
      <c r="S5" t="s">
        <v>311</v>
      </c>
      <c r="T5" t="s">
        <v>331</v>
      </c>
      <c r="U5" t="s">
        <v>311</v>
      </c>
      <c r="V5">
        <v>2016</v>
      </c>
      <c r="W5" t="s">
        <v>292</v>
      </c>
      <c r="X5" t="s">
        <v>696</v>
      </c>
      <c r="Y5" t="s">
        <v>302</v>
      </c>
      <c r="Z5" t="s">
        <v>303</v>
      </c>
      <c r="AA5" t="s">
        <v>770</v>
      </c>
      <c r="AB5" t="s">
        <v>771</v>
      </c>
      <c r="AC5" t="s">
        <v>309</v>
      </c>
      <c r="AD5" t="s">
        <v>801</v>
      </c>
      <c r="AE5" t="s">
        <v>802</v>
      </c>
      <c r="AF5" t="s">
        <v>820</v>
      </c>
      <c r="AG5" t="s">
        <v>803</v>
      </c>
      <c r="AH5" t="s">
        <v>792</v>
      </c>
      <c r="AI5" t="s">
        <v>564</v>
      </c>
      <c r="AJ5" t="s">
        <v>357</v>
      </c>
      <c r="AK5" t="s">
        <v>701</v>
      </c>
      <c r="AL5" t="s">
        <v>345</v>
      </c>
      <c r="AM5" t="s">
        <v>311</v>
      </c>
      <c r="AN5">
        <v>0.36354679802955597</v>
      </c>
      <c r="AO5">
        <v>2.955665024630505E-2</v>
      </c>
      <c r="AP5" t="s">
        <v>311</v>
      </c>
      <c r="AQ5">
        <v>19</v>
      </c>
      <c r="AR5">
        <v>0.26896551724137902</v>
      </c>
      <c r="AS5">
        <v>2.6600985221674978E-2</v>
      </c>
      <c r="AT5" t="s">
        <v>311</v>
      </c>
      <c r="AU5">
        <v>18</v>
      </c>
      <c r="AW5" t="s">
        <v>804</v>
      </c>
    </row>
    <row r="6" spans="1:49">
      <c r="A6" t="s">
        <v>827</v>
      </c>
      <c r="B6">
        <v>2</v>
      </c>
      <c r="C6">
        <v>2</v>
      </c>
      <c r="D6" t="s">
        <v>30</v>
      </c>
      <c r="E6" t="s">
        <v>31</v>
      </c>
      <c r="F6" t="s">
        <v>32</v>
      </c>
      <c r="G6">
        <v>2018</v>
      </c>
      <c r="H6" t="s">
        <v>413</v>
      </c>
      <c r="I6" t="s">
        <v>414</v>
      </c>
      <c r="J6">
        <v>-14.683332999999999</v>
      </c>
      <c r="K6">
        <v>145.44999999999999</v>
      </c>
      <c r="L6" t="s">
        <v>370</v>
      </c>
      <c r="M6" t="s">
        <v>371</v>
      </c>
      <c r="N6" t="s">
        <v>594</v>
      </c>
      <c r="O6" t="s">
        <v>288</v>
      </c>
      <c r="P6" t="s">
        <v>693</v>
      </c>
      <c r="Q6" t="s">
        <v>291</v>
      </c>
      <c r="R6" t="s">
        <v>327</v>
      </c>
      <c r="S6" t="s">
        <v>311</v>
      </c>
      <c r="T6" t="s">
        <v>331</v>
      </c>
      <c r="U6" t="s">
        <v>311</v>
      </c>
      <c r="V6">
        <v>2016</v>
      </c>
      <c r="W6" t="s">
        <v>292</v>
      </c>
      <c r="X6" t="s">
        <v>696</v>
      </c>
      <c r="Y6" t="s">
        <v>302</v>
      </c>
      <c r="Z6" t="s">
        <v>303</v>
      </c>
      <c r="AA6" t="s">
        <v>770</v>
      </c>
      <c r="AB6" t="s">
        <v>771</v>
      </c>
      <c r="AC6" t="s">
        <v>309</v>
      </c>
      <c r="AD6" t="s">
        <v>801</v>
      </c>
      <c r="AE6" t="s">
        <v>802</v>
      </c>
      <c r="AF6" t="s">
        <v>820</v>
      </c>
      <c r="AG6" t="s">
        <v>803</v>
      </c>
      <c r="AH6" t="s">
        <v>792</v>
      </c>
      <c r="AI6" t="s">
        <v>589</v>
      </c>
      <c r="AJ6" t="s">
        <v>357</v>
      </c>
      <c r="AK6" t="s">
        <v>701</v>
      </c>
      <c r="AL6" t="s">
        <v>541</v>
      </c>
      <c r="AM6" t="s">
        <v>311</v>
      </c>
      <c r="AN6">
        <v>0.247422680412371</v>
      </c>
      <c r="AO6">
        <v>2.3195876288659018E-2</v>
      </c>
      <c r="AP6" t="s">
        <v>311</v>
      </c>
      <c r="AQ6">
        <v>19</v>
      </c>
      <c r="AR6">
        <v>0.17783505154639101</v>
      </c>
      <c r="AS6">
        <v>1.2371134020618985E-2</v>
      </c>
      <c r="AT6" t="s">
        <v>311</v>
      </c>
      <c r="AU6">
        <v>18</v>
      </c>
      <c r="AW6" t="s">
        <v>774</v>
      </c>
    </row>
    <row r="7" spans="1:49">
      <c r="A7" t="s">
        <v>827</v>
      </c>
      <c r="B7">
        <v>2</v>
      </c>
      <c r="C7">
        <v>2</v>
      </c>
      <c r="D7" t="s">
        <v>30</v>
      </c>
      <c r="E7" t="s">
        <v>31</v>
      </c>
      <c r="F7" t="s">
        <v>32</v>
      </c>
      <c r="G7">
        <v>2018</v>
      </c>
      <c r="H7" t="s">
        <v>413</v>
      </c>
      <c r="I7" t="s">
        <v>414</v>
      </c>
      <c r="J7">
        <v>-14.683332999999999</v>
      </c>
      <c r="K7">
        <v>145.44999999999999</v>
      </c>
      <c r="L7" t="s">
        <v>370</v>
      </c>
      <c r="M7" t="s">
        <v>371</v>
      </c>
      <c r="N7" t="s">
        <v>594</v>
      </c>
      <c r="O7" t="s">
        <v>288</v>
      </c>
      <c r="P7" t="s">
        <v>693</v>
      </c>
      <c r="Q7" t="s">
        <v>291</v>
      </c>
      <c r="R7" t="s">
        <v>327</v>
      </c>
      <c r="S7" t="s">
        <v>311</v>
      </c>
      <c r="T7" t="s">
        <v>331</v>
      </c>
      <c r="U7" t="s">
        <v>311</v>
      </c>
      <c r="V7">
        <v>2016</v>
      </c>
      <c r="W7" t="s">
        <v>292</v>
      </c>
      <c r="X7" t="s">
        <v>696</v>
      </c>
      <c r="Y7" t="s">
        <v>302</v>
      </c>
      <c r="Z7" t="s">
        <v>303</v>
      </c>
      <c r="AA7" t="s">
        <v>770</v>
      </c>
      <c r="AB7" t="s">
        <v>771</v>
      </c>
      <c r="AC7" t="s">
        <v>292</v>
      </c>
      <c r="AD7" t="s">
        <v>657</v>
      </c>
      <c r="AE7" t="s">
        <v>304</v>
      </c>
      <c r="AF7" t="s">
        <v>305</v>
      </c>
      <c r="AG7" t="s">
        <v>655</v>
      </c>
      <c r="AH7" t="s">
        <v>772</v>
      </c>
      <c r="AI7" t="s">
        <v>571</v>
      </c>
      <c r="AJ7" t="s">
        <v>357</v>
      </c>
      <c r="AK7" t="s">
        <v>701</v>
      </c>
      <c r="AL7" t="s">
        <v>807</v>
      </c>
      <c r="AM7" t="s">
        <v>311</v>
      </c>
      <c r="AN7">
        <v>1.19366197183098</v>
      </c>
      <c r="AO7">
        <v>1.37323943661971</v>
      </c>
      <c r="AP7" t="s">
        <v>311</v>
      </c>
      <c r="AQ7">
        <v>19</v>
      </c>
      <c r="AR7">
        <v>0.68661971830985902</v>
      </c>
      <c r="AS7">
        <v>0.83978873239436602</v>
      </c>
      <c r="AT7" t="s">
        <v>311</v>
      </c>
      <c r="AU7">
        <v>18</v>
      </c>
      <c r="AW7" t="s">
        <v>774</v>
      </c>
    </row>
    <row r="8" spans="1:49">
      <c r="A8" t="s">
        <v>827</v>
      </c>
      <c r="B8">
        <v>2</v>
      </c>
      <c r="C8">
        <v>3</v>
      </c>
      <c r="D8" t="s">
        <v>30</v>
      </c>
      <c r="E8" t="s">
        <v>31</v>
      </c>
      <c r="F8" t="s">
        <v>32</v>
      </c>
      <c r="G8">
        <v>2018</v>
      </c>
      <c r="H8" t="s">
        <v>413</v>
      </c>
      <c r="I8" t="s">
        <v>414</v>
      </c>
      <c r="J8">
        <v>-14.683332999999999</v>
      </c>
      <c r="K8">
        <v>145.44999999999999</v>
      </c>
      <c r="L8" t="s">
        <v>370</v>
      </c>
      <c r="M8" t="s">
        <v>371</v>
      </c>
      <c r="N8" t="s">
        <v>594</v>
      </c>
      <c r="O8" t="s">
        <v>288</v>
      </c>
      <c r="P8" t="s">
        <v>693</v>
      </c>
      <c r="Q8" t="s">
        <v>291</v>
      </c>
      <c r="R8" t="s">
        <v>327</v>
      </c>
      <c r="S8" t="s">
        <v>311</v>
      </c>
      <c r="T8" t="s">
        <v>330</v>
      </c>
      <c r="U8" t="s">
        <v>535</v>
      </c>
      <c r="V8" s="4" t="s">
        <v>829</v>
      </c>
      <c r="W8" t="s">
        <v>292</v>
      </c>
      <c r="X8" t="s">
        <v>696</v>
      </c>
      <c r="Y8" t="s">
        <v>302</v>
      </c>
      <c r="Z8" t="s">
        <v>303</v>
      </c>
      <c r="AA8" t="s">
        <v>770</v>
      </c>
      <c r="AB8" t="s">
        <v>771</v>
      </c>
      <c r="AC8" t="s">
        <v>309</v>
      </c>
      <c r="AD8" t="s">
        <v>801</v>
      </c>
      <c r="AE8" t="s">
        <v>802</v>
      </c>
      <c r="AF8" t="s">
        <v>820</v>
      </c>
      <c r="AG8" t="s">
        <v>803</v>
      </c>
      <c r="AH8" t="s">
        <v>792</v>
      </c>
      <c r="AI8" t="s">
        <v>815</v>
      </c>
      <c r="AJ8" t="s">
        <v>357</v>
      </c>
      <c r="AK8" t="s">
        <v>701</v>
      </c>
      <c r="AL8" t="s">
        <v>345</v>
      </c>
      <c r="AM8" t="s">
        <v>311</v>
      </c>
      <c r="AN8">
        <v>-0.31587020648967501</v>
      </c>
      <c r="AO8">
        <v>0.22771604960221456</v>
      </c>
      <c r="AP8" t="s">
        <v>311</v>
      </c>
      <c r="AQ8">
        <v>10</v>
      </c>
      <c r="AR8">
        <v>-0.849085545722714</v>
      </c>
      <c r="AS8">
        <v>0.13295605379440695</v>
      </c>
      <c r="AT8" t="s">
        <v>311</v>
      </c>
      <c r="AU8">
        <v>10</v>
      </c>
      <c r="AW8" t="s">
        <v>823</v>
      </c>
    </row>
    <row r="9" spans="1:49">
      <c r="A9" t="s">
        <v>827</v>
      </c>
      <c r="B9">
        <v>2</v>
      </c>
      <c r="C9">
        <v>4</v>
      </c>
      <c r="D9" t="s">
        <v>30</v>
      </c>
      <c r="E9" t="s">
        <v>31</v>
      </c>
      <c r="F9" t="s">
        <v>32</v>
      </c>
      <c r="G9">
        <v>2018</v>
      </c>
      <c r="H9" t="s">
        <v>413</v>
      </c>
      <c r="I9" t="s">
        <v>414</v>
      </c>
      <c r="J9">
        <v>-14.683332999999999</v>
      </c>
      <c r="K9">
        <v>145.44999999999999</v>
      </c>
      <c r="L9" t="s">
        <v>370</v>
      </c>
      <c r="M9" t="s">
        <v>371</v>
      </c>
      <c r="N9" t="s">
        <v>594</v>
      </c>
      <c r="O9" t="s">
        <v>288</v>
      </c>
      <c r="P9" t="s">
        <v>693</v>
      </c>
      <c r="Q9" t="s">
        <v>291</v>
      </c>
      <c r="R9" t="s">
        <v>327</v>
      </c>
      <c r="S9" t="s">
        <v>311</v>
      </c>
      <c r="T9" t="s">
        <v>330</v>
      </c>
      <c r="U9" t="s">
        <v>535</v>
      </c>
      <c r="V9" s="4"/>
      <c r="W9" t="s">
        <v>292</v>
      </c>
      <c r="X9" t="s">
        <v>696</v>
      </c>
      <c r="Y9" t="s">
        <v>302</v>
      </c>
      <c r="Z9" t="s">
        <v>303</v>
      </c>
      <c r="AA9" t="s">
        <v>770</v>
      </c>
      <c r="AB9" t="s">
        <v>771</v>
      </c>
      <c r="AC9" t="s">
        <v>309</v>
      </c>
      <c r="AD9" t="s">
        <v>801</v>
      </c>
      <c r="AE9" t="s">
        <v>802</v>
      </c>
      <c r="AF9" t="s">
        <v>820</v>
      </c>
      <c r="AG9" t="s">
        <v>803</v>
      </c>
      <c r="AH9" t="s">
        <v>792</v>
      </c>
      <c r="AI9" t="s">
        <v>816</v>
      </c>
      <c r="AJ9" t="s">
        <v>357</v>
      </c>
      <c r="AK9" t="s">
        <v>701</v>
      </c>
      <c r="AL9" t="s">
        <v>541</v>
      </c>
      <c r="AM9" t="s">
        <v>311</v>
      </c>
      <c r="AN9">
        <v>-0.17241379310344995</v>
      </c>
      <c r="AO9">
        <v>0.57829344245684555</v>
      </c>
      <c r="AP9" t="s">
        <v>311</v>
      </c>
      <c r="AQ9">
        <v>10</v>
      </c>
      <c r="AR9">
        <v>-0.99137931034482207</v>
      </c>
      <c r="AS9">
        <v>0.28914672122841878</v>
      </c>
      <c r="AT9" t="s">
        <v>311</v>
      </c>
      <c r="AU9">
        <v>10</v>
      </c>
      <c r="AW9" t="s">
        <v>824</v>
      </c>
    </row>
    <row r="10" spans="1:49">
      <c r="A10" t="s">
        <v>827</v>
      </c>
      <c r="B10">
        <v>2</v>
      </c>
      <c r="C10">
        <v>5</v>
      </c>
      <c r="D10" t="s">
        <v>30</v>
      </c>
      <c r="E10" t="s">
        <v>31</v>
      </c>
      <c r="F10" t="s">
        <v>32</v>
      </c>
      <c r="G10">
        <v>2018</v>
      </c>
      <c r="H10" t="s">
        <v>413</v>
      </c>
      <c r="I10" t="s">
        <v>414</v>
      </c>
      <c r="J10">
        <v>-14.683332999999999</v>
      </c>
      <c r="K10">
        <v>145.44999999999999</v>
      </c>
      <c r="L10" t="s">
        <v>370</v>
      </c>
      <c r="M10" t="s">
        <v>371</v>
      </c>
      <c r="N10" t="s">
        <v>594</v>
      </c>
      <c r="O10" t="s">
        <v>288</v>
      </c>
      <c r="P10" t="s">
        <v>693</v>
      </c>
      <c r="Q10" t="s">
        <v>291</v>
      </c>
      <c r="R10" t="s">
        <v>327</v>
      </c>
      <c r="S10" t="s">
        <v>311</v>
      </c>
      <c r="T10" t="s">
        <v>330</v>
      </c>
      <c r="U10" t="s">
        <v>535</v>
      </c>
      <c r="V10" s="4"/>
      <c r="W10" t="s">
        <v>292</v>
      </c>
      <c r="X10" t="s">
        <v>696</v>
      </c>
      <c r="Y10" t="s">
        <v>302</v>
      </c>
      <c r="Z10" t="s">
        <v>303</v>
      </c>
      <c r="AA10" t="s">
        <v>770</v>
      </c>
      <c r="AB10" t="s">
        <v>771</v>
      </c>
      <c r="AC10" t="s">
        <v>292</v>
      </c>
      <c r="AD10" t="s">
        <v>657</v>
      </c>
      <c r="AE10" t="s">
        <v>304</v>
      </c>
      <c r="AF10" t="s">
        <v>305</v>
      </c>
      <c r="AG10" t="s">
        <v>655</v>
      </c>
      <c r="AH10" t="s">
        <v>772</v>
      </c>
      <c r="AI10" t="s">
        <v>817</v>
      </c>
      <c r="AJ10" t="s">
        <v>357</v>
      </c>
      <c r="AK10" t="s">
        <v>701</v>
      </c>
      <c r="AL10" t="s">
        <v>807</v>
      </c>
      <c r="AM10" t="s">
        <v>311</v>
      </c>
      <c r="AN10">
        <v>-0.42086956521739094</v>
      </c>
      <c r="AO10">
        <v>7.8569439986619097E-2</v>
      </c>
      <c r="AP10" t="s">
        <v>311</v>
      </c>
      <c r="AQ10">
        <v>10</v>
      </c>
      <c r="AR10">
        <v>-0.73043478260869532</v>
      </c>
      <c r="AS10">
        <v>0.12790592005702212</v>
      </c>
      <c r="AT10" t="s">
        <v>311</v>
      </c>
      <c r="AU10">
        <v>10</v>
      </c>
      <c r="AW10" t="s">
        <v>825</v>
      </c>
    </row>
    <row r="11" spans="1:49">
      <c r="A11" t="s">
        <v>827</v>
      </c>
      <c r="B11">
        <v>2</v>
      </c>
      <c r="C11">
        <v>6</v>
      </c>
      <c r="D11" t="s">
        <v>30</v>
      </c>
      <c r="E11" t="s">
        <v>31</v>
      </c>
      <c r="F11" t="s">
        <v>32</v>
      </c>
      <c r="G11">
        <v>2018</v>
      </c>
      <c r="H11" t="s">
        <v>413</v>
      </c>
      <c r="I11" t="s">
        <v>414</v>
      </c>
      <c r="J11">
        <v>-14.683332999999999</v>
      </c>
      <c r="K11">
        <v>145.44999999999999</v>
      </c>
      <c r="L11" t="s">
        <v>370</v>
      </c>
      <c r="M11" t="s">
        <v>371</v>
      </c>
      <c r="N11" t="s">
        <v>594</v>
      </c>
      <c r="O11" t="s">
        <v>288</v>
      </c>
      <c r="P11" t="s">
        <v>693</v>
      </c>
      <c r="Q11" t="s">
        <v>291</v>
      </c>
      <c r="R11" t="s">
        <v>327</v>
      </c>
      <c r="S11" t="s">
        <v>311</v>
      </c>
      <c r="T11" t="s">
        <v>330</v>
      </c>
      <c r="U11" t="s">
        <v>535</v>
      </c>
      <c r="V11" s="4"/>
      <c r="W11" t="s">
        <v>292</v>
      </c>
      <c r="X11" t="s">
        <v>696</v>
      </c>
      <c r="Y11" t="s">
        <v>302</v>
      </c>
      <c r="Z11" t="s">
        <v>303</v>
      </c>
      <c r="AA11" t="s">
        <v>770</v>
      </c>
      <c r="AB11" t="s">
        <v>771</v>
      </c>
      <c r="AC11" t="s">
        <v>292</v>
      </c>
      <c r="AD11" t="s">
        <v>657</v>
      </c>
      <c r="AE11" t="s">
        <v>304</v>
      </c>
      <c r="AF11" t="s">
        <v>305</v>
      </c>
      <c r="AG11" t="s">
        <v>655</v>
      </c>
      <c r="AH11" t="s">
        <v>772</v>
      </c>
      <c r="AI11" t="s">
        <v>818</v>
      </c>
      <c r="AJ11" t="s">
        <v>357</v>
      </c>
      <c r="AK11" t="s">
        <v>701</v>
      </c>
      <c r="AL11" t="s">
        <v>606</v>
      </c>
      <c r="AM11" t="s">
        <v>311</v>
      </c>
      <c r="AN11">
        <v>-5.2631578947367919E-2</v>
      </c>
      <c r="AO11">
        <v>0.12959023423415916</v>
      </c>
      <c r="AP11" t="s">
        <v>311</v>
      </c>
      <c r="AQ11">
        <v>10</v>
      </c>
      <c r="AR11">
        <v>-0.68421052631578994</v>
      </c>
      <c r="AS11">
        <v>0.22979275258647885</v>
      </c>
      <c r="AT11" t="s">
        <v>311</v>
      </c>
      <c r="AU11">
        <v>10</v>
      </c>
      <c r="AW11" t="s">
        <v>826</v>
      </c>
    </row>
    <row r="12" spans="1:49">
      <c r="A12" t="s">
        <v>841</v>
      </c>
      <c r="B12">
        <v>3</v>
      </c>
      <c r="C12">
        <v>1</v>
      </c>
      <c r="D12" t="s">
        <v>45</v>
      </c>
      <c r="E12" t="s">
        <v>46</v>
      </c>
      <c r="F12" t="s">
        <v>47</v>
      </c>
      <c r="G12">
        <v>2018</v>
      </c>
      <c r="H12" t="s">
        <v>426</v>
      </c>
      <c r="I12" t="s">
        <v>427</v>
      </c>
      <c r="J12">
        <v>31.354237999999999</v>
      </c>
      <c r="K12">
        <v>-81.246572</v>
      </c>
      <c r="L12" t="s">
        <v>361</v>
      </c>
      <c r="M12" t="s">
        <v>368</v>
      </c>
      <c r="N12" t="s">
        <v>531</v>
      </c>
      <c r="O12" t="s">
        <v>532</v>
      </c>
      <c r="P12" t="s">
        <v>693</v>
      </c>
      <c r="Q12" t="s">
        <v>419</v>
      </c>
      <c r="R12" t="s">
        <v>832</v>
      </c>
      <c r="S12" t="s">
        <v>311</v>
      </c>
      <c r="T12" t="s">
        <v>331</v>
      </c>
      <c r="U12" t="s">
        <v>311</v>
      </c>
      <c r="V12" t="s">
        <v>844</v>
      </c>
      <c r="W12" t="s">
        <v>292</v>
      </c>
      <c r="X12" t="s">
        <v>536</v>
      </c>
      <c r="Y12" t="s">
        <v>563</v>
      </c>
      <c r="Z12" t="s">
        <v>538</v>
      </c>
      <c r="AA12" t="s">
        <v>833</v>
      </c>
      <c r="AB12" t="s">
        <v>834</v>
      </c>
      <c r="AC12" t="s">
        <v>292</v>
      </c>
      <c r="AD12" t="s">
        <v>835</v>
      </c>
      <c r="AE12" t="s">
        <v>609</v>
      </c>
      <c r="AF12" t="s">
        <v>555</v>
      </c>
      <c r="AG12" t="s">
        <v>837</v>
      </c>
      <c r="AH12" t="s">
        <v>836</v>
      </c>
      <c r="AI12" t="s">
        <v>718</v>
      </c>
      <c r="AJ12" t="s">
        <v>357</v>
      </c>
      <c r="AK12" t="s">
        <v>675</v>
      </c>
      <c r="AL12" t="s">
        <v>842</v>
      </c>
      <c r="AM12" t="s">
        <v>311</v>
      </c>
      <c r="AN12">
        <v>74.662162162162105</v>
      </c>
      <c r="AO12" t="s">
        <v>311</v>
      </c>
      <c r="AP12" t="s">
        <v>311</v>
      </c>
      <c r="AQ12">
        <v>12</v>
      </c>
      <c r="AR12">
        <v>24.999999999999901</v>
      </c>
      <c r="AS12" t="s">
        <v>311</v>
      </c>
      <c r="AT12" t="s">
        <v>311</v>
      </c>
      <c r="AU12">
        <v>12</v>
      </c>
      <c r="AW12" t="s">
        <v>845</v>
      </c>
    </row>
    <row r="13" spans="1:49">
      <c r="A13" t="s">
        <v>841</v>
      </c>
      <c r="B13">
        <v>3</v>
      </c>
      <c r="C13">
        <v>2</v>
      </c>
      <c r="D13" t="s">
        <v>45</v>
      </c>
      <c r="E13" t="s">
        <v>46</v>
      </c>
      <c r="F13" t="s">
        <v>47</v>
      </c>
      <c r="G13">
        <v>2018</v>
      </c>
      <c r="H13" t="s">
        <v>426</v>
      </c>
      <c r="I13" t="s">
        <v>427</v>
      </c>
      <c r="J13">
        <v>31.354237999999999</v>
      </c>
      <c r="K13">
        <v>-81.246572</v>
      </c>
      <c r="L13" t="s">
        <v>361</v>
      </c>
      <c r="M13" t="s">
        <v>368</v>
      </c>
      <c r="N13" t="s">
        <v>531</v>
      </c>
      <c r="O13" t="s">
        <v>532</v>
      </c>
      <c r="P13" t="s">
        <v>693</v>
      </c>
      <c r="Q13" t="s">
        <v>419</v>
      </c>
      <c r="R13" t="s">
        <v>832</v>
      </c>
      <c r="S13" t="s">
        <v>311</v>
      </c>
      <c r="T13" t="s">
        <v>331</v>
      </c>
      <c r="U13" t="s">
        <v>311</v>
      </c>
      <c r="V13" t="s">
        <v>844</v>
      </c>
      <c r="W13" t="s">
        <v>292</v>
      </c>
      <c r="X13" t="s">
        <v>536</v>
      </c>
      <c r="Y13" t="s">
        <v>563</v>
      </c>
      <c r="Z13" t="s">
        <v>538</v>
      </c>
      <c r="AA13" t="s">
        <v>833</v>
      </c>
      <c r="AB13" t="s">
        <v>834</v>
      </c>
      <c r="AC13" t="s">
        <v>292</v>
      </c>
      <c r="AD13" t="s">
        <v>835</v>
      </c>
      <c r="AE13" t="s">
        <v>609</v>
      </c>
      <c r="AF13" t="s">
        <v>555</v>
      </c>
      <c r="AG13" t="s">
        <v>837</v>
      </c>
      <c r="AH13" t="s">
        <v>836</v>
      </c>
      <c r="AI13" t="s">
        <v>663</v>
      </c>
      <c r="AJ13" t="s">
        <v>357</v>
      </c>
      <c r="AK13" t="s">
        <v>675</v>
      </c>
      <c r="AL13" t="s">
        <v>843</v>
      </c>
      <c r="AM13" t="s">
        <v>311</v>
      </c>
      <c r="AN13">
        <v>21.0126582278481</v>
      </c>
      <c r="AO13">
        <v>24.388185654008399</v>
      </c>
      <c r="AP13" t="s">
        <v>311</v>
      </c>
      <c r="AQ13">
        <v>12</v>
      </c>
      <c r="AR13">
        <v>9.9578059071730003</v>
      </c>
      <c r="AS13">
        <v>12.067510548523201</v>
      </c>
      <c r="AT13" t="s">
        <v>311</v>
      </c>
      <c r="AU13">
        <v>12</v>
      </c>
      <c r="AW13" t="s">
        <v>846</v>
      </c>
    </row>
    <row r="14" spans="1:49">
      <c r="A14" t="s">
        <v>827</v>
      </c>
      <c r="B14">
        <v>4</v>
      </c>
      <c r="C14">
        <v>1</v>
      </c>
      <c r="D14" t="s">
        <v>1385</v>
      </c>
      <c r="E14" t="s">
        <v>1386</v>
      </c>
      <c r="F14" t="s">
        <v>83</v>
      </c>
      <c r="G14">
        <v>2023</v>
      </c>
      <c r="H14" t="s">
        <v>1422</v>
      </c>
      <c r="I14" t="s">
        <v>1423</v>
      </c>
      <c r="J14">
        <v>-17.5</v>
      </c>
      <c r="K14">
        <v>-149.83333300000001</v>
      </c>
      <c r="L14" t="s">
        <v>389</v>
      </c>
      <c r="M14" t="s">
        <v>390</v>
      </c>
      <c r="N14" t="s">
        <v>594</v>
      </c>
      <c r="O14" t="s">
        <v>288</v>
      </c>
      <c r="P14" t="s">
        <v>289</v>
      </c>
      <c r="Q14" t="s">
        <v>291</v>
      </c>
      <c r="R14" t="s">
        <v>558</v>
      </c>
      <c r="S14" t="s">
        <v>717</v>
      </c>
      <c r="T14" t="s">
        <v>330</v>
      </c>
      <c r="U14" t="s">
        <v>535</v>
      </c>
      <c r="V14">
        <v>2018</v>
      </c>
      <c r="W14" t="s">
        <v>292</v>
      </c>
      <c r="X14" t="s">
        <v>696</v>
      </c>
      <c r="Y14" t="s">
        <v>302</v>
      </c>
      <c r="Z14" t="s">
        <v>303</v>
      </c>
      <c r="AA14" t="s">
        <v>770</v>
      </c>
      <c r="AB14" t="s">
        <v>1419</v>
      </c>
      <c r="AC14" t="s">
        <v>340</v>
      </c>
      <c r="AD14" t="s">
        <v>311</v>
      </c>
      <c r="AE14" t="s">
        <v>802</v>
      </c>
      <c r="AF14" t="s">
        <v>820</v>
      </c>
      <c r="AG14" t="s">
        <v>311</v>
      </c>
      <c r="AH14" t="s">
        <v>311</v>
      </c>
      <c r="AI14" t="s">
        <v>621</v>
      </c>
      <c r="AJ14" t="s">
        <v>1045</v>
      </c>
      <c r="AK14" t="s">
        <v>1059</v>
      </c>
      <c r="AL14" t="s">
        <v>345</v>
      </c>
      <c r="AM14" t="s">
        <v>887</v>
      </c>
      <c r="AN14" s="4"/>
      <c r="AO14" t="s">
        <v>311</v>
      </c>
      <c r="AP14" s="4"/>
      <c r="AQ14">
        <v>3</v>
      </c>
      <c r="AR14" s="4"/>
      <c r="AS14" t="s">
        <v>311</v>
      </c>
      <c r="AT14" s="4"/>
      <c r="AU14">
        <v>3</v>
      </c>
      <c r="AW14" t="s">
        <v>1428</v>
      </c>
    </row>
    <row r="15" spans="1:49">
      <c r="A15" t="s">
        <v>827</v>
      </c>
      <c r="B15">
        <v>4</v>
      </c>
      <c r="C15">
        <v>2</v>
      </c>
      <c r="D15" t="s">
        <v>1385</v>
      </c>
      <c r="E15" t="s">
        <v>1386</v>
      </c>
      <c r="F15" t="s">
        <v>83</v>
      </c>
      <c r="G15">
        <v>2023</v>
      </c>
      <c r="H15" t="s">
        <v>1422</v>
      </c>
      <c r="I15" t="s">
        <v>1423</v>
      </c>
      <c r="J15">
        <v>-17.5</v>
      </c>
      <c r="K15">
        <v>-149.83333300000001</v>
      </c>
      <c r="L15" t="s">
        <v>389</v>
      </c>
      <c r="M15" t="s">
        <v>390</v>
      </c>
      <c r="N15" t="s">
        <v>594</v>
      </c>
      <c r="O15" t="s">
        <v>288</v>
      </c>
      <c r="P15" t="s">
        <v>289</v>
      </c>
      <c r="Q15" t="s">
        <v>291</v>
      </c>
      <c r="R15" t="s">
        <v>558</v>
      </c>
      <c r="S15" t="s">
        <v>717</v>
      </c>
      <c r="T15" t="s">
        <v>330</v>
      </c>
      <c r="U15" t="s">
        <v>535</v>
      </c>
      <c r="V15">
        <v>2018</v>
      </c>
      <c r="W15" t="s">
        <v>292</v>
      </c>
      <c r="X15" t="s">
        <v>696</v>
      </c>
      <c r="Y15" t="s">
        <v>302</v>
      </c>
      <c r="Z15" t="s">
        <v>303</v>
      </c>
      <c r="AA15" t="s">
        <v>770</v>
      </c>
      <c r="AB15" t="s">
        <v>1419</v>
      </c>
      <c r="AC15" t="s">
        <v>292</v>
      </c>
      <c r="AD15" t="s">
        <v>657</v>
      </c>
      <c r="AE15" t="s">
        <v>304</v>
      </c>
      <c r="AF15" t="s">
        <v>305</v>
      </c>
      <c r="AG15" t="s">
        <v>655</v>
      </c>
      <c r="AH15" t="s">
        <v>1421</v>
      </c>
      <c r="AI15" t="s">
        <v>1424</v>
      </c>
      <c r="AJ15" t="s">
        <v>1045</v>
      </c>
      <c r="AK15" t="s">
        <v>1059</v>
      </c>
      <c r="AL15" t="s">
        <v>1070</v>
      </c>
      <c r="AM15" t="s">
        <v>887</v>
      </c>
      <c r="AN15" s="4"/>
      <c r="AO15" t="s">
        <v>311</v>
      </c>
      <c r="AP15" s="4"/>
      <c r="AQ15">
        <v>3</v>
      </c>
      <c r="AR15" s="4"/>
      <c r="AS15" t="s">
        <v>311</v>
      </c>
      <c r="AT15" s="4"/>
      <c r="AU15">
        <v>3</v>
      </c>
      <c r="AW15" t="s">
        <v>1429</v>
      </c>
    </row>
    <row r="16" spans="1:49">
      <c r="A16" t="s">
        <v>827</v>
      </c>
      <c r="B16">
        <v>4</v>
      </c>
      <c r="C16">
        <v>3</v>
      </c>
      <c r="D16" t="s">
        <v>1385</v>
      </c>
      <c r="E16" t="s">
        <v>1386</v>
      </c>
      <c r="F16" t="s">
        <v>83</v>
      </c>
      <c r="G16">
        <v>2023</v>
      </c>
      <c r="H16" t="s">
        <v>1422</v>
      </c>
      <c r="I16" t="s">
        <v>1423</v>
      </c>
      <c r="J16">
        <v>-17.5</v>
      </c>
      <c r="K16">
        <v>-149.83333300000001</v>
      </c>
      <c r="L16" t="s">
        <v>389</v>
      </c>
      <c r="M16" t="s">
        <v>390</v>
      </c>
      <c r="N16" t="s">
        <v>594</v>
      </c>
      <c r="O16" t="s">
        <v>288</v>
      </c>
      <c r="P16" t="s">
        <v>289</v>
      </c>
      <c r="Q16" t="s">
        <v>291</v>
      </c>
      <c r="R16" t="s">
        <v>558</v>
      </c>
      <c r="S16" t="s">
        <v>717</v>
      </c>
      <c r="T16" t="s">
        <v>330</v>
      </c>
      <c r="U16" t="s">
        <v>535</v>
      </c>
      <c r="V16">
        <v>2018</v>
      </c>
      <c r="W16" t="s">
        <v>292</v>
      </c>
      <c r="X16" t="s">
        <v>696</v>
      </c>
      <c r="Y16" t="s">
        <v>302</v>
      </c>
      <c r="Z16" t="s">
        <v>303</v>
      </c>
      <c r="AA16" t="s">
        <v>770</v>
      </c>
      <c r="AB16" t="s">
        <v>1419</v>
      </c>
      <c r="AC16" t="s">
        <v>292</v>
      </c>
      <c r="AD16" t="s">
        <v>657</v>
      </c>
      <c r="AE16" t="s">
        <v>304</v>
      </c>
      <c r="AF16" t="s">
        <v>305</v>
      </c>
      <c r="AG16" t="s">
        <v>655</v>
      </c>
      <c r="AH16" t="s">
        <v>1421</v>
      </c>
      <c r="AI16" t="s">
        <v>1425</v>
      </c>
      <c r="AJ16" t="s">
        <v>1045</v>
      </c>
      <c r="AK16" t="s">
        <v>1059</v>
      </c>
      <c r="AL16" t="s">
        <v>1286</v>
      </c>
      <c r="AM16" t="s">
        <v>614</v>
      </c>
      <c r="AN16" s="4"/>
      <c r="AO16" t="s">
        <v>311</v>
      </c>
      <c r="AP16" s="4"/>
      <c r="AQ16">
        <v>3</v>
      </c>
      <c r="AR16" s="4"/>
      <c r="AS16" t="s">
        <v>311</v>
      </c>
      <c r="AT16" s="4"/>
      <c r="AU16">
        <v>3</v>
      </c>
      <c r="AW16" t="s">
        <v>1430</v>
      </c>
    </row>
    <row r="17" spans="1:80">
      <c r="A17" t="s">
        <v>827</v>
      </c>
      <c r="B17">
        <v>5</v>
      </c>
      <c r="C17">
        <v>1</v>
      </c>
      <c r="D17" t="s">
        <v>1514</v>
      </c>
      <c r="E17" t="s">
        <v>1513</v>
      </c>
      <c r="F17" t="s">
        <v>311</v>
      </c>
      <c r="G17" t="s">
        <v>311</v>
      </c>
      <c r="H17" t="s">
        <v>1516</v>
      </c>
      <c r="I17" t="s">
        <v>1517</v>
      </c>
      <c r="J17" s="20">
        <v>32.731741999999997</v>
      </c>
      <c r="K17">
        <v>-117.210859</v>
      </c>
      <c r="L17" t="s">
        <v>361</v>
      </c>
      <c r="M17" t="s">
        <v>1518</v>
      </c>
      <c r="N17" t="s">
        <v>531</v>
      </c>
      <c r="O17" t="s">
        <v>288</v>
      </c>
      <c r="P17" t="s">
        <v>693</v>
      </c>
      <c r="Q17" t="s">
        <v>333</v>
      </c>
      <c r="R17" t="s">
        <v>550</v>
      </c>
      <c r="S17" t="s">
        <v>717</v>
      </c>
      <c r="T17" t="s">
        <v>330</v>
      </c>
      <c r="U17">
        <v>5</v>
      </c>
      <c r="V17" t="s">
        <v>551</v>
      </c>
      <c r="W17">
        <v>2023</v>
      </c>
      <c r="X17" t="s">
        <v>292</v>
      </c>
      <c r="Y17" t="s">
        <v>685</v>
      </c>
      <c r="Z17" t="s">
        <v>537</v>
      </c>
      <c r="AA17" t="s">
        <v>538</v>
      </c>
      <c r="AB17" t="s">
        <v>1519</v>
      </c>
      <c r="AC17" t="s">
        <v>1520</v>
      </c>
      <c r="AD17" t="s">
        <v>292</v>
      </c>
      <c r="AE17" t="s">
        <v>618</v>
      </c>
      <c r="AF17" t="s">
        <v>552</v>
      </c>
      <c r="AG17" t="s">
        <v>555</v>
      </c>
      <c r="AH17" t="s">
        <v>619</v>
      </c>
      <c r="AI17" t="s">
        <v>620</v>
      </c>
      <c r="AJ17" t="s">
        <v>1522</v>
      </c>
      <c r="AK17" t="s">
        <v>357</v>
      </c>
      <c r="AL17" t="s">
        <v>1059</v>
      </c>
      <c r="AM17" t="s">
        <v>1277</v>
      </c>
      <c r="AN17" t="s">
        <v>1283</v>
      </c>
      <c r="AO17" t="s">
        <v>614</v>
      </c>
      <c r="AR17" t="s">
        <v>311</v>
      </c>
      <c r="AS17">
        <v>4</v>
      </c>
      <c r="AV17" t="s">
        <v>311</v>
      </c>
      <c r="AW17">
        <v>4</v>
      </c>
      <c r="AX17" t="s">
        <v>311</v>
      </c>
      <c r="AY17" t="s">
        <v>311</v>
      </c>
      <c r="AZ17" t="s">
        <v>311</v>
      </c>
      <c r="BA17" t="s">
        <v>311</v>
      </c>
      <c r="BB17" t="s">
        <v>311</v>
      </c>
      <c r="BC17" t="s">
        <v>311</v>
      </c>
      <c r="BD17" t="s">
        <v>311</v>
      </c>
      <c r="BE17" t="s">
        <v>311</v>
      </c>
      <c r="BF17" t="s">
        <v>311</v>
      </c>
      <c r="BG17" t="s">
        <v>311</v>
      </c>
      <c r="BH17" t="s">
        <v>311</v>
      </c>
      <c r="BI17" t="s">
        <v>311</v>
      </c>
      <c r="BJ17" t="s">
        <v>311</v>
      </c>
      <c r="BK17" t="s">
        <v>311</v>
      </c>
      <c r="BL17" t="s">
        <v>311</v>
      </c>
      <c r="BM17" t="s">
        <v>311</v>
      </c>
      <c r="BN17" t="s">
        <v>311</v>
      </c>
      <c r="BO17" t="s">
        <v>311</v>
      </c>
      <c r="BP17" t="s">
        <v>311</v>
      </c>
      <c r="BQ17" t="s">
        <v>311</v>
      </c>
      <c r="BR17">
        <v>1.05</v>
      </c>
      <c r="BS17">
        <v>18.2</v>
      </c>
      <c r="BT17" t="s">
        <v>1209</v>
      </c>
      <c r="BU17" t="s">
        <v>1210</v>
      </c>
      <c r="BV17" t="s">
        <v>311</v>
      </c>
      <c r="BW17" t="s">
        <v>311</v>
      </c>
      <c r="BX17" t="s">
        <v>311</v>
      </c>
      <c r="BY17" t="s">
        <v>1538</v>
      </c>
      <c r="BZ17" t="s">
        <v>1537</v>
      </c>
      <c r="CA17">
        <v>0</v>
      </c>
      <c r="CB17" t="s">
        <v>1536</v>
      </c>
    </row>
    <row r="18" spans="1:80">
      <c r="A18" t="s">
        <v>827</v>
      </c>
      <c r="B18">
        <v>5</v>
      </c>
      <c r="C18">
        <v>2</v>
      </c>
      <c r="D18" t="s">
        <v>1514</v>
      </c>
      <c r="E18" t="s">
        <v>1513</v>
      </c>
      <c r="F18" t="s">
        <v>311</v>
      </c>
      <c r="G18" t="s">
        <v>311</v>
      </c>
      <c r="H18" t="s">
        <v>1516</v>
      </c>
      <c r="I18" t="s">
        <v>1517</v>
      </c>
      <c r="J18" s="20">
        <v>32.731741999999997</v>
      </c>
      <c r="K18">
        <v>-117.210859</v>
      </c>
      <c r="L18" t="s">
        <v>361</v>
      </c>
      <c r="M18" t="s">
        <v>1518</v>
      </c>
      <c r="N18" t="s">
        <v>531</v>
      </c>
      <c r="O18" t="s">
        <v>288</v>
      </c>
      <c r="P18" t="s">
        <v>693</v>
      </c>
      <c r="Q18" t="s">
        <v>333</v>
      </c>
      <c r="R18" t="s">
        <v>550</v>
      </c>
      <c r="S18" t="s">
        <v>717</v>
      </c>
      <c r="T18" t="s">
        <v>330</v>
      </c>
      <c r="U18">
        <v>5</v>
      </c>
      <c r="V18" t="s">
        <v>551</v>
      </c>
      <c r="W18">
        <v>2023</v>
      </c>
      <c r="X18" t="s">
        <v>292</v>
      </c>
      <c r="Y18" t="s">
        <v>685</v>
      </c>
      <c r="Z18" t="s">
        <v>537</v>
      </c>
      <c r="AA18" t="s">
        <v>538</v>
      </c>
      <c r="AB18" t="s">
        <v>1519</v>
      </c>
      <c r="AC18" t="s">
        <v>1520</v>
      </c>
      <c r="AD18" t="s">
        <v>340</v>
      </c>
      <c r="AE18" t="s">
        <v>311</v>
      </c>
      <c r="AF18" t="s">
        <v>567</v>
      </c>
      <c r="AG18" t="s">
        <v>311</v>
      </c>
      <c r="AH18" t="s">
        <v>311</v>
      </c>
      <c r="AI18" t="s">
        <v>311</v>
      </c>
      <c r="AJ18" t="s">
        <v>1523</v>
      </c>
      <c r="AK18" t="s">
        <v>357</v>
      </c>
      <c r="AL18" t="s">
        <v>1059</v>
      </c>
      <c r="AM18" t="s">
        <v>584</v>
      </c>
      <c r="AN18" t="s">
        <v>606</v>
      </c>
      <c r="AO18" t="s">
        <v>887</v>
      </c>
      <c r="AR18" t="s">
        <v>311</v>
      </c>
      <c r="AS18">
        <v>4</v>
      </c>
      <c r="AV18" t="s">
        <v>311</v>
      </c>
      <c r="AW18">
        <v>4</v>
      </c>
      <c r="AX18" t="s">
        <v>311</v>
      </c>
      <c r="AY18" t="s">
        <v>311</v>
      </c>
      <c r="AZ18" t="s">
        <v>311</v>
      </c>
      <c r="BA18" t="s">
        <v>311</v>
      </c>
      <c r="BB18" t="s">
        <v>311</v>
      </c>
      <c r="BC18" t="s">
        <v>311</v>
      </c>
      <c r="BD18" t="s">
        <v>311</v>
      </c>
      <c r="BE18" t="s">
        <v>311</v>
      </c>
      <c r="BF18" t="s">
        <v>311</v>
      </c>
      <c r="BG18" t="s">
        <v>311</v>
      </c>
      <c r="BH18" t="s">
        <v>311</v>
      </c>
      <c r="BI18" t="s">
        <v>311</v>
      </c>
      <c r="BJ18" t="s">
        <v>311</v>
      </c>
      <c r="BK18" t="s">
        <v>311</v>
      </c>
      <c r="BL18" t="s">
        <v>311</v>
      </c>
      <c r="BM18" t="s">
        <v>311</v>
      </c>
      <c r="BN18" t="s">
        <v>311</v>
      </c>
      <c r="BO18" t="s">
        <v>311</v>
      </c>
      <c r="BP18" t="s">
        <v>311</v>
      </c>
      <c r="BQ18" t="s">
        <v>311</v>
      </c>
      <c r="BR18">
        <v>1.05</v>
      </c>
      <c r="BS18">
        <v>18.2</v>
      </c>
      <c r="BT18" t="s">
        <v>1209</v>
      </c>
      <c r="BU18" t="s">
        <v>1210</v>
      </c>
      <c r="BV18" t="s">
        <v>311</v>
      </c>
      <c r="BW18" t="s">
        <v>311</v>
      </c>
      <c r="BX18" t="s">
        <v>311</v>
      </c>
      <c r="BY18" t="s">
        <v>1538</v>
      </c>
      <c r="BZ18" t="s">
        <v>1537</v>
      </c>
      <c r="CA18">
        <v>0</v>
      </c>
      <c r="CB18" t="s">
        <v>1526</v>
      </c>
    </row>
    <row r="19" spans="1:80">
      <c r="A19" t="s">
        <v>827</v>
      </c>
      <c r="B19">
        <v>5</v>
      </c>
      <c r="C19">
        <v>3</v>
      </c>
      <c r="D19" t="s">
        <v>1514</v>
      </c>
      <c r="E19" t="s">
        <v>1513</v>
      </c>
      <c r="F19" t="s">
        <v>311</v>
      </c>
      <c r="G19" t="s">
        <v>311</v>
      </c>
      <c r="H19" t="s">
        <v>1516</v>
      </c>
      <c r="I19" t="s">
        <v>1517</v>
      </c>
      <c r="J19" s="20">
        <v>32.731741999999997</v>
      </c>
      <c r="K19">
        <v>-117.210859</v>
      </c>
      <c r="L19" t="s">
        <v>361</v>
      </c>
      <c r="M19" t="s">
        <v>1518</v>
      </c>
      <c r="N19" t="s">
        <v>531</v>
      </c>
      <c r="O19" t="s">
        <v>288</v>
      </c>
      <c r="P19" t="s">
        <v>693</v>
      </c>
      <c r="Q19" t="s">
        <v>333</v>
      </c>
      <c r="R19" t="s">
        <v>550</v>
      </c>
      <c r="S19" t="s">
        <v>717</v>
      </c>
      <c r="T19" t="s">
        <v>330</v>
      </c>
      <c r="U19">
        <v>5</v>
      </c>
      <c r="V19" t="s">
        <v>752</v>
      </c>
      <c r="W19">
        <v>2023</v>
      </c>
      <c r="X19" t="s">
        <v>292</v>
      </c>
      <c r="Y19" t="s">
        <v>685</v>
      </c>
      <c r="Z19" t="s">
        <v>537</v>
      </c>
      <c r="AA19" t="s">
        <v>538</v>
      </c>
      <c r="AB19" t="s">
        <v>1519</v>
      </c>
      <c r="AC19" t="s">
        <v>1520</v>
      </c>
      <c r="AD19" t="s">
        <v>292</v>
      </c>
      <c r="AE19" t="s">
        <v>618</v>
      </c>
      <c r="AF19" t="s">
        <v>552</v>
      </c>
      <c r="AG19" t="s">
        <v>555</v>
      </c>
      <c r="AH19" t="s">
        <v>619</v>
      </c>
      <c r="AI19" t="s">
        <v>620</v>
      </c>
      <c r="AJ19" t="s">
        <v>1527</v>
      </c>
      <c r="AK19" t="s">
        <v>357</v>
      </c>
      <c r="AL19" t="s">
        <v>1059</v>
      </c>
      <c r="AM19" t="s">
        <v>1277</v>
      </c>
      <c r="AN19" t="s">
        <v>1283</v>
      </c>
      <c r="AO19" t="s">
        <v>614</v>
      </c>
      <c r="AR19" t="s">
        <v>311</v>
      </c>
      <c r="AS19">
        <v>4</v>
      </c>
      <c r="AV19" t="s">
        <v>311</v>
      </c>
      <c r="AW19">
        <v>4</v>
      </c>
      <c r="AX19" t="s">
        <v>311</v>
      </c>
      <c r="AY19" t="s">
        <v>311</v>
      </c>
      <c r="AZ19" t="s">
        <v>311</v>
      </c>
      <c r="BA19" t="s">
        <v>311</v>
      </c>
      <c r="BB19" t="s">
        <v>311</v>
      </c>
      <c r="BC19" t="s">
        <v>311</v>
      </c>
      <c r="BD19" t="s">
        <v>311</v>
      </c>
      <c r="BE19" t="s">
        <v>311</v>
      </c>
      <c r="BF19" t="s">
        <v>311</v>
      </c>
      <c r="BG19" t="s">
        <v>311</v>
      </c>
      <c r="BH19" t="s">
        <v>311</v>
      </c>
      <c r="BI19" t="s">
        <v>311</v>
      </c>
      <c r="BJ19" t="s">
        <v>311</v>
      </c>
      <c r="BK19" t="s">
        <v>311</v>
      </c>
      <c r="BL19" t="s">
        <v>311</v>
      </c>
      <c r="BM19" t="s">
        <v>311</v>
      </c>
      <c r="BN19" t="s">
        <v>311</v>
      </c>
      <c r="BO19" t="s">
        <v>311</v>
      </c>
      <c r="BP19" t="s">
        <v>311</v>
      </c>
      <c r="BQ19" t="s">
        <v>311</v>
      </c>
      <c r="BR19">
        <v>1.05</v>
      </c>
      <c r="BS19">
        <v>22.8</v>
      </c>
      <c r="BT19" t="s">
        <v>1209</v>
      </c>
      <c r="BU19" t="s">
        <v>1210</v>
      </c>
      <c r="BV19" t="s">
        <v>311</v>
      </c>
      <c r="BW19" t="s">
        <v>311</v>
      </c>
      <c r="BX19" t="s">
        <v>311</v>
      </c>
      <c r="BY19" t="s">
        <v>1538</v>
      </c>
      <c r="BZ19" t="s">
        <v>1537</v>
      </c>
      <c r="CA19">
        <v>0</v>
      </c>
      <c r="CB19" t="s">
        <v>1521</v>
      </c>
    </row>
    <row r="20" spans="1:80">
      <c r="A20" t="s">
        <v>827</v>
      </c>
      <c r="B20">
        <v>5</v>
      </c>
      <c r="C20">
        <v>4</v>
      </c>
      <c r="D20" t="s">
        <v>1514</v>
      </c>
      <c r="E20" t="s">
        <v>1513</v>
      </c>
      <c r="F20" t="s">
        <v>311</v>
      </c>
      <c r="G20" t="s">
        <v>311</v>
      </c>
      <c r="H20" t="s">
        <v>1516</v>
      </c>
      <c r="I20" t="s">
        <v>1517</v>
      </c>
      <c r="J20" s="20">
        <v>32.731741999999997</v>
      </c>
      <c r="K20">
        <v>-117.210859</v>
      </c>
      <c r="L20" t="s">
        <v>361</v>
      </c>
      <c r="M20" t="s">
        <v>1518</v>
      </c>
      <c r="N20" t="s">
        <v>531</v>
      </c>
      <c r="O20" t="s">
        <v>288</v>
      </c>
      <c r="P20" t="s">
        <v>693</v>
      </c>
      <c r="Q20" t="s">
        <v>333</v>
      </c>
      <c r="R20" t="s">
        <v>550</v>
      </c>
      <c r="S20" t="s">
        <v>717</v>
      </c>
      <c r="T20" t="s">
        <v>330</v>
      </c>
      <c r="U20">
        <v>5</v>
      </c>
      <c r="V20" t="s">
        <v>752</v>
      </c>
      <c r="W20">
        <v>2023</v>
      </c>
      <c r="X20" t="s">
        <v>292</v>
      </c>
      <c r="Y20" t="s">
        <v>685</v>
      </c>
      <c r="Z20" t="s">
        <v>537</v>
      </c>
      <c r="AA20" t="s">
        <v>538</v>
      </c>
      <c r="AB20" t="s">
        <v>1519</v>
      </c>
      <c r="AC20" t="s">
        <v>1520</v>
      </c>
      <c r="AD20" t="s">
        <v>340</v>
      </c>
      <c r="AE20" t="s">
        <v>311</v>
      </c>
      <c r="AF20" t="s">
        <v>567</v>
      </c>
      <c r="AG20" t="s">
        <v>311</v>
      </c>
      <c r="AH20" t="s">
        <v>311</v>
      </c>
      <c r="AI20" t="s">
        <v>311</v>
      </c>
      <c r="AJ20" t="s">
        <v>1524</v>
      </c>
      <c r="AK20" t="s">
        <v>357</v>
      </c>
      <c r="AL20" t="s">
        <v>1059</v>
      </c>
      <c r="AM20" t="s">
        <v>584</v>
      </c>
      <c r="AN20" t="s">
        <v>870</v>
      </c>
      <c r="AO20" t="s">
        <v>887</v>
      </c>
      <c r="AR20" t="s">
        <v>311</v>
      </c>
      <c r="AS20">
        <v>4</v>
      </c>
      <c r="AV20" t="s">
        <v>311</v>
      </c>
      <c r="AW20">
        <v>4</v>
      </c>
      <c r="AX20" t="s">
        <v>311</v>
      </c>
      <c r="AY20" t="s">
        <v>311</v>
      </c>
      <c r="AZ20" t="s">
        <v>311</v>
      </c>
      <c r="BA20" t="s">
        <v>311</v>
      </c>
      <c r="BB20" t="s">
        <v>311</v>
      </c>
      <c r="BC20" t="s">
        <v>311</v>
      </c>
      <c r="BD20" t="s">
        <v>311</v>
      </c>
      <c r="BE20" t="s">
        <v>311</v>
      </c>
      <c r="BF20" t="s">
        <v>311</v>
      </c>
      <c r="BG20" t="s">
        <v>311</v>
      </c>
      <c r="BH20" t="s">
        <v>311</v>
      </c>
      <c r="BI20" t="s">
        <v>311</v>
      </c>
      <c r="BJ20" t="s">
        <v>311</v>
      </c>
      <c r="BK20" t="s">
        <v>311</v>
      </c>
      <c r="BL20" t="s">
        <v>311</v>
      </c>
      <c r="BM20" t="s">
        <v>311</v>
      </c>
      <c r="BN20" t="s">
        <v>311</v>
      </c>
      <c r="BO20" t="s">
        <v>311</v>
      </c>
      <c r="BP20" t="s">
        <v>311</v>
      </c>
      <c r="BQ20" t="s">
        <v>311</v>
      </c>
      <c r="BR20">
        <v>1.05</v>
      </c>
      <c r="BS20">
        <v>22.8</v>
      </c>
      <c r="BT20" t="s">
        <v>1209</v>
      </c>
      <c r="BU20" t="s">
        <v>1210</v>
      </c>
      <c r="BV20" t="s">
        <v>311</v>
      </c>
      <c r="BW20" t="s">
        <v>311</v>
      </c>
      <c r="BX20" t="s">
        <v>311</v>
      </c>
      <c r="BY20" t="s">
        <v>1538</v>
      </c>
      <c r="BZ20" t="s">
        <v>1537</v>
      </c>
      <c r="CA20">
        <v>0</v>
      </c>
      <c r="CB20" t="s">
        <v>1525</v>
      </c>
    </row>
    <row r="21" spans="1:80">
      <c r="A21" t="s">
        <v>827</v>
      </c>
      <c r="B21">
        <v>5</v>
      </c>
      <c r="C21">
        <v>5</v>
      </c>
      <c r="D21" t="s">
        <v>1514</v>
      </c>
      <c r="E21" t="s">
        <v>1513</v>
      </c>
      <c r="F21" t="s">
        <v>311</v>
      </c>
      <c r="G21" t="s">
        <v>311</v>
      </c>
      <c r="H21" t="s">
        <v>1516</v>
      </c>
      <c r="I21" t="s">
        <v>1517</v>
      </c>
      <c r="J21" s="20">
        <v>32.731741999999997</v>
      </c>
      <c r="K21">
        <v>-117.210859</v>
      </c>
      <c r="L21" t="s">
        <v>361</v>
      </c>
      <c r="M21" t="s">
        <v>1518</v>
      </c>
      <c r="N21" t="s">
        <v>531</v>
      </c>
      <c r="O21" t="s">
        <v>288</v>
      </c>
      <c r="P21" t="s">
        <v>693</v>
      </c>
      <c r="Q21" t="s">
        <v>333</v>
      </c>
      <c r="R21" t="s">
        <v>550</v>
      </c>
      <c r="S21" t="s">
        <v>717</v>
      </c>
      <c r="T21" t="s">
        <v>330</v>
      </c>
      <c r="U21">
        <v>5</v>
      </c>
      <c r="V21" t="s">
        <v>535</v>
      </c>
      <c r="W21">
        <v>2023</v>
      </c>
      <c r="X21" t="s">
        <v>292</v>
      </c>
      <c r="Y21" t="s">
        <v>685</v>
      </c>
      <c r="Z21" t="s">
        <v>537</v>
      </c>
      <c r="AA21" t="s">
        <v>538</v>
      </c>
      <c r="AB21" t="s">
        <v>1519</v>
      </c>
      <c r="AC21" t="s">
        <v>1520</v>
      </c>
      <c r="AD21" t="s">
        <v>292</v>
      </c>
      <c r="AE21" t="s">
        <v>618</v>
      </c>
      <c r="AF21" t="s">
        <v>552</v>
      </c>
      <c r="AG21" t="s">
        <v>555</v>
      </c>
      <c r="AH21" t="s">
        <v>619</v>
      </c>
      <c r="AI21" t="s">
        <v>620</v>
      </c>
      <c r="AJ21" t="s">
        <v>1528</v>
      </c>
      <c r="AK21" t="s">
        <v>357</v>
      </c>
      <c r="AL21" t="s">
        <v>1059</v>
      </c>
      <c r="AM21" t="s">
        <v>1277</v>
      </c>
      <c r="AN21" t="s">
        <v>1283</v>
      </c>
      <c r="AO21" t="s">
        <v>614</v>
      </c>
      <c r="AR21" t="s">
        <v>311</v>
      </c>
      <c r="AS21">
        <v>4</v>
      </c>
      <c r="AV21" t="s">
        <v>311</v>
      </c>
      <c r="AW21">
        <v>4</v>
      </c>
      <c r="AX21" t="s">
        <v>311</v>
      </c>
      <c r="AY21" t="s">
        <v>311</v>
      </c>
      <c r="AZ21" t="s">
        <v>311</v>
      </c>
      <c r="BA21" t="s">
        <v>311</v>
      </c>
      <c r="BB21" t="s">
        <v>311</v>
      </c>
      <c r="BC21" t="s">
        <v>311</v>
      </c>
      <c r="BD21" t="s">
        <v>311</v>
      </c>
      <c r="BE21" t="s">
        <v>311</v>
      </c>
      <c r="BF21" t="s">
        <v>311</v>
      </c>
      <c r="BG21" t="s">
        <v>311</v>
      </c>
      <c r="BH21" t="s">
        <v>311</v>
      </c>
      <c r="BI21" t="s">
        <v>311</v>
      </c>
      <c r="BJ21" t="s">
        <v>311</v>
      </c>
      <c r="BK21" t="s">
        <v>311</v>
      </c>
      <c r="BL21" t="s">
        <v>311</v>
      </c>
      <c r="BM21" t="s">
        <v>311</v>
      </c>
      <c r="BN21" t="s">
        <v>311</v>
      </c>
      <c r="BO21" t="s">
        <v>311</v>
      </c>
      <c r="BP21" t="s">
        <v>311</v>
      </c>
      <c r="BQ21" t="s">
        <v>311</v>
      </c>
      <c r="BR21">
        <v>1.05</v>
      </c>
      <c r="BS21">
        <v>22.1</v>
      </c>
      <c r="BT21" t="s">
        <v>1209</v>
      </c>
      <c r="BU21" t="s">
        <v>1210</v>
      </c>
      <c r="BV21" t="s">
        <v>311</v>
      </c>
      <c r="BW21" t="s">
        <v>311</v>
      </c>
      <c r="BX21" t="s">
        <v>311</v>
      </c>
      <c r="BY21" t="s">
        <v>1538</v>
      </c>
      <c r="BZ21" t="s">
        <v>1537</v>
      </c>
      <c r="CA21">
        <v>0</v>
      </c>
      <c r="CB21" t="s">
        <v>1534</v>
      </c>
    </row>
    <row r="22" spans="1:80">
      <c r="A22" t="s">
        <v>827</v>
      </c>
      <c r="B22">
        <v>5</v>
      </c>
      <c r="C22">
        <v>6</v>
      </c>
      <c r="D22" t="s">
        <v>1514</v>
      </c>
      <c r="E22" t="s">
        <v>1513</v>
      </c>
      <c r="F22" t="s">
        <v>311</v>
      </c>
      <c r="G22" t="s">
        <v>311</v>
      </c>
      <c r="H22" t="s">
        <v>1516</v>
      </c>
      <c r="I22" t="s">
        <v>1517</v>
      </c>
      <c r="J22" s="20">
        <v>32.731741999999997</v>
      </c>
      <c r="K22">
        <v>-117.210859</v>
      </c>
      <c r="L22" t="s">
        <v>361</v>
      </c>
      <c r="M22" t="s">
        <v>1518</v>
      </c>
      <c r="N22" t="s">
        <v>531</v>
      </c>
      <c r="O22" t="s">
        <v>288</v>
      </c>
      <c r="P22" t="s">
        <v>693</v>
      </c>
      <c r="Q22" t="s">
        <v>333</v>
      </c>
      <c r="R22" t="s">
        <v>550</v>
      </c>
      <c r="S22" t="s">
        <v>717</v>
      </c>
      <c r="T22" t="s">
        <v>330</v>
      </c>
      <c r="U22">
        <v>5</v>
      </c>
      <c r="V22" t="s">
        <v>535</v>
      </c>
      <c r="W22">
        <v>2023</v>
      </c>
      <c r="X22" t="s">
        <v>292</v>
      </c>
      <c r="Y22" t="s">
        <v>1529</v>
      </c>
      <c r="Z22" t="s">
        <v>604</v>
      </c>
      <c r="AA22" t="s">
        <v>538</v>
      </c>
      <c r="AB22" t="s">
        <v>1530</v>
      </c>
      <c r="AC22" t="s">
        <v>1531</v>
      </c>
      <c r="AD22" t="s">
        <v>292</v>
      </c>
      <c r="AE22" t="s">
        <v>618</v>
      </c>
      <c r="AF22" t="s">
        <v>552</v>
      </c>
      <c r="AG22" t="s">
        <v>555</v>
      </c>
      <c r="AH22" t="s">
        <v>619</v>
      </c>
      <c r="AI22" t="s">
        <v>620</v>
      </c>
      <c r="AJ22" t="s">
        <v>1528</v>
      </c>
      <c r="AK22" t="s">
        <v>357</v>
      </c>
      <c r="AL22" t="s">
        <v>1059</v>
      </c>
      <c r="AM22" t="s">
        <v>1277</v>
      </c>
      <c r="AN22" t="s">
        <v>1283</v>
      </c>
      <c r="AO22" t="s">
        <v>614</v>
      </c>
      <c r="AR22" t="s">
        <v>311</v>
      </c>
      <c r="AS22">
        <v>4</v>
      </c>
      <c r="AV22" t="s">
        <v>311</v>
      </c>
      <c r="AW22">
        <v>4</v>
      </c>
      <c r="AX22" t="s">
        <v>311</v>
      </c>
      <c r="AY22" t="s">
        <v>311</v>
      </c>
      <c r="AZ22" t="s">
        <v>311</v>
      </c>
      <c r="BA22" t="s">
        <v>311</v>
      </c>
      <c r="BB22" t="s">
        <v>311</v>
      </c>
      <c r="BC22" t="s">
        <v>311</v>
      </c>
      <c r="BD22" t="s">
        <v>311</v>
      </c>
      <c r="BE22" t="s">
        <v>311</v>
      </c>
      <c r="BF22" t="s">
        <v>311</v>
      </c>
      <c r="BG22" t="s">
        <v>311</v>
      </c>
      <c r="BH22" t="s">
        <v>311</v>
      </c>
      <c r="BI22" t="s">
        <v>311</v>
      </c>
      <c r="BJ22" t="s">
        <v>311</v>
      </c>
      <c r="BK22" t="s">
        <v>311</v>
      </c>
      <c r="BL22" t="s">
        <v>311</v>
      </c>
      <c r="BM22" t="s">
        <v>311</v>
      </c>
      <c r="BN22" t="s">
        <v>311</v>
      </c>
      <c r="BO22" t="s">
        <v>311</v>
      </c>
      <c r="BP22" t="s">
        <v>311</v>
      </c>
      <c r="BQ22" t="s">
        <v>311</v>
      </c>
      <c r="BR22">
        <v>1.05</v>
      </c>
      <c r="BS22">
        <v>22.1</v>
      </c>
      <c r="BT22" t="s">
        <v>1209</v>
      </c>
      <c r="BU22" t="s">
        <v>1210</v>
      </c>
      <c r="BV22" t="s">
        <v>311</v>
      </c>
      <c r="BW22" t="s">
        <v>311</v>
      </c>
      <c r="BX22" t="s">
        <v>311</v>
      </c>
      <c r="BY22" t="s">
        <v>1538</v>
      </c>
      <c r="BZ22" t="s">
        <v>1537</v>
      </c>
      <c r="CA22">
        <v>0</v>
      </c>
      <c r="CB22" t="s">
        <v>1533</v>
      </c>
    </row>
    <row r="23" spans="1:80">
      <c r="A23" t="s">
        <v>827</v>
      </c>
      <c r="B23">
        <v>5</v>
      </c>
      <c r="C23">
        <v>7</v>
      </c>
      <c r="D23" t="s">
        <v>1514</v>
      </c>
      <c r="E23" t="s">
        <v>1513</v>
      </c>
      <c r="F23" t="s">
        <v>311</v>
      </c>
      <c r="G23" t="s">
        <v>311</v>
      </c>
      <c r="H23" t="s">
        <v>1516</v>
      </c>
      <c r="I23" t="s">
        <v>1517</v>
      </c>
      <c r="J23" s="20">
        <v>32.731741999999997</v>
      </c>
      <c r="K23">
        <v>-117.210859</v>
      </c>
      <c r="L23" t="s">
        <v>361</v>
      </c>
      <c r="M23" t="s">
        <v>1518</v>
      </c>
      <c r="N23" t="s">
        <v>531</v>
      </c>
      <c r="O23" t="s">
        <v>288</v>
      </c>
      <c r="P23" t="s">
        <v>693</v>
      </c>
      <c r="Q23" t="s">
        <v>333</v>
      </c>
      <c r="R23" t="s">
        <v>550</v>
      </c>
      <c r="S23" t="s">
        <v>717</v>
      </c>
      <c r="T23" t="s">
        <v>330</v>
      </c>
      <c r="U23">
        <v>5</v>
      </c>
      <c r="V23" t="s">
        <v>535</v>
      </c>
      <c r="W23">
        <v>2023</v>
      </c>
      <c r="X23" t="s">
        <v>340</v>
      </c>
      <c r="Y23" t="s">
        <v>311</v>
      </c>
      <c r="Z23" t="s">
        <v>537</v>
      </c>
      <c r="AA23" t="s">
        <v>538</v>
      </c>
      <c r="AB23" t="s">
        <v>311</v>
      </c>
      <c r="AC23" t="s">
        <v>311</v>
      </c>
      <c r="AD23" t="s">
        <v>292</v>
      </c>
      <c r="AE23" t="s">
        <v>618</v>
      </c>
      <c r="AF23" t="s">
        <v>552</v>
      </c>
      <c r="AG23" t="s">
        <v>555</v>
      </c>
      <c r="AH23" t="s">
        <v>619</v>
      </c>
      <c r="AI23" t="s">
        <v>620</v>
      </c>
      <c r="AJ23" t="s">
        <v>1528</v>
      </c>
      <c r="AK23" t="s">
        <v>357</v>
      </c>
      <c r="AL23" t="s">
        <v>1059</v>
      </c>
      <c r="AM23" t="s">
        <v>1277</v>
      </c>
      <c r="AN23" t="s">
        <v>1283</v>
      </c>
      <c r="AO23" t="s">
        <v>614</v>
      </c>
      <c r="AR23" t="s">
        <v>311</v>
      </c>
      <c r="AS23">
        <v>4</v>
      </c>
      <c r="AV23" t="s">
        <v>311</v>
      </c>
      <c r="AW23">
        <v>4</v>
      </c>
      <c r="AX23" t="s">
        <v>311</v>
      </c>
      <c r="AY23" t="s">
        <v>311</v>
      </c>
      <c r="AZ23" t="s">
        <v>311</v>
      </c>
      <c r="BA23" t="s">
        <v>311</v>
      </c>
      <c r="BB23" t="s">
        <v>311</v>
      </c>
      <c r="BC23" t="s">
        <v>311</v>
      </c>
      <c r="BD23" t="s">
        <v>311</v>
      </c>
      <c r="BE23" t="s">
        <v>311</v>
      </c>
      <c r="BF23" t="s">
        <v>311</v>
      </c>
      <c r="BG23" t="s">
        <v>311</v>
      </c>
      <c r="BH23" t="s">
        <v>311</v>
      </c>
      <c r="BI23" t="s">
        <v>311</v>
      </c>
      <c r="BJ23" t="s">
        <v>311</v>
      </c>
      <c r="BK23" t="s">
        <v>311</v>
      </c>
      <c r="BL23" t="s">
        <v>311</v>
      </c>
      <c r="BM23" t="s">
        <v>311</v>
      </c>
      <c r="BN23" t="s">
        <v>311</v>
      </c>
      <c r="BO23" t="s">
        <v>311</v>
      </c>
      <c r="BP23" t="s">
        <v>311</v>
      </c>
      <c r="BQ23" t="s">
        <v>311</v>
      </c>
      <c r="BR23">
        <v>1.05</v>
      </c>
      <c r="BS23">
        <v>22.1</v>
      </c>
      <c r="BT23" t="s">
        <v>1209</v>
      </c>
      <c r="BU23" t="s">
        <v>1210</v>
      </c>
      <c r="BV23" t="s">
        <v>311</v>
      </c>
      <c r="BW23" t="s">
        <v>311</v>
      </c>
      <c r="BX23" t="s">
        <v>311</v>
      </c>
      <c r="BY23" t="s">
        <v>1538</v>
      </c>
      <c r="BZ23" t="s">
        <v>1537</v>
      </c>
      <c r="CA23">
        <v>0</v>
      </c>
      <c r="CB23" t="s">
        <v>1532</v>
      </c>
    </row>
    <row r="24" spans="1:80" s="22" customFormat="1">
      <c r="A24" s="22" t="s">
        <v>1602</v>
      </c>
      <c r="B24" s="22">
        <v>16</v>
      </c>
      <c r="C24" s="22">
        <v>1</v>
      </c>
      <c r="D24" s="22" t="s">
        <v>100</v>
      </c>
      <c r="E24" s="22" t="s">
        <v>101</v>
      </c>
      <c r="F24" s="22" t="s">
        <v>86</v>
      </c>
      <c r="G24" s="22">
        <v>2013</v>
      </c>
      <c r="H24" s="22" t="s">
        <v>1263</v>
      </c>
      <c r="I24" s="22" t="s">
        <v>1264</v>
      </c>
      <c r="J24" s="22">
        <v>23.525029</v>
      </c>
      <c r="K24" s="22">
        <v>-75.759159999999994</v>
      </c>
      <c r="L24" s="22" t="s">
        <v>358</v>
      </c>
      <c r="M24" s="22" t="s">
        <v>387</v>
      </c>
      <c r="N24" s="22" t="s">
        <v>531</v>
      </c>
      <c r="O24" s="22" t="s">
        <v>532</v>
      </c>
      <c r="P24" s="22" t="s">
        <v>693</v>
      </c>
      <c r="Q24" s="22" t="s">
        <v>291</v>
      </c>
      <c r="R24" s="22" t="s">
        <v>650</v>
      </c>
      <c r="S24" s="22" t="s">
        <v>311</v>
      </c>
      <c r="T24" s="22" t="s">
        <v>331</v>
      </c>
      <c r="U24" s="22">
        <v>2</v>
      </c>
      <c r="V24" s="22" t="s">
        <v>311</v>
      </c>
      <c r="W24" s="22" t="s">
        <v>961</v>
      </c>
      <c r="X24" s="22" t="s">
        <v>340</v>
      </c>
      <c r="Y24" s="22" t="s">
        <v>311</v>
      </c>
      <c r="Z24" s="22" t="s">
        <v>1057</v>
      </c>
      <c r="AA24" s="22" t="s">
        <v>610</v>
      </c>
      <c r="AB24" s="22" t="s">
        <v>311</v>
      </c>
      <c r="AC24" s="22" t="s">
        <v>311</v>
      </c>
      <c r="AD24" s="22" t="s">
        <v>292</v>
      </c>
      <c r="AE24" s="22" t="s">
        <v>653</v>
      </c>
      <c r="AF24" s="22" t="s">
        <v>304</v>
      </c>
      <c r="AG24" s="22" t="s">
        <v>305</v>
      </c>
      <c r="AH24" s="22" t="s">
        <v>652</v>
      </c>
      <c r="AI24" s="22" t="s">
        <v>651</v>
      </c>
      <c r="AJ24" s="22" t="s">
        <v>549</v>
      </c>
      <c r="AK24" s="22" t="s">
        <v>357</v>
      </c>
      <c r="AL24" s="22" t="s">
        <v>1059</v>
      </c>
      <c r="AM24" s="22" t="s">
        <v>583</v>
      </c>
      <c r="AN24" s="22" t="s">
        <v>1294</v>
      </c>
      <c r="AO24" s="22" t="s">
        <v>614</v>
      </c>
      <c r="AP24" s="23">
        <v>29.109589041096015</v>
      </c>
      <c r="AQ24" s="23">
        <v>1.7123287671236027</v>
      </c>
      <c r="AR24" s="22" t="s">
        <v>311</v>
      </c>
      <c r="AS24" s="22">
        <v>15</v>
      </c>
      <c r="AT24" s="23">
        <v>30.479452054793995</v>
      </c>
      <c r="AU24" s="23">
        <v>2.9460018037818907</v>
      </c>
      <c r="AV24" s="22" t="s">
        <v>311</v>
      </c>
      <c r="AW24" s="22">
        <v>15</v>
      </c>
      <c r="AX24" s="22" t="s">
        <v>311</v>
      </c>
      <c r="AY24" s="22" t="s">
        <v>311</v>
      </c>
      <c r="AZ24" s="22" t="s">
        <v>311</v>
      </c>
      <c r="BA24" s="22" t="s">
        <v>311</v>
      </c>
      <c r="BB24" s="22" t="s">
        <v>311</v>
      </c>
      <c r="BC24" s="22" t="s">
        <v>311</v>
      </c>
      <c r="BD24" s="22" t="s">
        <v>311</v>
      </c>
      <c r="BE24" s="22" t="s">
        <v>311</v>
      </c>
      <c r="BF24" s="22" t="s">
        <v>311</v>
      </c>
      <c r="BG24" s="22" t="s">
        <v>311</v>
      </c>
      <c r="BH24" s="22" t="s">
        <v>311</v>
      </c>
      <c r="BI24" s="22" t="s">
        <v>311</v>
      </c>
      <c r="BJ24" s="22" t="s">
        <v>311</v>
      </c>
      <c r="BK24" s="22" t="s">
        <v>311</v>
      </c>
      <c r="BL24" s="22" t="s">
        <v>311</v>
      </c>
      <c r="BM24" s="22" t="s">
        <v>311</v>
      </c>
      <c r="BN24" s="22" t="s">
        <v>311</v>
      </c>
      <c r="BO24" s="22" t="s">
        <v>311</v>
      </c>
      <c r="BP24" s="22" t="s">
        <v>1126</v>
      </c>
      <c r="BQ24" s="22" t="s">
        <v>1272</v>
      </c>
      <c r="BR24" s="22">
        <v>3.7223712580326209</v>
      </c>
      <c r="BS24" s="22">
        <v>26.17</v>
      </c>
      <c r="BT24" s="22" t="s">
        <v>1209</v>
      </c>
      <c r="BU24" s="22" t="s">
        <v>1209</v>
      </c>
      <c r="BV24" s="22" t="s">
        <v>311</v>
      </c>
      <c r="BW24" s="22" t="s">
        <v>311</v>
      </c>
      <c r="BX24" s="22" t="s">
        <v>311</v>
      </c>
      <c r="BY24" s="22" t="s">
        <v>311</v>
      </c>
      <c r="BZ24" s="22" t="s">
        <v>311</v>
      </c>
      <c r="CA24" s="22" t="s">
        <v>311</v>
      </c>
      <c r="CB24" s="22" t="s">
        <v>1190</v>
      </c>
    </row>
    <row r="25" spans="1:80" s="22" customFormat="1">
      <c r="A25" s="22" t="s">
        <v>1602</v>
      </c>
      <c r="B25" s="22">
        <v>16</v>
      </c>
      <c r="C25" s="22">
        <v>2</v>
      </c>
      <c r="D25" s="22" t="s">
        <v>100</v>
      </c>
      <c r="E25" s="22" t="s">
        <v>101</v>
      </c>
      <c r="F25" s="22" t="s">
        <v>86</v>
      </c>
      <c r="G25" s="22">
        <v>2013</v>
      </c>
      <c r="H25" s="22" t="s">
        <v>1263</v>
      </c>
      <c r="I25" s="22" t="s">
        <v>1264</v>
      </c>
      <c r="J25" s="22">
        <v>23.525029</v>
      </c>
      <c r="K25" s="22">
        <v>-75.759159999999994</v>
      </c>
      <c r="L25" s="22" t="s">
        <v>358</v>
      </c>
      <c r="M25" s="22" t="s">
        <v>387</v>
      </c>
      <c r="N25" s="22" t="s">
        <v>531</v>
      </c>
      <c r="O25" s="22" t="s">
        <v>532</v>
      </c>
      <c r="P25" s="22" t="s">
        <v>693</v>
      </c>
      <c r="Q25" s="22" t="s">
        <v>291</v>
      </c>
      <c r="R25" s="22" t="s">
        <v>650</v>
      </c>
      <c r="S25" s="22" t="s">
        <v>311</v>
      </c>
      <c r="T25" s="22" t="s">
        <v>331</v>
      </c>
      <c r="U25" s="22">
        <v>2</v>
      </c>
      <c r="V25" s="22" t="s">
        <v>311</v>
      </c>
      <c r="W25" s="22">
        <v>2003</v>
      </c>
      <c r="X25" s="22" t="s">
        <v>340</v>
      </c>
      <c r="Y25" s="22" t="s">
        <v>311</v>
      </c>
      <c r="Z25" s="22" t="s">
        <v>1057</v>
      </c>
      <c r="AA25" s="22" t="s">
        <v>610</v>
      </c>
      <c r="AB25" s="22" t="s">
        <v>311</v>
      </c>
      <c r="AC25" s="22" t="s">
        <v>311</v>
      </c>
      <c r="AD25" s="22" t="s">
        <v>340</v>
      </c>
      <c r="AE25" s="22" t="s">
        <v>311</v>
      </c>
      <c r="AF25" s="22" t="s">
        <v>802</v>
      </c>
      <c r="AG25" s="22" t="s">
        <v>820</v>
      </c>
      <c r="AH25" s="22" t="s">
        <v>311</v>
      </c>
      <c r="AI25" s="22" t="s">
        <v>311</v>
      </c>
      <c r="AJ25" s="22" t="s">
        <v>549</v>
      </c>
      <c r="AK25" s="22" t="s">
        <v>357</v>
      </c>
      <c r="AL25" s="22" t="s">
        <v>1059</v>
      </c>
      <c r="AM25" s="22" t="s">
        <v>584</v>
      </c>
      <c r="AN25" s="22" t="s">
        <v>345</v>
      </c>
      <c r="AO25" s="22" t="s">
        <v>887</v>
      </c>
      <c r="AP25" s="22">
        <v>0.33625954198473201</v>
      </c>
      <c r="AQ25" s="22">
        <v>1.2595419847328981E-2</v>
      </c>
      <c r="AR25" s="22" t="s">
        <v>311</v>
      </c>
      <c r="AS25" s="22">
        <v>15</v>
      </c>
      <c r="AT25" s="22">
        <v>0.26297709923664098</v>
      </c>
      <c r="AU25" s="22">
        <v>4.5801526717550445E-3</v>
      </c>
      <c r="AV25" s="22" t="s">
        <v>311</v>
      </c>
      <c r="AW25" s="22">
        <v>15</v>
      </c>
      <c r="AX25" s="22" t="s">
        <v>311</v>
      </c>
      <c r="AY25" s="22" t="s">
        <v>311</v>
      </c>
      <c r="AZ25" s="22" t="s">
        <v>311</v>
      </c>
      <c r="BA25" s="22" t="s">
        <v>311</v>
      </c>
      <c r="BB25" s="22" t="s">
        <v>311</v>
      </c>
      <c r="BC25" s="22" t="s">
        <v>311</v>
      </c>
      <c r="BD25" s="22" t="s">
        <v>311</v>
      </c>
      <c r="BE25" s="22" t="s">
        <v>311</v>
      </c>
      <c r="BF25" s="22" t="s">
        <v>311</v>
      </c>
      <c r="BG25" s="22" t="s">
        <v>311</v>
      </c>
      <c r="BH25" s="22" t="s">
        <v>311</v>
      </c>
      <c r="BI25" s="22" t="s">
        <v>311</v>
      </c>
      <c r="BJ25" s="22" t="s">
        <v>311</v>
      </c>
      <c r="BK25" s="22" t="s">
        <v>311</v>
      </c>
      <c r="BL25" s="22" t="s">
        <v>311</v>
      </c>
      <c r="BM25" s="22" t="s">
        <v>311</v>
      </c>
      <c r="BN25" s="22" t="s">
        <v>311</v>
      </c>
      <c r="BO25" s="22" t="s">
        <v>311</v>
      </c>
      <c r="BP25" s="22" t="s">
        <v>1126</v>
      </c>
      <c r="BQ25" s="22" t="s">
        <v>1272</v>
      </c>
      <c r="BR25" s="22">
        <v>3.7223712580326209</v>
      </c>
      <c r="BS25" s="22">
        <v>26.17</v>
      </c>
      <c r="BT25" s="22" t="s">
        <v>1209</v>
      </c>
      <c r="BU25" s="22" t="s">
        <v>1209</v>
      </c>
      <c r="BV25" s="22" t="s">
        <v>311</v>
      </c>
      <c r="BW25" s="22" t="s">
        <v>311</v>
      </c>
      <c r="BX25" s="22" t="s">
        <v>311</v>
      </c>
      <c r="BY25" s="22" t="s">
        <v>311</v>
      </c>
      <c r="BZ25" s="22" t="s">
        <v>311</v>
      </c>
      <c r="CA25" s="22" t="s">
        <v>311</v>
      </c>
      <c r="CB25" s="22" t="s">
        <v>958</v>
      </c>
    </row>
    <row r="26" spans="1:80" s="22" customFormat="1">
      <c r="A26" s="22" t="s">
        <v>1602</v>
      </c>
      <c r="B26" s="22">
        <v>16</v>
      </c>
      <c r="C26" s="22">
        <v>3</v>
      </c>
      <c r="D26" s="22" t="s">
        <v>100</v>
      </c>
      <c r="E26" s="22" t="s">
        <v>101</v>
      </c>
      <c r="F26" s="22" t="s">
        <v>86</v>
      </c>
      <c r="G26" s="22">
        <v>2013</v>
      </c>
      <c r="H26" s="22" t="s">
        <v>1263</v>
      </c>
      <c r="I26" s="22" t="s">
        <v>1264</v>
      </c>
      <c r="J26" s="22">
        <v>23.525029</v>
      </c>
      <c r="K26" s="22">
        <v>-75.759159999999994</v>
      </c>
      <c r="L26" s="22" t="s">
        <v>358</v>
      </c>
      <c r="M26" s="22" t="s">
        <v>387</v>
      </c>
      <c r="N26" s="22" t="s">
        <v>531</v>
      </c>
      <c r="O26" s="22" t="s">
        <v>532</v>
      </c>
      <c r="P26" s="22" t="s">
        <v>693</v>
      </c>
      <c r="Q26" s="22" t="s">
        <v>291</v>
      </c>
      <c r="R26" s="22" t="s">
        <v>650</v>
      </c>
      <c r="S26" s="22" t="s">
        <v>311</v>
      </c>
      <c r="T26" s="22" t="s">
        <v>331</v>
      </c>
      <c r="U26" s="22">
        <v>2</v>
      </c>
      <c r="V26" s="22" t="s">
        <v>311</v>
      </c>
      <c r="W26" s="22">
        <v>2004</v>
      </c>
      <c r="X26" s="22" t="s">
        <v>340</v>
      </c>
      <c r="Y26" s="22" t="s">
        <v>311</v>
      </c>
      <c r="Z26" s="22" t="s">
        <v>1057</v>
      </c>
      <c r="AA26" s="22" t="s">
        <v>610</v>
      </c>
      <c r="AB26" s="22" t="s">
        <v>311</v>
      </c>
      <c r="AC26" s="22" t="s">
        <v>311</v>
      </c>
      <c r="AD26" s="22" t="s">
        <v>340</v>
      </c>
      <c r="AE26" s="22" t="s">
        <v>311</v>
      </c>
      <c r="AF26" s="22" t="s">
        <v>802</v>
      </c>
      <c r="AG26" s="22" t="s">
        <v>820</v>
      </c>
      <c r="AH26" s="22" t="s">
        <v>311</v>
      </c>
      <c r="AI26" s="22" t="s">
        <v>311</v>
      </c>
      <c r="AJ26" s="22" t="s">
        <v>549</v>
      </c>
      <c r="AK26" s="22" t="s">
        <v>357</v>
      </c>
      <c r="AL26" s="22" t="s">
        <v>1059</v>
      </c>
      <c r="AM26" s="22" t="s">
        <v>584</v>
      </c>
      <c r="AN26" s="22" t="s">
        <v>345</v>
      </c>
      <c r="AO26" s="22" t="s">
        <v>887</v>
      </c>
      <c r="AP26" s="22">
        <v>0.32480916030534301</v>
      </c>
      <c r="AQ26" s="22">
        <v>1.030534351144996E-2</v>
      </c>
      <c r="AR26" s="22" t="s">
        <v>311</v>
      </c>
      <c r="AS26" s="22">
        <v>15</v>
      </c>
      <c r="AT26" s="22">
        <v>0.33511450381679297</v>
      </c>
      <c r="AU26" s="22">
        <v>1.0305343511451015E-2</v>
      </c>
      <c r="AV26" s="22" t="s">
        <v>311</v>
      </c>
      <c r="AW26" s="22">
        <v>15</v>
      </c>
      <c r="AX26" s="22" t="s">
        <v>311</v>
      </c>
      <c r="AY26" s="22" t="s">
        <v>311</v>
      </c>
      <c r="AZ26" s="22" t="s">
        <v>311</v>
      </c>
      <c r="BA26" s="22" t="s">
        <v>311</v>
      </c>
      <c r="BB26" s="22" t="s">
        <v>311</v>
      </c>
      <c r="BC26" s="22" t="s">
        <v>311</v>
      </c>
      <c r="BD26" s="22" t="s">
        <v>311</v>
      </c>
      <c r="BE26" s="22" t="s">
        <v>311</v>
      </c>
      <c r="BF26" s="22" t="s">
        <v>311</v>
      </c>
      <c r="BG26" s="22" t="s">
        <v>311</v>
      </c>
      <c r="BH26" s="22" t="s">
        <v>311</v>
      </c>
      <c r="BI26" s="22" t="s">
        <v>311</v>
      </c>
      <c r="BJ26" s="22" t="s">
        <v>311</v>
      </c>
      <c r="BK26" s="22" t="s">
        <v>311</v>
      </c>
      <c r="BL26" s="22" t="s">
        <v>311</v>
      </c>
      <c r="BM26" s="22" t="s">
        <v>311</v>
      </c>
      <c r="BN26" s="22" t="s">
        <v>311</v>
      </c>
      <c r="BO26" s="22" t="s">
        <v>311</v>
      </c>
      <c r="BP26" s="22" t="s">
        <v>1126</v>
      </c>
      <c r="BQ26" s="22" t="s">
        <v>1272</v>
      </c>
      <c r="BR26" s="22">
        <v>3.7223712580326209</v>
      </c>
      <c r="BS26" s="22">
        <v>26.17</v>
      </c>
      <c r="BT26" s="22" t="s">
        <v>1209</v>
      </c>
      <c r="BU26" s="22" t="s">
        <v>1209</v>
      </c>
      <c r="BV26" s="22" t="s">
        <v>311</v>
      </c>
      <c r="BW26" s="22" t="s">
        <v>311</v>
      </c>
      <c r="BX26" s="22" t="s">
        <v>311</v>
      </c>
      <c r="BY26" s="22" t="s">
        <v>311</v>
      </c>
      <c r="BZ26" s="22" t="s">
        <v>311</v>
      </c>
      <c r="CA26" s="22" t="s">
        <v>311</v>
      </c>
      <c r="CB26" s="22" t="s">
        <v>1273</v>
      </c>
    </row>
    <row r="27" spans="1:80" s="22" customFormat="1">
      <c r="A27" s="22" t="s">
        <v>1602</v>
      </c>
      <c r="B27" s="22">
        <v>16</v>
      </c>
      <c r="C27" s="22">
        <v>4</v>
      </c>
      <c r="D27" s="22" t="s">
        <v>100</v>
      </c>
      <c r="E27" s="22" t="s">
        <v>101</v>
      </c>
      <c r="F27" s="22" t="s">
        <v>86</v>
      </c>
      <c r="G27" s="22">
        <v>2013</v>
      </c>
      <c r="H27" s="22" t="s">
        <v>1263</v>
      </c>
      <c r="I27" s="22" t="s">
        <v>1264</v>
      </c>
      <c r="J27" s="22">
        <v>23.525029</v>
      </c>
      <c r="K27" s="22">
        <v>-75.759159999999994</v>
      </c>
      <c r="L27" s="22" t="s">
        <v>358</v>
      </c>
      <c r="M27" s="22" t="s">
        <v>387</v>
      </c>
      <c r="N27" s="22" t="s">
        <v>531</v>
      </c>
      <c r="O27" s="22" t="s">
        <v>532</v>
      </c>
      <c r="P27" s="22" t="s">
        <v>693</v>
      </c>
      <c r="Q27" s="22" t="s">
        <v>291</v>
      </c>
      <c r="R27" s="22" t="s">
        <v>650</v>
      </c>
      <c r="S27" s="22" t="s">
        <v>311</v>
      </c>
      <c r="T27" s="22" t="s">
        <v>331</v>
      </c>
      <c r="U27" s="22">
        <v>2</v>
      </c>
      <c r="V27" s="22" t="s">
        <v>311</v>
      </c>
      <c r="W27" s="22">
        <v>2003</v>
      </c>
      <c r="X27" s="22" t="s">
        <v>340</v>
      </c>
      <c r="Y27" s="22" t="s">
        <v>311</v>
      </c>
      <c r="Z27" s="22" t="s">
        <v>1057</v>
      </c>
      <c r="AA27" s="22" t="s">
        <v>610</v>
      </c>
      <c r="AB27" s="22" t="s">
        <v>311</v>
      </c>
      <c r="AC27" s="22" t="s">
        <v>311</v>
      </c>
      <c r="AD27" s="22" t="s">
        <v>292</v>
      </c>
      <c r="AE27" s="22" t="s">
        <v>653</v>
      </c>
      <c r="AF27" s="22" t="s">
        <v>304</v>
      </c>
      <c r="AG27" s="22" t="s">
        <v>305</v>
      </c>
      <c r="AH27" s="22" t="s">
        <v>652</v>
      </c>
      <c r="AI27" s="22" t="s">
        <v>651</v>
      </c>
      <c r="AJ27" s="22" t="s">
        <v>549</v>
      </c>
      <c r="AK27" s="22" t="s">
        <v>357</v>
      </c>
      <c r="AL27" s="22" t="s">
        <v>1059</v>
      </c>
      <c r="AM27" s="22" t="s">
        <v>1276</v>
      </c>
      <c r="AN27" s="22" t="s">
        <v>1070</v>
      </c>
      <c r="AO27" s="22" t="s">
        <v>887</v>
      </c>
      <c r="AP27" s="22">
        <v>403.40909090909003</v>
      </c>
      <c r="AQ27" s="22">
        <v>6.8181818181819835</v>
      </c>
      <c r="AR27" s="22" t="s">
        <v>311</v>
      </c>
      <c r="AS27" s="22">
        <v>15</v>
      </c>
      <c r="AT27" s="22">
        <v>401.136363636363</v>
      </c>
      <c r="AU27" s="22">
        <v>7.9545454545460075</v>
      </c>
      <c r="AV27" s="22" t="s">
        <v>311</v>
      </c>
      <c r="AW27" s="22">
        <v>15</v>
      </c>
      <c r="AX27" s="22" t="s">
        <v>311</v>
      </c>
      <c r="AY27" s="22" t="s">
        <v>311</v>
      </c>
      <c r="AZ27" s="22" t="s">
        <v>311</v>
      </c>
      <c r="BA27" s="22" t="s">
        <v>311</v>
      </c>
      <c r="BB27" s="22" t="s">
        <v>311</v>
      </c>
      <c r="BC27" s="22" t="s">
        <v>311</v>
      </c>
      <c r="BD27" s="22" t="s">
        <v>311</v>
      </c>
      <c r="BE27" s="22" t="s">
        <v>311</v>
      </c>
      <c r="BF27" s="22" t="s">
        <v>311</v>
      </c>
      <c r="BG27" s="22" t="s">
        <v>311</v>
      </c>
      <c r="BH27" s="22" t="s">
        <v>311</v>
      </c>
      <c r="BI27" s="22" t="s">
        <v>311</v>
      </c>
      <c r="BJ27" s="22" t="s">
        <v>311</v>
      </c>
      <c r="BK27" s="22" t="s">
        <v>311</v>
      </c>
      <c r="BL27" s="22" t="s">
        <v>311</v>
      </c>
      <c r="BM27" s="22" t="s">
        <v>311</v>
      </c>
      <c r="BN27" s="22" t="s">
        <v>311</v>
      </c>
      <c r="BO27" s="22" t="s">
        <v>311</v>
      </c>
      <c r="BP27" s="22" t="s">
        <v>1126</v>
      </c>
      <c r="BQ27" s="22" t="s">
        <v>1272</v>
      </c>
      <c r="BR27" s="22">
        <v>3.7223712580326209</v>
      </c>
      <c r="BS27" s="22">
        <v>26.17</v>
      </c>
      <c r="BT27" s="22" t="s">
        <v>1209</v>
      </c>
      <c r="BU27" s="22" t="s">
        <v>1209</v>
      </c>
      <c r="BV27" s="22" t="s">
        <v>311</v>
      </c>
      <c r="BW27" s="22" t="s">
        <v>311</v>
      </c>
      <c r="BX27" s="22" t="s">
        <v>311</v>
      </c>
      <c r="BY27" s="22" t="s">
        <v>311</v>
      </c>
      <c r="BZ27" s="22" t="s">
        <v>311</v>
      </c>
      <c r="CA27" s="22" t="s">
        <v>311</v>
      </c>
      <c r="CB27" s="22" t="s">
        <v>959</v>
      </c>
    </row>
    <row r="28" spans="1:80" s="22" customFormat="1">
      <c r="A28" s="22" t="s">
        <v>1602</v>
      </c>
      <c r="B28" s="22">
        <v>16</v>
      </c>
      <c r="C28" s="22">
        <v>5</v>
      </c>
      <c r="D28" s="22" t="s">
        <v>100</v>
      </c>
      <c r="E28" s="22" t="s">
        <v>101</v>
      </c>
      <c r="F28" s="22" t="s">
        <v>86</v>
      </c>
      <c r="G28" s="22">
        <v>2013</v>
      </c>
      <c r="H28" s="22" t="s">
        <v>1263</v>
      </c>
      <c r="I28" s="22" t="s">
        <v>1264</v>
      </c>
      <c r="J28" s="22">
        <v>23.525029</v>
      </c>
      <c r="K28" s="22">
        <v>-75.759159999999994</v>
      </c>
      <c r="L28" s="22" t="s">
        <v>358</v>
      </c>
      <c r="M28" s="22" t="s">
        <v>387</v>
      </c>
      <c r="N28" s="22" t="s">
        <v>531</v>
      </c>
      <c r="O28" s="22" t="s">
        <v>532</v>
      </c>
      <c r="P28" s="22" t="s">
        <v>693</v>
      </c>
      <c r="Q28" s="22" t="s">
        <v>291</v>
      </c>
      <c r="R28" s="22" t="s">
        <v>650</v>
      </c>
      <c r="S28" s="22" t="s">
        <v>311</v>
      </c>
      <c r="T28" s="22" t="s">
        <v>331</v>
      </c>
      <c r="U28" s="22">
        <v>2</v>
      </c>
      <c r="V28" s="22" t="s">
        <v>311</v>
      </c>
      <c r="W28" s="22">
        <v>2004</v>
      </c>
      <c r="X28" s="22" t="s">
        <v>340</v>
      </c>
      <c r="Y28" s="22" t="s">
        <v>311</v>
      </c>
      <c r="Z28" s="22" t="s">
        <v>1057</v>
      </c>
      <c r="AA28" s="22" t="s">
        <v>610</v>
      </c>
      <c r="AB28" s="22" t="s">
        <v>311</v>
      </c>
      <c r="AC28" s="22" t="s">
        <v>311</v>
      </c>
      <c r="AD28" s="22" t="s">
        <v>292</v>
      </c>
      <c r="AE28" s="22" t="s">
        <v>653</v>
      </c>
      <c r="AF28" s="22" t="s">
        <v>304</v>
      </c>
      <c r="AG28" s="22" t="s">
        <v>305</v>
      </c>
      <c r="AH28" s="22" t="s">
        <v>652</v>
      </c>
      <c r="AI28" s="22" t="s">
        <v>651</v>
      </c>
      <c r="AJ28" s="22" t="s">
        <v>549</v>
      </c>
      <c r="AK28" s="22" t="s">
        <v>357</v>
      </c>
      <c r="AL28" s="22" t="s">
        <v>1059</v>
      </c>
      <c r="AM28" s="22" t="s">
        <v>1276</v>
      </c>
      <c r="AN28" s="22" t="s">
        <v>1070</v>
      </c>
      <c r="AO28" s="22" t="s">
        <v>887</v>
      </c>
      <c r="AP28" s="22">
        <v>415.90909090909099</v>
      </c>
      <c r="AQ28" s="22">
        <v>10.227272727272009</v>
      </c>
      <c r="AR28" s="22" t="s">
        <v>311</v>
      </c>
      <c r="AS28" s="22">
        <v>15</v>
      </c>
      <c r="AT28" s="22">
        <v>438.636363636363</v>
      </c>
      <c r="AU28" s="22">
        <v>4.5454545454550157</v>
      </c>
      <c r="AV28" s="22" t="s">
        <v>311</v>
      </c>
      <c r="AW28" s="22">
        <v>15</v>
      </c>
      <c r="AX28" s="22" t="s">
        <v>311</v>
      </c>
      <c r="AY28" s="22" t="s">
        <v>311</v>
      </c>
      <c r="AZ28" s="22" t="s">
        <v>311</v>
      </c>
      <c r="BA28" s="22" t="s">
        <v>311</v>
      </c>
      <c r="BB28" s="22" t="s">
        <v>311</v>
      </c>
      <c r="BC28" s="22" t="s">
        <v>311</v>
      </c>
      <c r="BD28" s="22" t="s">
        <v>311</v>
      </c>
      <c r="BE28" s="22" t="s">
        <v>311</v>
      </c>
      <c r="BF28" s="22" t="s">
        <v>311</v>
      </c>
      <c r="BG28" s="22" t="s">
        <v>311</v>
      </c>
      <c r="BH28" s="22" t="s">
        <v>311</v>
      </c>
      <c r="BI28" s="22" t="s">
        <v>311</v>
      </c>
      <c r="BJ28" s="22" t="s">
        <v>311</v>
      </c>
      <c r="BK28" s="22" t="s">
        <v>311</v>
      </c>
      <c r="BL28" s="22" t="s">
        <v>311</v>
      </c>
      <c r="BM28" s="22" t="s">
        <v>311</v>
      </c>
      <c r="BN28" s="22" t="s">
        <v>311</v>
      </c>
      <c r="BO28" s="22" t="s">
        <v>311</v>
      </c>
      <c r="BP28" s="22" t="s">
        <v>1126</v>
      </c>
      <c r="BQ28" s="22" t="s">
        <v>1272</v>
      </c>
      <c r="BR28" s="22">
        <v>3.7223712580326209</v>
      </c>
      <c r="BS28" s="22">
        <v>26.17</v>
      </c>
      <c r="BT28" s="22" t="s">
        <v>1209</v>
      </c>
      <c r="BU28" s="22" t="s">
        <v>1209</v>
      </c>
      <c r="BV28" s="22" t="s">
        <v>311</v>
      </c>
      <c r="BW28" s="22" t="s">
        <v>311</v>
      </c>
      <c r="BX28" s="22" t="s">
        <v>311</v>
      </c>
      <c r="BY28" s="22" t="s">
        <v>311</v>
      </c>
      <c r="BZ28" s="22" t="s">
        <v>311</v>
      </c>
      <c r="CA28" s="22" t="s">
        <v>311</v>
      </c>
      <c r="CB28" s="22" t="s">
        <v>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8BB8-D56F-804E-8A1C-E33492E2E26C}">
  <dimension ref="A1:CP58"/>
  <sheetViews>
    <sheetView topLeftCell="BT40" workbookViewId="0">
      <selection activeCell="CB64" sqref="CB64"/>
    </sheetView>
  </sheetViews>
  <sheetFormatPr baseColWidth="10" defaultRowHeight="16"/>
  <cols>
    <col min="2" max="2" width="50.33203125" customWidth="1"/>
  </cols>
  <sheetData>
    <row r="1" spans="1:49">
      <c r="A1" t="s">
        <v>1102</v>
      </c>
      <c r="B1" t="s">
        <v>0</v>
      </c>
      <c r="C1" t="s">
        <v>1</v>
      </c>
      <c r="D1" t="s">
        <v>11</v>
      </c>
      <c r="E1" t="s">
        <v>2</v>
      </c>
      <c r="F1" t="s">
        <v>4</v>
      </c>
      <c r="G1" t="s">
        <v>3</v>
      </c>
      <c r="H1" t="s">
        <v>279</v>
      </c>
      <c r="I1" t="s">
        <v>280</v>
      </c>
      <c r="J1" t="s">
        <v>283</v>
      </c>
      <c r="K1" t="s">
        <v>284</v>
      </c>
      <c r="L1" t="s">
        <v>6</v>
      </c>
      <c r="M1" t="s">
        <v>268</v>
      </c>
      <c r="N1" t="s">
        <v>350</v>
      </c>
      <c r="O1" t="s">
        <v>285</v>
      </c>
      <c r="P1" t="s">
        <v>286</v>
      </c>
      <c r="Q1" t="s">
        <v>5</v>
      </c>
      <c r="R1" t="s">
        <v>326</v>
      </c>
      <c r="S1" t="s">
        <v>533</v>
      </c>
      <c r="T1" t="s">
        <v>329</v>
      </c>
      <c r="U1" t="s">
        <v>351</v>
      </c>
      <c r="V1" t="s">
        <v>528</v>
      </c>
      <c r="W1" t="s">
        <v>308</v>
      </c>
      <c r="X1" t="s">
        <v>529</v>
      </c>
      <c r="Y1" t="s">
        <v>274</v>
      </c>
      <c r="Z1" t="s">
        <v>275</v>
      </c>
      <c r="AA1" t="s">
        <v>276</v>
      </c>
      <c r="AB1" t="s">
        <v>277</v>
      </c>
      <c r="AC1" t="s">
        <v>312</v>
      </c>
      <c r="AD1" t="s">
        <v>569</v>
      </c>
      <c r="AE1" t="s">
        <v>7</v>
      </c>
      <c r="AF1" t="s">
        <v>8</v>
      </c>
      <c r="AG1" t="s">
        <v>9</v>
      </c>
      <c r="AH1" t="s">
        <v>278</v>
      </c>
      <c r="AI1" t="s">
        <v>287</v>
      </c>
      <c r="AJ1" t="s">
        <v>356</v>
      </c>
      <c r="AK1" t="s">
        <v>352</v>
      </c>
      <c r="AL1" t="s">
        <v>313</v>
      </c>
      <c r="AM1" t="s">
        <v>353</v>
      </c>
      <c r="AN1" t="s">
        <v>315</v>
      </c>
      <c r="AO1" t="s">
        <v>318</v>
      </c>
      <c r="AP1" t="s">
        <v>543</v>
      </c>
      <c r="AQ1" t="s">
        <v>848</v>
      </c>
      <c r="AR1" t="s">
        <v>316</v>
      </c>
      <c r="AS1" t="s">
        <v>319</v>
      </c>
      <c r="AT1" t="s">
        <v>544</v>
      </c>
      <c r="AU1" t="s">
        <v>354</v>
      </c>
      <c r="AV1" t="s">
        <v>10</v>
      </c>
    </row>
    <row r="2" spans="1:49">
      <c r="A2" t="s">
        <v>1103</v>
      </c>
      <c r="B2" t="s">
        <v>1046</v>
      </c>
      <c r="C2">
        <v>1</v>
      </c>
      <c r="D2" t="s">
        <v>24</v>
      </c>
      <c r="E2" t="s">
        <v>25</v>
      </c>
      <c r="F2" t="s">
        <v>26</v>
      </c>
      <c r="G2">
        <v>2019</v>
      </c>
      <c r="H2" t="s">
        <v>324</v>
      </c>
      <c r="I2" t="s">
        <v>325</v>
      </c>
      <c r="J2">
        <v>43.447499999999998</v>
      </c>
      <c r="K2">
        <v>3.6516670000000002</v>
      </c>
      <c r="L2" t="s">
        <v>323</v>
      </c>
      <c r="M2" t="s">
        <v>530</v>
      </c>
      <c r="N2" t="s">
        <v>600</v>
      </c>
      <c r="O2" t="s">
        <v>332</v>
      </c>
      <c r="P2" t="s">
        <v>311</v>
      </c>
      <c r="Q2" t="s">
        <v>333</v>
      </c>
      <c r="R2" t="s">
        <v>327</v>
      </c>
      <c r="T2" t="s">
        <v>330</v>
      </c>
      <c r="U2" t="s">
        <v>535</v>
      </c>
      <c r="V2">
        <v>2013</v>
      </c>
      <c r="W2" t="s">
        <v>292</v>
      </c>
      <c r="X2" t="s">
        <v>334</v>
      </c>
      <c r="Y2" t="s">
        <v>302</v>
      </c>
      <c r="Z2" t="s">
        <v>303</v>
      </c>
      <c r="AA2" t="s">
        <v>335</v>
      </c>
      <c r="AB2" t="s">
        <v>336</v>
      </c>
      <c r="AC2" t="s">
        <v>340</v>
      </c>
      <c r="AD2" t="s">
        <v>311</v>
      </c>
      <c r="AE2" t="s">
        <v>342</v>
      </c>
      <c r="AF2" t="s">
        <v>343</v>
      </c>
      <c r="AG2" t="s">
        <v>311</v>
      </c>
      <c r="AH2" t="s">
        <v>311</v>
      </c>
      <c r="AI2" t="s">
        <v>344</v>
      </c>
      <c r="AJ2" t="s">
        <v>357</v>
      </c>
      <c r="AL2" t="s">
        <v>345</v>
      </c>
      <c r="AN2">
        <v>401.01522842639503</v>
      </c>
      <c r="AR2" s="4">
        <v>27.918781725888199</v>
      </c>
      <c r="AV2" t="s">
        <v>346</v>
      </c>
    </row>
    <row r="3" spans="1:49">
      <c r="A3" t="s">
        <v>1103</v>
      </c>
      <c r="B3" t="s">
        <v>1046</v>
      </c>
      <c r="C3">
        <v>1</v>
      </c>
      <c r="D3" t="s">
        <v>24</v>
      </c>
      <c r="E3" t="s">
        <v>25</v>
      </c>
      <c r="F3" t="s">
        <v>26</v>
      </c>
      <c r="G3">
        <v>2019</v>
      </c>
      <c r="H3" t="s">
        <v>324</v>
      </c>
      <c r="I3" t="s">
        <v>325</v>
      </c>
      <c r="J3">
        <v>43.447499999999998</v>
      </c>
      <c r="K3">
        <v>3.6516670000000002</v>
      </c>
      <c r="L3" t="s">
        <v>323</v>
      </c>
      <c r="M3" t="s">
        <v>530</v>
      </c>
      <c r="N3" t="s">
        <v>600</v>
      </c>
      <c r="O3" t="s">
        <v>332</v>
      </c>
      <c r="P3" t="s">
        <v>311</v>
      </c>
      <c r="Q3" t="s">
        <v>333</v>
      </c>
      <c r="R3" t="s">
        <v>327</v>
      </c>
      <c r="T3" t="s">
        <v>330</v>
      </c>
      <c r="U3" t="s">
        <v>535</v>
      </c>
      <c r="V3">
        <v>2013</v>
      </c>
      <c r="W3" t="s">
        <v>292</v>
      </c>
      <c r="X3" t="s">
        <v>339</v>
      </c>
      <c r="Y3" t="s">
        <v>302</v>
      </c>
      <c r="Z3" t="s">
        <v>303</v>
      </c>
      <c r="AA3" t="s">
        <v>337</v>
      </c>
      <c r="AB3" t="s">
        <v>338</v>
      </c>
      <c r="AC3" t="s">
        <v>340</v>
      </c>
      <c r="AD3" t="s">
        <v>311</v>
      </c>
      <c r="AE3" t="s">
        <v>342</v>
      </c>
      <c r="AF3" t="s">
        <v>311</v>
      </c>
      <c r="AG3" t="s">
        <v>311</v>
      </c>
      <c r="AH3" t="s">
        <v>311</v>
      </c>
      <c r="AI3" t="s">
        <v>344</v>
      </c>
      <c r="AJ3" t="s">
        <v>357</v>
      </c>
      <c r="AL3" t="s">
        <v>345</v>
      </c>
      <c r="AN3">
        <v>22.842639593908601</v>
      </c>
      <c r="AR3" s="4">
        <v>27.918781725888199</v>
      </c>
      <c r="AV3" t="s">
        <v>347</v>
      </c>
    </row>
    <row r="4" spans="1:49">
      <c r="A4" t="s">
        <v>1103</v>
      </c>
      <c r="B4" t="s">
        <v>1091</v>
      </c>
      <c r="C4">
        <v>2</v>
      </c>
      <c r="D4" t="s">
        <v>179</v>
      </c>
      <c r="E4" t="s">
        <v>180</v>
      </c>
      <c r="F4" t="s">
        <v>181</v>
      </c>
      <c r="G4">
        <v>1996</v>
      </c>
      <c r="H4" t="s">
        <v>467</v>
      </c>
      <c r="I4" t="s">
        <v>468</v>
      </c>
      <c r="J4">
        <v>29.490614000000001</v>
      </c>
      <c r="K4">
        <v>34.945005000000002</v>
      </c>
      <c r="L4" t="s">
        <v>407</v>
      </c>
      <c r="M4" t="s">
        <v>406</v>
      </c>
      <c r="N4" t="s">
        <v>593</v>
      </c>
      <c r="O4" t="s">
        <v>332</v>
      </c>
      <c r="P4" t="s">
        <v>311</v>
      </c>
      <c r="Q4" t="s">
        <v>419</v>
      </c>
      <c r="R4" t="s">
        <v>311</v>
      </c>
      <c r="S4" t="s">
        <v>311</v>
      </c>
      <c r="T4" t="s">
        <v>330</v>
      </c>
    </row>
    <row r="5" spans="1:49">
      <c r="A5" t="s">
        <v>1097</v>
      </c>
      <c r="B5" t="s">
        <v>384</v>
      </c>
      <c r="C5">
        <v>3</v>
      </c>
      <c r="D5" t="s">
        <v>87</v>
      </c>
      <c r="E5" t="s">
        <v>88</v>
      </c>
      <c r="F5" t="s">
        <v>86</v>
      </c>
      <c r="G5">
        <v>2014</v>
      </c>
      <c r="H5" t="s">
        <v>992</v>
      </c>
      <c r="I5" t="s">
        <v>993</v>
      </c>
      <c r="J5">
        <v>42.224753999999997</v>
      </c>
      <c r="K5">
        <v>-8.8175150000000002</v>
      </c>
      <c r="L5" t="s">
        <v>996</v>
      </c>
      <c r="Q5" t="s">
        <v>333</v>
      </c>
    </row>
    <row r="6" spans="1:49">
      <c r="A6" t="s">
        <v>1097</v>
      </c>
      <c r="B6" t="s">
        <v>492</v>
      </c>
      <c r="C6">
        <v>4</v>
      </c>
      <c r="D6" t="s">
        <v>220</v>
      </c>
      <c r="E6" t="s">
        <v>221</v>
      </c>
      <c r="F6" t="s">
        <v>53</v>
      </c>
      <c r="G6">
        <v>2010</v>
      </c>
      <c r="H6" t="s">
        <v>1017</v>
      </c>
      <c r="I6" t="s">
        <v>1018</v>
      </c>
      <c r="J6">
        <v>54.35</v>
      </c>
      <c r="K6">
        <v>10.15</v>
      </c>
      <c r="L6" t="s">
        <v>1019</v>
      </c>
      <c r="Q6" t="s">
        <v>333</v>
      </c>
    </row>
    <row r="7" spans="1:49">
      <c r="A7" t="s">
        <v>1097</v>
      </c>
      <c r="B7" t="s">
        <v>512</v>
      </c>
      <c r="C7">
        <v>5</v>
      </c>
      <c r="D7" t="s">
        <v>243</v>
      </c>
      <c r="E7" t="s">
        <v>244</v>
      </c>
      <c r="F7" t="s">
        <v>245</v>
      </c>
      <c r="G7">
        <v>1993</v>
      </c>
      <c r="H7" t="s">
        <v>1022</v>
      </c>
      <c r="I7" t="s">
        <v>1023</v>
      </c>
      <c r="J7">
        <v>58.866667</v>
      </c>
      <c r="K7">
        <v>11.15</v>
      </c>
      <c r="L7" t="s">
        <v>1024</v>
      </c>
      <c r="Q7" t="s">
        <v>333</v>
      </c>
    </row>
    <row r="8" spans="1:49">
      <c r="A8" t="s">
        <v>1097</v>
      </c>
      <c r="B8" t="s">
        <v>512</v>
      </c>
      <c r="C8">
        <v>6</v>
      </c>
      <c r="D8" t="s">
        <v>259</v>
      </c>
      <c r="E8" t="s">
        <v>260</v>
      </c>
      <c r="F8" t="s">
        <v>80</v>
      </c>
      <c r="G8">
        <v>1982</v>
      </c>
      <c r="H8" t="s">
        <v>1027</v>
      </c>
      <c r="I8" t="s">
        <v>1028</v>
      </c>
      <c r="J8">
        <v>41.588000000000001</v>
      </c>
      <c r="K8">
        <v>-70.646495000000002</v>
      </c>
      <c r="L8" t="s">
        <v>361</v>
      </c>
      <c r="Q8" t="s">
        <v>333</v>
      </c>
    </row>
    <row r="9" spans="1:49">
      <c r="A9" t="s">
        <v>1097</v>
      </c>
      <c r="B9" t="s">
        <v>901</v>
      </c>
      <c r="C9">
        <v>7</v>
      </c>
      <c r="D9" t="s">
        <v>193</v>
      </c>
      <c r="E9" t="s">
        <v>194</v>
      </c>
      <c r="F9" t="s">
        <v>75</v>
      </c>
      <c r="G9">
        <v>1993</v>
      </c>
      <c r="H9" t="s">
        <v>478</v>
      </c>
      <c r="I9" t="s">
        <v>477</v>
      </c>
      <c r="J9">
        <v>-33.75</v>
      </c>
      <c r="K9">
        <v>26.55</v>
      </c>
      <c r="L9" t="s">
        <v>479</v>
      </c>
      <c r="M9" t="s">
        <v>480</v>
      </c>
      <c r="N9" t="s">
        <v>769</v>
      </c>
      <c r="O9" t="s">
        <v>556</v>
      </c>
      <c r="P9" t="s">
        <v>311</v>
      </c>
      <c r="Q9" t="s">
        <v>420</v>
      </c>
      <c r="X9" t="s">
        <v>292</v>
      </c>
      <c r="AA9" t="s">
        <v>538</v>
      </c>
      <c r="AB9" t="s">
        <v>899</v>
      </c>
      <c r="AC9" t="s">
        <v>900</v>
      </c>
      <c r="AD9" t="s">
        <v>292</v>
      </c>
    </row>
    <row r="10" spans="1:49">
      <c r="A10" t="s">
        <v>1097</v>
      </c>
      <c r="B10" t="s">
        <v>1029</v>
      </c>
      <c r="C10">
        <v>8</v>
      </c>
      <c r="D10" t="s">
        <v>42</v>
      </c>
      <c r="E10" t="s">
        <v>43</v>
      </c>
      <c r="F10" t="s">
        <v>44</v>
      </c>
      <c r="G10">
        <v>2018</v>
      </c>
      <c r="H10" t="s">
        <v>424</v>
      </c>
      <c r="I10" t="s">
        <v>425</v>
      </c>
      <c r="J10">
        <v>47.048614000000001</v>
      </c>
      <c r="K10">
        <v>-2.1556639999999998</v>
      </c>
      <c r="L10" t="s">
        <v>323</v>
      </c>
      <c r="M10" t="s">
        <v>369</v>
      </c>
      <c r="N10" t="s">
        <v>600</v>
      </c>
      <c r="O10" t="s">
        <v>532</v>
      </c>
      <c r="P10" t="s">
        <v>693</v>
      </c>
      <c r="Q10" t="s">
        <v>333</v>
      </c>
      <c r="R10" t="s">
        <v>550</v>
      </c>
    </row>
    <row r="11" spans="1:49">
      <c r="A11" t="s">
        <v>1097</v>
      </c>
      <c r="B11" t="s">
        <v>1104</v>
      </c>
      <c r="C11">
        <v>9</v>
      </c>
      <c r="D11" t="s">
        <v>18</v>
      </c>
      <c r="E11" t="s">
        <v>19</v>
      </c>
      <c r="F11" t="s">
        <v>20</v>
      </c>
      <c r="G11">
        <v>2019</v>
      </c>
      <c r="H11" t="s">
        <v>412</v>
      </c>
      <c r="I11" t="s">
        <v>411</v>
      </c>
      <c r="J11">
        <v>-5.8333329999999997</v>
      </c>
      <c r="K11">
        <v>72</v>
      </c>
      <c r="L11" t="s">
        <v>376</v>
      </c>
      <c r="M11" t="s">
        <v>375</v>
      </c>
      <c r="N11" t="s">
        <v>593</v>
      </c>
      <c r="O11" t="s">
        <v>556</v>
      </c>
      <c r="P11" t="s">
        <v>557</v>
      </c>
      <c r="Q11" t="s">
        <v>291</v>
      </c>
      <c r="R11" t="s">
        <v>558</v>
      </c>
      <c r="S11" t="s">
        <v>311</v>
      </c>
      <c r="T11" t="s">
        <v>331</v>
      </c>
      <c r="U11" t="s">
        <v>559</v>
      </c>
      <c r="V11" s="4" t="s">
        <v>595</v>
      </c>
      <c r="W11" t="s">
        <v>340</v>
      </c>
      <c r="X11" t="s">
        <v>311</v>
      </c>
      <c r="Y11" t="s">
        <v>563</v>
      </c>
      <c r="Z11" t="s">
        <v>303</v>
      </c>
      <c r="AA11" t="s">
        <v>311</v>
      </c>
      <c r="AB11" t="s">
        <v>311</v>
      </c>
      <c r="AC11" t="s">
        <v>340</v>
      </c>
      <c r="AD11" t="s">
        <v>311</v>
      </c>
      <c r="AE11" t="s">
        <v>304</v>
      </c>
      <c r="AF11" t="s">
        <v>305</v>
      </c>
      <c r="AG11" t="s">
        <v>311</v>
      </c>
      <c r="AH11" t="s">
        <v>311</v>
      </c>
      <c r="AI11" t="s">
        <v>564</v>
      </c>
      <c r="AJ11" t="s">
        <v>357</v>
      </c>
      <c r="AK11" t="s">
        <v>637</v>
      </c>
      <c r="AL11" t="s">
        <v>565</v>
      </c>
      <c r="AM11" t="s">
        <v>311</v>
      </c>
      <c r="AN11">
        <v>-10.103626943005203</v>
      </c>
      <c r="AO11">
        <v>5.8202005886577881</v>
      </c>
      <c r="AP11" t="s">
        <v>311</v>
      </c>
      <c r="AQ11">
        <v>5</v>
      </c>
      <c r="AR11">
        <v>-7.3056994818653003</v>
      </c>
      <c r="AS11">
        <v>4.663212435233139</v>
      </c>
      <c r="AT11" t="s">
        <v>311</v>
      </c>
      <c r="AU11">
        <v>5</v>
      </c>
      <c r="AW11" t="s">
        <v>588</v>
      </c>
    </row>
    <row r="12" spans="1:49">
      <c r="A12" t="s">
        <v>1099</v>
      </c>
      <c r="B12" t="s">
        <v>321</v>
      </c>
      <c r="C12">
        <v>10</v>
      </c>
      <c r="D12" t="s">
        <v>12</v>
      </c>
      <c r="E12" t="s">
        <v>13</v>
      </c>
      <c r="F12" t="s">
        <v>14</v>
      </c>
      <c r="G12">
        <v>2020</v>
      </c>
      <c r="H12" t="s">
        <v>281</v>
      </c>
      <c r="I12" t="s">
        <v>282</v>
      </c>
      <c r="J12" s="1">
        <v>-33.5</v>
      </c>
      <c r="K12" s="1">
        <v>71.5</v>
      </c>
      <c r="L12" t="s">
        <v>267</v>
      </c>
      <c r="M12" t="s">
        <v>269</v>
      </c>
      <c r="N12" t="s">
        <v>898</v>
      </c>
      <c r="O12" t="s">
        <v>288</v>
      </c>
      <c r="P12" t="s">
        <v>289</v>
      </c>
      <c r="Q12" t="s">
        <v>273</v>
      </c>
    </row>
    <row r="13" spans="1:49">
      <c r="A13" t="s">
        <v>1099</v>
      </c>
      <c r="B13" t="s">
        <v>320</v>
      </c>
      <c r="C13">
        <v>11</v>
      </c>
      <c r="D13" t="s">
        <v>172</v>
      </c>
      <c r="E13" t="s">
        <v>173</v>
      </c>
      <c r="F13" t="s">
        <v>174</v>
      </c>
      <c r="G13">
        <v>1998</v>
      </c>
      <c r="H13" t="s">
        <v>975</v>
      </c>
      <c r="I13" t="s">
        <v>976</v>
      </c>
      <c r="J13">
        <v>-36.306666999999997</v>
      </c>
      <c r="K13">
        <v>174.815</v>
      </c>
      <c r="L13" t="s">
        <v>366</v>
      </c>
      <c r="M13" t="s">
        <v>977</v>
      </c>
      <c r="N13" t="s">
        <v>594</v>
      </c>
      <c r="O13" t="s">
        <v>288</v>
      </c>
      <c r="P13" t="s">
        <v>289</v>
      </c>
      <c r="Q13" t="s">
        <v>273</v>
      </c>
    </row>
    <row r="14" spans="1:49">
      <c r="A14" t="s">
        <v>1099</v>
      </c>
      <c r="B14" t="s">
        <v>349</v>
      </c>
      <c r="C14">
        <v>12</v>
      </c>
      <c r="D14" t="s">
        <v>254</v>
      </c>
      <c r="E14" t="s">
        <v>255</v>
      </c>
      <c r="F14" t="s">
        <v>174</v>
      </c>
      <c r="G14">
        <v>1985</v>
      </c>
      <c r="H14" t="s">
        <v>978</v>
      </c>
      <c r="I14" t="s">
        <v>979</v>
      </c>
      <c r="J14">
        <v>17.758092999999999</v>
      </c>
      <c r="K14">
        <v>-64.605564000000001</v>
      </c>
      <c r="L14" t="s">
        <v>361</v>
      </c>
      <c r="M14" t="s">
        <v>980</v>
      </c>
      <c r="N14" t="s">
        <v>531</v>
      </c>
      <c r="O14" t="s">
        <v>532</v>
      </c>
      <c r="P14" t="s">
        <v>693</v>
      </c>
      <c r="Q14" t="s">
        <v>291</v>
      </c>
    </row>
    <row r="15" spans="1:49">
      <c r="A15" t="s">
        <v>1099</v>
      </c>
      <c r="B15" t="s">
        <v>349</v>
      </c>
      <c r="C15">
        <v>13</v>
      </c>
      <c r="D15" t="s">
        <v>33</v>
      </c>
      <c r="E15" t="s">
        <v>34</v>
      </c>
      <c r="F15" t="s">
        <v>35</v>
      </c>
      <c r="G15">
        <v>2018</v>
      </c>
      <c r="H15" t="s">
        <v>982</v>
      </c>
      <c r="I15" t="s">
        <v>983</v>
      </c>
      <c r="J15">
        <v>33.587860999999997</v>
      </c>
      <c r="K15">
        <v>-117.86708299999999</v>
      </c>
      <c r="L15" t="s">
        <v>361</v>
      </c>
      <c r="M15" t="s">
        <v>981</v>
      </c>
      <c r="N15" t="s">
        <v>531</v>
      </c>
      <c r="O15" t="s">
        <v>288</v>
      </c>
      <c r="P15" t="s">
        <v>693</v>
      </c>
      <c r="Q15" t="s">
        <v>419</v>
      </c>
    </row>
    <row r="16" spans="1:49">
      <c r="A16" t="s">
        <v>1099</v>
      </c>
      <c r="B16" t="s">
        <v>349</v>
      </c>
      <c r="C16">
        <v>14</v>
      </c>
      <c r="D16" t="s">
        <v>39</v>
      </c>
      <c r="E16" t="s">
        <v>40</v>
      </c>
      <c r="F16" t="s">
        <v>41</v>
      </c>
      <c r="G16">
        <v>2018</v>
      </c>
      <c r="H16" t="s">
        <v>984</v>
      </c>
      <c r="I16" t="s">
        <v>985</v>
      </c>
      <c r="J16">
        <v>-5.8333329999999997</v>
      </c>
      <c r="K16">
        <v>72</v>
      </c>
      <c r="L16" t="s">
        <v>986</v>
      </c>
      <c r="M16" t="s">
        <v>375</v>
      </c>
      <c r="N16" t="s">
        <v>600</v>
      </c>
      <c r="O16" t="s">
        <v>556</v>
      </c>
      <c r="P16" t="s">
        <v>557</v>
      </c>
      <c r="Q16" t="s">
        <v>291</v>
      </c>
    </row>
    <row r="17" spans="1:50">
      <c r="A17" t="s">
        <v>1099</v>
      </c>
      <c r="B17" t="s">
        <v>349</v>
      </c>
      <c r="C17">
        <v>15</v>
      </c>
      <c r="D17" t="s">
        <v>48</v>
      </c>
      <c r="E17" t="s">
        <v>49</v>
      </c>
      <c r="F17" t="s">
        <v>50</v>
      </c>
      <c r="G17">
        <v>2017</v>
      </c>
      <c r="H17" t="s">
        <v>987</v>
      </c>
      <c r="I17" t="s">
        <v>988</v>
      </c>
      <c r="J17">
        <v>29.469228999999999</v>
      </c>
      <c r="K17">
        <v>34.931817000000002</v>
      </c>
      <c r="L17" t="s">
        <v>407</v>
      </c>
      <c r="M17" t="s">
        <v>406</v>
      </c>
      <c r="N17" t="s">
        <v>593</v>
      </c>
      <c r="O17" t="s">
        <v>556</v>
      </c>
      <c r="P17" t="s">
        <v>693</v>
      </c>
      <c r="Q17" t="s">
        <v>419</v>
      </c>
    </row>
    <row r="18" spans="1:50">
      <c r="A18" t="s">
        <v>1099</v>
      </c>
      <c r="B18" t="s">
        <v>381</v>
      </c>
      <c r="C18">
        <v>16</v>
      </c>
      <c r="D18" t="s">
        <v>81</v>
      </c>
      <c r="E18" t="s">
        <v>82</v>
      </c>
      <c r="F18" t="s">
        <v>83</v>
      </c>
      <c r="G18">
        <v>2014</v>
      </c>
      <c r="H18" t="s">
        <v>989</v>
      </c>
      <c r="I18" t="s">
        <v>990</v>
      </c>
      <c r="J18">
        <v>24.095333</v>
      </c>
      <c r="K18">
        <v>-75.808361000000005</v>
      </c>
      <c r="L18" t="s">
        <v>358</v>
      </c>
      <c r="M18" t="s">
        <v>991</v>
      </c>
      <c r="N18" t="s">
        <v>531</v>
      </c>
      <c r="O18" t="s">
        <v>532</v>
      </c>
      <c r="P18" t="s">
        <v>693</v>
      </c>
      <c r="Q18" t="s">
        <v>419</v>
      </c>
    </row>
    <row r="19" spans="1:50">
      <c r="A19" t="s">
        <v>1099</v>
      </c>
      <c r="B19" t="s">
        <v>388</v>
      </c>
      <c r="C19">
        <v>17</v>
      </c>
      <c r="D19" t="s">
        <v>102</v>
      </c>
      <c r="E19" t="s">
        <v>103</v>
      </c>
      <c r="F19" t="s">
        <v>104</v>
      </c>
      <c r="G19">
        <v>2011</v>
      </c>
      <c r="H19" t="s">
        <v>994</v>
      </c>
      <c r="I19" t="s">
        <v>995</v>
      </c>
      <c r="J19">
        <v>-45.691389000000001</v>
      </c>
      <c r="K19">
        <v>170.61666700000001</v>
      </c>
      <c r="L19" t="s">
        <v>366</v>
      </c>
      <c r="Q19" t="s">
        <v>273</v>
      </c>
    </row>
    <row r="20" spans="1:50">
      <c r="A20" t="s">
        <v>1099</v>
      </c>
      <c r="B20" t="s">
        <v>391</v>
      </c>
      <c r="C20">
        <v>18</v>
      </c>
      <c r="D20" t="s">
        <v>107</v>
      </c>
      <c r="E20" t="s">
        <v>108</v>
      </c>
      <c r="F20" t="s">
        <v>109</v>
      </c>
      <c r="G20">
        <v>2011</v>
      </c>
      <c r="H20" t="s">
        <v>997</v>
      </c>
      <c r="I20" t="s">
        <v>998</v>
      </c>
      <c r="J20">
        <v>-53.244253</v>
      </c>
      <c r="K20">
        <v>-37.673316</v>
      </c>
      <c r="L20" t="s">
        <v>999</v>
      </c>
      <c r="Q20" t="s">
        <v>273</v>
      </c>
    </row>
    <row r="21" spans="1:50">
      <c r="A21" t="s">
        <v>1099</v>
      </c>
      <c r="B21" t="s">
        <v>401</v>
      </c>
      <c r="C21">
        <v>19</v>
      </c>
      <c r="D21" t="s">
        <v>134</v>
      </c>
      <c r="E21" t="s">
        <v>135</v>
      </c>
      <c r="F21" t="s">
        <v>136</v>
      </c>
      <c r="G21">
        <v>2007</v>
      </c>
      <c r="H21" t="s">
        <v>1000</v>
      </c>
      <c r="I21" t="s">
        <v>1001</v>
      </c>
      <c r="J21">
        <v>38.315517999999997</v>
      </c>
      <c r="K21">
        <v>-123.074901</v>
      </c>
      <c r="L21" t="s">
        <v>361</v>
      </c>
      <c r="Q21" t="s">
        <v>333</v>
      </c>
    </row>
    <row r="22" spans="1:50">
      <c r="A22" t="s">
        <v>1099</v>
      </c>
      <c r="B22" t="s">
        <v>402</v>
      </c>
      <c r="C22">
        <v>20</v>
      </c>
      <c r="D22" t="s">
        <v>137</v>
      </c>
      <c r="E22" t="s">
        <v>138</v>
      </c>
      <c r="F22" t="s">
        <v>139</v>
      </c>
      <c r="G22">
        <v>2006</v>
      </c>
      <c r="H22" t="s">
        <v>1002</v>
      </c>
      <c r="I22" t="s">
        <v>1003</v>
      </c>
      <c r="J22">
        <v>-45.783529999999999</v>
      </c>
      <c r="K22">
        <v>170.71993499999999</v>
      </c>
      <c r="L22" t="s">
        <v>366</v>
      </c>
      <c r="Q22" t="s">
        <v>273</v>
      </c>
    </row>
    <row r="23" spans="1:50">
      <c r="A23" t="s">
        <v>1099</v>
      </c>
      <c r="B23" t="s">
        <v>408</v>
      </c>
      <c r="C23">
        <v>21</v>
      </c>
      <c r="D23" t="s">
        <v>153</v>
      </c>
      <c r="E23" t="s">
        <v>154</v>
      </c>
      <c r="F23" t="s">
        <v>136</v>
      </c>
      <c r="G23">
        <v>2004</v>
      </c>
      <c r="H23" t="s">
        <v>1004</v>
      </c>
      <c r="I23" t="s">
        <v>1005</v>
      </c>
      <c r="J23">
        <v>44.255260999999997</v>
      </c>
      <c r="K23">
        <v>-124.1126</v>
      </c>
      <c r="L23" t="s">
        <v>361</v>
      </c>
      <c r="Q23" t="s">
        <v>333</v>
      </c>
    </row>
    <row r="24" spans="1:50">
      <c r="A24" t="s">
        <v>1099</v>
      </c>
      <c r="B24" t="s">
        <v>461</v>
      </c>
      <c r="C24">
        <v>22</v>
      </c>
      <c r="D24" t="s">
        <v>162</v>
      </c>
      <c r="E24" t="s">
        <v>163</v>
      </c>
      <c r="F24" t="s">
        <v>53</v>
      </c>
      <c r="G24">
        <v>2000</v>
      </c>
      <c r="H24" t="s">
        <v>1007</v>
      </c>
      <c r="I24" t="s">
        <v>1008</v>
      </c>
      <c r="J24">
        <v>34.259346999999998</v>
      </c>
      <c r="K24">
        <v>133.40153699999999</v>
      </c>
      <c r="L24" t="s">
        <v>1006</v>
      </c>
      <c r="Q24" t="s">
        <v>419</v>
      </c>
    </row>
    <row r="25" spans="1:50">
      <c r="A25" t="s">
        <v>1099</v>
      </c>
      <c r="B25" t="s">
        <v>321</v>
      </c>
      <c r="C25">
        <v>23</v>
      </c>
      <c r="D25" t="s">
        <v>164</v>
      </c>
      <c r="E25" t="s">
        <v>165</v>
      </c>
      <c r="F25" t="s">
        <v>53</v>
      </c>
      <c r="G25">
        <v>2000</v>
      </c>
      <c r="H25" t="s">
        <v>1009</v>
      </c>
      <c r="I25" t="s">
        <v>1010</v>
      </c>
      <c r="J25">
        <v>-34.112057</v>
      </c>
      <c r="K25">
        <v>18.475390999999998</v>
      </c>
      <c r="L25" t="s">
        <v>479</v>
      </c>
      <c r="Q25" t="s">
        <v>420</v>
      </c>
    </row>
    <row r="26" spans="1:50">
      <c r="A26" t="s">
        <v>1099</v>
      </c>
      <c r="B26" t="s">
        <v>464</v>
      </c>
      <c r="C26">
        <v>24</v>
      </c>
      <c r="D26" t="s">
        <v>169</v>
      </c>
      <c r="E26" t="s">
        <v>170</v>
      </c>
      <c r="F26" t="s">
        <v>171</v>
      </c>
      <c r="G26">
        <v>1999</v>
      </c>
      <c r="H26" t="s">
        <v>1011</v>
      </c>
      <c r="I26" t="s">
        <v>1012</v>
      </c>
      <c r="J26">
        <v>30.5</v>
      </c>
      <c r="K26">
        <v>-88</v>
      </c>
      <c r="L26" t="s">
        <v>361</v>
      </c>
      <c r="Q26" t="s">
        <v>419</v>
      </c>
      <c r="AX26" t="s">
        <v>629</v>
      </c>
    </row>
    <row r="27" spans="1:50">
      <c r="A27" t="s">
        <v>1099</v>
      </c>
      <c r="B27" t="s">
        <v>465</v>
      </c>
      <c r="C27">
        <v>25</v>
      </c>
      <c r="D27" t="s">
        <v>177</v>
      </c>
      <c r="E27" t="s">
        <v>178</v>
      </c>
      <c r="F27" t="s">
        <v>86</v>
      </c>
      <c r="G27">
        <v>1998</v>
      </c>
      <c r="H27" t="s">
        <v>1013</v>
      </c>
      <c r="I27" t="s">
        <v>1014</v>
      </c>
      <c r="J27">
        <v>29.096662999999999</v>
      </c>
      <c r="K27">
        <v>34.77319</v>
      </c>
      <c r="L27" t="s">
        <v>407</v>
      </c>
      <c r="Q27" t="s">
        <v>419</v>
      </c>
      <c r="AX27" t="s">
        <v>628</v>
      </c>
    </row>
    <row r="28" spans="1:50">
      <c r="A28" t="s">
        <v>1099</v>
      </c>
      <c r="B28" t="s">
        <v>476</v>
      </c>
      <c r="C28">
        <v>26</v>
      </c>
      <c r="D28" t="s">
        <v>191</v>
      </c>
      <c r="E28" t="s">
        <v>192</v>
      </c>
      <c r="F28" t="s">
        <v>181</v>
      </c>
      <c r="G28">
        <v>1994</v>
      </c>
      <c r="H28" t="s">
        <v>1015</v>
      </c>
      <c r="I28" t="s">
        <v>1016</v>
      </c>
      <c r="J28">
        <v>48.853999999999999</v>
      </c>
      <c r="K28">
        <v>-125.11666700000001</v>
      </c>
      <c r="L28" t="s">
        <v>362</v>
      </c>
      <c r="Q28" t="s">
        <v>333</v>
      </c>
      <c r="AX28" t="s">
        <v>639</v>
      </c>
    </row>
    <row r="29" spans="1:50">
      <c r="A29" t="s">
        <v>1099</v>
      </c>
      <c r="B29" t="s">
        <v>507</v>
      </c>
      <c r="C29">
        <v>27</v>
      </c>
      <c r="D29" t="s">
        <v>238</v>
      </c>
      <c r="E29" t="s">
        <v>239</v>
      </c>
      <c r="F29" t="s">
        <v>240</v>
      </c>
      <c r="G29">
        <v>1998</v>
      </c>
      <c r="H29" t="s">
        <v>1020</v>
      </c>
      <c r="I29" t="s">
        <v>1021</v>
      </c>
      <c r="J29">
        <v>-63.134332999999998</v>
      </c>
      <c r="K29">
        <v>-51.091971999999998</v>
      </c>
      <c r="L29" t="s">
        <v>999</v>
      </c>
      <c r="Q29" t="s">
        <v>273</v>
      </c>
    </row>
    <row r="30" spans="1:50">
      <c r="A30" t="s">
        <v>1099</v>
      </c>
      <c r="B30" t="s">
        <v>513</v>
      </c>
      <c r="C30">
        <v>28</v>
      </c>
      <c r="D30" t="s">
        <v>246</v>
      </c>
      <c r="E30" t="s">
        <v>247</v>
      </c>
      <c r="F30" t="s">
        <v>248</v>
      </c>
      <c r="G30">
        <v>1988</v>
      </c>
      <c r="H30" t="s">
        <v>1025</v>
      </c>
      <c r="I30" t="s">
        <v>1026</v>
      </c>
      <c r="J30">
        <v>33.466667000000001</v>
      </c>
      <c r="K30">
        <v>-118.483333</v>
      </c>
      <c r="L30" t="s">
        <v>361</v>
      </c>
      <c r="Q30" t="s">
        <v>419</v>
      </c>
    </row>
    <row r="31" spans="1:50">
      <c r="A31" t="s">
        <v>1099</v>
      </c>
      <c r="B31" t="s">
        <v>629</v>
      </c>
      <c r="C31">
        <v>29</v>
      </c>
      <c r="D31" t="s">
        <v>76</v>
      </c>
      <c r="E31" t="s">
        <v>77</v>
      </c>
      <c r="F31" t="s">
        <v>38</v>
      </c>
      <c r="G31">
        <v>2014</v>
      </c>
      <c r="H31" t="s">
        <v>437</v>
      </c>
      <c r="I31" t="s">
        <v>438</v>
      </c>
      <c r="J31">
        <v>48.297351999999997</v>
      </c>
      <c r="K31">
        <v>-124.240292</v>
      </c>
      <c r="L31" t="s">
        <v>361</v>
      </c>
      <c r="M31" t="s">
        <v>379</v>
      </c>
      <c r="Q31" t="s">
        <v>333</v>
      </c>
    </row>
    <row r="32" spans="1:50">
      <c r="A32" t="s">
        <v>1099</v>
      </c>
      <c r="B32" t="s">
        <v>628</v>
      </c>
      <c r="C32">
        <v>30</v>
      </c>
      <c r="D32" t="s">
        <v>78</v>
      </c>
      <c r="E32" t="s">
        <v>79</v>
      </c>
      <c r="F32" t="s">
        <v>80</v>
      </c>
      <c r="G32">
        <v>2014</v>
      </c>
      <c r="H32" t="s">
        <v>439</v>
      </c>
      <c r="I32" t="s">
        <v>440</v>
      </c>
      <c r="J32">
        <v>32.473244000000001</v>
      </c>
      <c r="K32">
        <v>-64.871342999999996</v>
      </c>
      <c r="M32" t="s">
        <v>380</v>
      </c>
      <c r="Q32" t="s">
        <v>419</v>
      </c>
    </row>
    <row r="33" spans="1:70">
      <c r="A33" t="s">
        <v>1099</v>
      </c>
      <c r="B33" t="s">
        <v>639</v>
      </c>
      <c r="C33">
        <v>31</v>
      </c>
      <c r="D33" t="s">
        <v>68</v>
      </c>
      <c r="E33" t="s">
        <v>69</v>
      </c>
      <c r="F33" t="s">
        <v>70</v>
      </c>
      <c r="G33">
        <v>2015</v>
      </c>
      <c r="H33" t="s">
        <v>432</v>
      </c>
      <c r="I33" t="s">
        <v>433</v>
      </c>
      <c r="J33">
        <v>30.279878</v>
      </c>
      <c r="K33">
        <v>-115.913456</v>
      </c>
      <c r="L33" t="s">
        <v>359</v>
      </c>
      <c r="M33" t="s">
        <v>434</v>
      </c>
      <c r="Q33" t="s">
        <v>419</v>
      </c>
    </row>
    <row r="34" spans="1:70">
      <c r="A34" t="s">
        <v>1099</v>
      </c>
      <c r="B34" t="s">
        <v>967</v>
      </c>
      <c r="C34">
        <v>32</v>
      </c>
      <c r="D34" t="s">
        <v>94</v>
      </c>
      <c r="E34" t="s">
        <v>95</v>
      </c>
      <c r="F34" t="s">
        <v>23</v>
      </c>
      <c r="G34">
        <v>2013</v>
      </c>
      <c r="H34" t="s">
        <v>965</v>
      </c>
      <c r="I34" t="s">
        <v>966</v>
      </c>
      <c r="J34">
        <v>25.0349</v>
      </c>
      <c r="K34">
        <v>-80.34845</v>
      </c>
      <c r="L34" t="s">
        <v>361</v>
      </c>
      <c r="M34" t="s">
        <v>360</v>
      </c>
      <c r="N34" t="s">
        <v>531</v>
      </c>
      <c r="O34" t="s">
        <v>288</v>
      </c>
      <c r="P34" t="s">
        <v>693</v>
      </c>
      <c r="Q34" t="s">
        <v>419</v>
      </c>
      <c r="S34" t="s">
        <v>558</v>
      </c>
      <c r="T34" t="s">
        <v>311</v>
      </c>
      <c r="U34" t="s">
        <v>331</v>
      </c>
      <c r="V34" t="s">
        <v>535</v>
      </c>
      <c r="W34">
        <v>2010</v>
      </c>
      <c r="X34" t="s">
        <v>340</v>
      </c>
      <c r="AX34" t="s">
        <v>466</v>
      </c>
    </row>
    <row r="35" spans="1:70">
      <c r="A35" t="s">
        <v>1097</v>
      </c>
      <c r="B35" t="s">
        <v>1139</v>
      </c>
      <c r="C35">
        <v>1</v>
      </c>
      <c r="D35" t="s">
        <v>129</v>
      </c>
      <c r="E35" t="s">
        <v>130</v>
      </c>
      <c r="F35" t="s">
        <v>86</v>
      </c>
      <c r="G35">
        <v>2008</v>
      </c>
      <c r="H35" t="s">
        <v>453</v>
      </c>
      <c r="I35" t="s">
        <v>454</v>
      </c>
      <c r="J35">
        <v>40.859591999999999</v>
      </c>
      <c r="K35">
        <v>-72.472257999999997</v>
      </c>
      <c r="L35" t="s">
        <v>361</v>
      </c>
      <c r="M35" t="s">
        <v>399</v>
      </c>
      <c r="N35" t="s">
        <v>531</v>
      </c>
      <c r="O35" t="s">
        <v>532</v>
      </c>
      <c r="P35" t="s">
        <v>693</v>
      </c>
      <c r="Q35" t="s">
        <v>333</v>
      </c>
      <c r="R35" t="s">
        <v>550</v>
      </c>
      <c r="S35" t="s">
        <v>682</v>
      </c>
      <c r="T35" t="s">
        <v>331</v>
      </c>
      <c r="U35">
        <v>5</v>
      </c>
      <c r="V35" t="s">
        <v>535</v>
      </c>
      <c r="W35">
        <v>2006</v>
      </c>
      <c r="X35" t="s">
        <v>292</v>
      </c>
      <c r="Y35" t="s">
        <v>685</v>
      </c>
      <c r="Z35" t="s">
        <v>537</v>
      </c>
      <c r="AA35" t="s">
        <v>538</v>
      </c>
      <c r="AB35" t="s">
        <v>686</v>
      </c>
      <c r="AC35" t="s">
        <v>687</v>
      </c>
      <c r="AD35" t="s">
        <v>292</v>
      </c>
      <c r="AE35" t="s">
        <v>618</v>
      </c>
      <c r="AF35" t="s">
        <v>552</v>
      </c>
      <c r="AG35" t="s">
        <v>555</v>
      </c>
      <c r="AH35" t="s">
        <v>619</v>
      </c>
      <c r="AI35" t="s">
        <v>620</v>
      </c>
      <c r="AJ35" t="s">
        <v>649</v>
      </c>
      <c r="AK35" t="s">
        <v>649</v>
      </c>
      <c r="AL35" t="s">
        <v>1059</v>
      </c>
      <c r="AM35" t="s">
        <v>690</v>
      </c>
      <c r="AN35" t="s">
        <v>311</v>
      </c>
      <c r="AO35">
        <v>0.46200000000000002</v>
      </c>
      <c r="AP35">
        <v>0.04</v>
      </c>
      <c r="AQ35" t="s">
        <v>311</v>
      </c>
      <c r="AR35">
        <v>4</v>
      </c>
      <c r="AS35">
        <v>0.318</v>
      </c>
      <c r="AT35">
        <v>0.02</v>
      </c>
      <c r="AU35" t="s">
        <v>311</v>
      </c>
      <c r="AV35">
        <v>4</v>
      </c>
      <c r="BP35">
        <v>10</v>
      </c>
      <c r="BQ35">
        <v>19.100000000000001</v>
      </c>
      <c r="BR35" t="s">
        <v>1535</v>
      </c>
    </row>
    <row r="36" spans="1:70">
      <c r="A36" t="s">
        <v>1097</v>
      </c>
      <c r="B36" t="s">
        <v>1139</v>
      </c>
      <c r="C36">
        <v>2</v>
      </c>
      <c r="D36" t="s">
        <v>129</v>
      </c>
      <c r="E36" t="s">
        <v>130</v>
      </c>
      <c r="F36" t="s">
        <v>86</v>
      </c>
      <c r="G36">
        <v>2008</v>
      </c>
      <c r="H36" t="s">
        <v>453</v>
      </c>
      <c r="I36" t="s">
        <v>454</v>
      </c>
      <c r="J36">
        <v>40.859591999999999</v>
      </c>
      <c r="K36">
        <v>-72.472257999999997</v>
      </c>
      <c r="L36" t="s">
        <v>361</v>
      </c>
      <c r="M36" t="s">
        <v>399</v>
      </c>
      <c r="N36" t="s">
        <v>531</v>
      </c>
      <c r="O36" t="s">
        <v>532</v>
      </c>
      <c r="P36" t="s">
        <v>693</v>
      </c>
      <c r="Q36" t="s">
        <v>333</v>
      </c>
      <c r="R36" t="s">
        <v>550</v>
      </c>
      <c r="S36" t="s">
        <v>682</v>
      </c>
      <c r="T36" t="s">
        <v>331</v>
      </c>
      <c r="U36">
        <v>5</v>
      </c>
      <c r="V36" t="s">
        <v>535</v>
      </c>
      <c r="W36">
        <v>2006</v>
      </c>
      <c r="X36" t="s">
        <v>292</v>
      </c>
      <c r="Y36" t="s">
        <v>685</v>
      </c>
      <c r="Z36" t="s">
        <v>537</v>
      </c>
      <c r="AA36" t="s">
        <v>538</v>
      </c>
      <c r="AB36" t="s">
        <v>686</v>
      </c>
      <c r="AC36" t="s">
        <v>687</v>
      </c>
      <c r="AD36" t="s">
        <v>292</v>
      </c>
      <c r="AE36" t="s">
        <v>618</v>
      </c>
      <c r="AF36" t="s">
        <v>552</v>
      </c>
      <c r="AG36" t="s">
        <v>555</v>
      </c>
      <c r="AH36" t="s">
        <v>619</v>
      </c>
      <c r="AI36" t="s">
        <v>620</v>
      </c>
      <c r="AJ36" t="s">
        <v>649</v>
      </c>
      <c r="AK36" t="s">
        <v>649</v>
      </c>
      <c r="AL36" t="s">
        <v>1059</v>
      </c>
      <c r="AM36" t="s">
        <v>690</v>
      </c>
      <c r="AN36" t="s">
        <v>311</v>
      </c>
      <c r="AO36">
        <v>0.80600000000000005</v>
      </c>
      <c r="AP36">
        <v>0.04</v>
      </c>
      <c r="AQ36" t="s">
        <v>311</v>
      </c>
      <c r="AR36">
        <v>4</v>
      </c>
      <c r="AS36">
        <v>0.64200000000000002</v>
      </c>
      <c r="AT36">
        <v>7.0000000000000007E-2</v>
      </c>
      <c r="AU36" t="s">
        <v>311</v>
      </c>
      <c r="AV36">
        <v>4</v>
      </c>
      <c r="BP36">
        <v>10</v>
      </c>
      <c r="BQ36">
        <v>20.3</v>
      </c>
      <c r="BR36" t="s">
        <v>1085</v>
      </c>
    </row>
    <row r="37" spans="1:70">
      <c r="A37" t="s">
        <v>1097</v>
      </c>
      <c r="B37" t="s">
        <v>1139</v>
      </c>
      <c r="C37">
        <v>3</v>
      </c>
      <c r="D37" t="s">
        <v>129</v>
      </c>
      <c r="E37" t="s">
        <v>130</v>
      </c>
      <c r="F37" t="s">
        <v>86</v>
      </c>
      <c r="G37">
        <v>2008</v>
      </c>
      <c r="H37" t="s">
        <v>453</v>
      </c>
      <c r="I37" t="s">
        <v>454</v>
      </c>
      <c r="J37">
        <v>40.859591999999999</v>
      </c>
      <c r="K37">
        <v>-72.472257999999997</v>
      </c>
      <c r="L37" t="s">
        <v>361</v>
      </c>
      <c r="M37" t="s">
        <v>399</v>
      </c>
      <c r="N37" t="s">
        <v>531</v>
      </c>
      <c r="O37" t="s">
        <v>532</v>
      </c>
      <c r="P37" t="s">
        <v>693</v>
      </c>
      <c r="Q37" t="s">
        <v>333</v>
      </c>
      <c r="R37" t="s">
        <v>550</v>
      </c>
      <c r="S37" t="s">
        <v>682</v>
      </c>
      <c r="T37" t="s">
        <v>331</v>
      </c>
      <c r="U37">
        <v>5</v>
      </c>
      <c r="V37" t="s">
        <v>535</v>
      </c>
      <c r="W37">
        <v>2006</v>
      </c>
      <c r="X37" t="s">
        <v>292</v>
      </c>
      <c r="Y37" t="s">
        <v>617</v>
      </c>
      <c r="Z37" t="s">
        <v>537</v>
      </c>
      <c r="AA37" t="s">
        <v>538</v>
      </c>
      <c r="AB37" t="s">
        <v>688</v>
      </c>
      <c r="AC37" t="s">
        <v>689</v>
      </c>
      <c r="AD37" t="s">
        <v>292</v>
      </c>
      <c r="AE37" t="s">
        <v>618</v>
      </c>
      <c r="AF37" t="s">
        <v>552</v>
      </c>
      <c r="AG37" t="s">
        <v>555</v>
      </c>
      <c r="AH37" t="s">
        <v>619</v>
      </c>
      <c r="AI37" t="s">
        <v>620</v>
      </c>
      <c r="AJ37" t="s">
        <v>649</v>
      </c>
      <c r="AK37" t="s">
        <v>649</v>
      </c>
      <c r="AL37" t="s">
        <v>1059</v>
      </c>
      <c r="AM37" t="s">
        <v>690</v>
      </c>
      <c r="AN37" t="s">
        <v>311</v>
      </c>
      <c r="AO37">
        <v>0.54800000000000004</v>
      </c>
      <c r="AP37">
        <v>0.02</v>
      </c>
      <c r="AQ37" t="s">
        <v>311</v>
      </c>
      <c r="AR37">
        <v>4</v>
      </c>
      <c r="AS37">
        <v>0.371</v>
      </c>
      <c r="AT37">
        <v>0.03</v>
      </c>
      <c r="AU37" t="s">
        <v>311</v>
      </c>
      <c r="AV37">
        <v>4</v>
      </c>
      <c r="BP37">
        <v>10</v>
      </c>
      <c r="BQ37">
        <v>23.2</v>
      </c>
      <c r="BR37" t="s">
        <v>1086</v>
      </c>
    </row>
    <row r="38" spans="1:70">
      <c r="A38" t="s">
        <v>1097</v>
      </c>
      <c r="B38" t="s">
        <v>1139</v>
      </c>
      <c r="C38">
        <v>4</v>
      </c>
      <c r="D38" t="s">
        <v>129</v>
      </c>
      <c r="E38" t="s">
        <v>130</v>
      </c>
      <c r="F38" t="s">
        <v>86</v>
      </c>
      <c r="G38">
        <v>2008</v>
      </c>
      <c r="H38" t="s">
        <v>453</v>
      </c>
      <c r="I38" t="s">
        <v>454</v>
      </c>
      <c r="J38">
        <v>40.859591999999999</v>
      </c>
      <c r="K38">
        <v>-72.472257999999997</v>
      </c>
      <c r="L38" t="s">
        <v>361</v>
      </c>
      <c r="M38" t="s">
        <v>399</v>
      </c>
      <c r="N38" t="s">
        <v>531</v>
      </c>
      <c r="O38" t="s">
        <v>532</v>
      </c>
      <c r="P38" t="s">
        <v>693</v>
      </c>
      <c r="Q38" t="s">
        <v>333</v>
      </c>
      <c r="R38" t="s">
        <v>550</v>
      </c>
      <c r="S38" t="s">
        <v>682</v>
      </c>
      <c r="T38" t="s">
        <v>331</v>
      </c>
      <c r="U38">
        <v>5</v>
      </c>
      <c r="V38" t="s">
        <v>535</v>
      </c>
      <c r="W38">
        <v>2006</v>
      </c>
      <c r="X38" t="s">
        <v>292</v>
      </c>
      <c r="Y38" t="s">
        <v>617</v>
      </c>
      <c r="Z38" t="s">
        <v>537</v>
      </c>
      <c r="AA38" t="s">
        <v>538</v>
      </c>
      <c r="AB38" t="s">
        <v>688</v>
      </c>
      <c r="AC38" t="s">
        <v>689</v>
      </c>
      <c r="AD38" t="s">
        <v>292</v>
      </c>
      <c r="AE38" t="s">
        <v>618</v>
      </c>
      <c r="AF38" t="s">
        <v>552</v>
      </c>
      <c r="AG38" t="s">
        <v>555</v>
      </c>
      <c r="AH38" t="s">
        <v>619</v>
      </c>
      <c r="AI38" t="s">
        <v>620</v>
      </c>
      <c r="AJ38" t="s">
        <v>649</v>
      </c>
      <c r="AK38" t="s">
        <v>649</v>
      </c>
      <c r="AL38" t="s">
        <v>1059</v>
      </c>
      <c r="AM38" t="s">
        <v>690</v>
      </c>
      <c r="AN38" t="s">
        <v>311</v>
      </c>
      <c r="AO38">
        <v>0.56000000000000005</v>
      </c>
      <c r="AP38">
        <v>0.02</v>
      </c>
      <c r="AQ38" t="s">
        <v>311</v>
      </c>
      <c r="AR38">
        <v>4</v>
      </c>
      <c r="AS38">
        <v>0.35499999999999998</v>
      </c>
      <c r="AT38">
        <v>0.04</v>
      </c>
      <c r="AU38" t="s">
        <v>311</v>
      </c>
      <c r="AV38">
        <v>4</v>
      </c>
      <c r="BP38">
        <v>10</v>
      </c>
      <c r="BQ38">
        <v>24.6</v>
      </c>
      <c r="BR38" t="s">
        <v>1087</v>
      </c>
    </row>
    <row r="39" spans="1:70">
      <c r="A39" t="s">
        <v>1097</v>
      </c>
      <c r="B39" t="s">
        <v>1139</v>
      </c>
      <c r="C39">
        <v>5</v>
      </c>
      <c r="D39" t="s">
        <v>129</v>
      </c>
      <c r="E39" t="s">
        <v>130</v>
      </c>
      <c r="F39" t="s">
        <v>86</v>
      </c>
      <c r="G39">
        <v>2008</v>
      </c>
      <c r="H39" t="s">
        <v>453</v>
      </c>
      <c r="I39" t="s">
        <v>454</v>
      </c>
      <c r="J39">
        <v>40.859591999999999</v>
      </c>
      <c r="K39">
        <v>-72.472257999999997</v>
      </c>
      <c r="L39" t="s">
        <v>361</v>
      </c>
      <c r="M39" t="s">
        <v>399</v>
      </c>
      <c r="N39" t="s">
        <v>531</v>
      </c>
      <c r="O39" t="s">
        <v>532</v>
      </c>
      <c r="P39" t="s">
        <v>693</v>
      </c>
      <c r="Q39" t="s">
        <v>333</v>
      </c>
      <c r="R39" t="s">
        <v>550</v>
      </c>
      <c r="S39" t="s">
        <v>682</v>
      </c>
      <c r="T39" t="s">
        <v>331</v>
      </c>
      <c r="U39">
        <v>5</v>
      </c>
      <c r="V39" t="s">
        <v>535</v>
      </c>
      <c r="W39">
        <v>2006</v>
      </c>
      <c r="X39" t="s">
        <v>292</v>
      </c>
      <c r="Y39" t="s">
        <v>536</v>
      </c>
      <c r="Z39" t="s">
        <v>537</v>
      </c>
      <c r="AA39" t="s">
        <v>538</v>
      </c>
      <c r="AB39" t="s">
        <v>539</v>
      </c>
      <c r="AC39" t="s">
        <v>540</v>
      </c>
      <c r="AD39" t="s">
        <v>292</v>
      </c>
      <c r="AE39" t="s">
        <v>618</v>
      </c>
      <c r="AF39" t="s">
        <v>552</v>
      </c>
      <c r="AG39" t="s">
        <v>555</v>
      </c>
      <c r="AH39" t="s">
        <v>619</v>
      </c>
      <c r="AI39" t="s">
        <v>620</v>
      </c>
      <c r="AJ39" t="s">
        <v>649</v>
      </c>
      <c r="AK39" t="s">
        <v>649</v>
      </c>
      <c r="AL39" t="s">
        <v>1059</v>
      </c>
      <c r="AM39" t="s">
        <v>690</v>
      </c>
      <c r="AN39" t="s">
        <v>311</v>
      </c>
      <c r="AO39">
        <v>0.79</v>
      </c>
      <c r="AP39">
        <v>0.11</v>
      </c>
      <c r="AQ39" t="s">
        <v>311</v>
      </c>
      <c r="AR39">
        <v>4</v>
      </c>
      <c r="AS39">
        <v>0.39900000000000002</v>
      </c>
      <c r="AT39">
        <v>0.08</v>
      </c>
      <c r="AU39" t="s">
        <v>311</v>
      </c>
      <c r="AV39">
        <v>4</v>
      </c>
      <c r="BP39">
        <v>10</v>
      </c>
      <c r="BQ39">
        <v>19.3</v>
      </c>
      <c r="BR39" t="s">
        <v>1088</v>
      </c>
    </row>
    <row r="40" spans="1:70">
      <c r="A40" t="s">
        <v>1099</v>
      </c>
      <c r="B40" t="s">
        <v>1155</v>
      </c>
      <c r="C40">
        <v>1</v>
      </c>
      <c r="D40" t="s">
        <v>159</v>
      </c>
      <c r="E40" t="s">
        <v>160</v>
      </c>
      <c r="F40" t="s">
        <v>161</v>
      </c>
      <c r="G40">
        <v>2000</v>
      </c>
      <c r="H40" t="s">
        <v>519</v>
      </c>
      <c r="I40" t="s">
        <v>520</v>
      </c>
      <c r="J40">
        <v>48.859659999999998</v>
      </c>
      <c r="K40">
        <v>-125.129383</v>
      </c>
      <c r="L40" t="s">
        <v>362</v>
      </c>
      <c r="M40" t="s">
        <v>521</v>
      </c>
      <c r="N40" t="s">
        <v>531</v>
      </c>
      <c r="O40" t="s">
        <v>288</v>
      </c>
      <c r="P40" t="s">
        <v>693</v>
      </c>
      <c r="Q40" t="s">
        <v>333</v>
      </c>
      <c r="R40" t="s">
        <v>753</v>
      </c>
      <c r="S40" t="s">
        <v>534</v>
      </c>
      <c r="T40" t="s">
        <v>331</v>
      </c>
      <c r="U40">
        <v>1</v>
      </c>
      <c r="V40" t="s">
        <v>535</v>
      </c>
      <c r="W40">
        <v>1995</v>
      </c>
      <c r="X40" t="s">
        <v>292</v>
      </c>
      <c r="Y40" t="s">
        <v>755</v>
      </c>
      <c r="Z40" t="s">
        <v>1094</v>
      </c>
      <c r="AA40" t="s">
        <v>756</v>
      </c>
      <c r="AB40" t="s">
        <v>757</v>
      </c>
      <c r="AC40" t="s">
        <v>758</v>
      </c>
      <c r="AD40" t="s">
        <v>292</v>
      </c>
      <c r="AE40" t="s">
        <v>706</v>
      </c>
      <c r="AF40" t="s">
        <v>567</v>
      </c>
      <c r="AG40" t="s">
        <v>343</v>
      </c>
      <c r="AH40" t="s">
        <v>704</v>
      </c>
      <c r="AI40" t="s">
        <v>705</v>
      </c>
      <c r="AJ40" t="s">
        <v>344</v>
      </c>
      <c r="AK40" t="s">
        <v>357</v>
      </c>
      <c r="AL40" t="s">
        <v>1059</v>
      </c>
      <c r="AM40" t="s">
        <v>541</v>
      </c>
      <c r="AN40" t="s">
        <v>311</v>
      </c>
      <c r="AO40">
        <v>1.0201342280000001</v>
      </c>
      <c r="AP40">
        <v>0.21476510100000001</v>
      </c>
      <c r="AQ40" t="s">
        <v>311</v>
      </c>
      <c r="AR40">
        <v>5</v>
      </c>
      <c r="AS40">
        <v>1.2348993290000001</v>
      </c>
      <c r="AT40">
        <v>0.21476510100000001</v>
      </c>
      <c r="AU40" t="s">
        <v>311</v>
      </c>
      <c r="AV40">
        <v>5</v>
      </c>
      <c r="AW40">
        <v>2.25</v>
      </c>
      <c r="BA40">
        <v>1.17</v>
      </c>
      <c r="BP40">
        <v>3.42</v>
      </c>
      <c r="BR40" t="s">
        <v>1153</v>
      </c>
    </row>
    <row r="41" spans="1:70">
      <c r="A41" t="s">
        <v>1099</v>
      </c>
      <c r="B41" t="s">
        <v>1155</v>
      </c>
      <c r="C41">
        <v>2</v>
      </c>
      <c r="D41" t="s">
        <v>159</v>
      </c>
      <c r="E41" t="s">
        <v>160</v>
      </c>
      <c r="F41" t="s">
        <v>161</v>
      </c>
      <c r="G41">
        <v>2000</v>
      </c>
      <c r="H41" t="s">
        <v>519</v>
      </c>
      <c r="I41" t="s">
        <v>520</v>
      </c>
      <c r="J41">
        <v>48.859659999999998</v>
      </c>
      <c r="K41">
        <v>-125.129383</v>
      </c>
      <c r="L41" t="s">
        <v>362</v>
      </c>
      <c r="M41" t="s">
        <v>521</v>
      </c>
      <c r="N41" t="s">
        <v>531</v>
      </c>
      <c r="O41" t="s">
        <v>288</v>
      </c>
      <c r="P41" t="s">
        <v>693</v>
      </c>
      <c r="Q41" t="s">
        <v>333</v>
      </c>
      <c r="R41" t="s">
        <v>753</v>
      </c>
      <c r="S41" t="s">
        <v>534</v>
      </c>
      <c r="T41" t="s">
        <v>331</v>
      </c>
      <c r="U41">
        <v>1</v>
      </c>
      <c r="V41" t="s">
        <v>535</v>
      </c>
      <c r="W41">
        <v>1995</v>
      </c>
      <c r="X41" t="s">
        <v>292</v>
      </c>
      <c r="Y41" t="s">
        <v>755</v>
      </c>
      <c r="Z41" t="s">
        <v>1094</v>
      </c>
      <c r="AA41" t="s">
        <v>756</v>
      </c>
      <c r="AB41" t="s">
        <v>757</v>
      </c>
      <c r="AC41" t="s">
        <v>758</v>
      </c>
      <c r="AD41" t="s">
        <v>292</v>
      </c>
      <c r="AE41" t="s">
        <v>706</v>
      </c>
      <c r="AF41" t="s">
        <v>567</v>
      </c>
      <c r="AG41" t="s">
        <v>343</v>
      </c>
      <c r="AH41" t="s">
        <v>704</v>
      </c>
      <c r="AI41" t="s">
        <v>705</v>
      </c>
      <c r="AJ41" t="s">
        <v>773</v>
      </c>
      <c r="AK41" t="s">
        <v>357</v>
      </c>
      <c r="AL41" t="s">
        <v>1059</v>
      </c>
      <c r="AM41" t="s">
        <v>962</v>
      </c>
      <c r="AN41" t="s">
        <v>311</v>
      </c>
      <c r="AO41">
        <v>0.21621621599999999</v>
      </c>
      <c r="AP41">
        <v>0.10810810799999999</v>
      </c>
      <c r="AQ41" t="s">
        <v>311</v>
      </c>
      <c r="AR41">
        <v>5</v>
      </c>
      <c r="AS41">
        <v>0.27027026999999998</v>
      </c>
      <c r="AT41">
        <v>0.10810810799999999</v>
      </c>
      <c r="AU41" t="s">
        <v>311</v>
      </c>
      <c r="AV41">
        <v>5</v>
      </c>
      <c r="AW41">
        <v>2.25</v>
      </c>
      <c r="BA41">
        <v>1.17</v>
      </c>
      <c r="BP41">
        <v>3.42</v>
      </c>
      <c r="BR41" t="s">
        <v>1153</v>
      </c>
    </row>
    <row r="42" spans="1:70">
      <c r="A42" t="s">
        <v>1099</v>
      </c>
      <c r="B42" t="s">
        <v>1155</v>
      </c>
      <c r="C42">
        <v>3</v>
      </c>
      <c r="D42" t="s">
        <v>159</v>
      </c>
      <c r="E42" t="s">
        <v>160</v>
      </c>
      <c r="F42" t="s">
        <v>161</v>
      </c>
      <c r="G42">
        <v>2000</v>
      </c>
      <c r="H42" t="s">
        <v>519</v>
      </c>
      <c r="I42" t="s">
        <v>520</v>
      </c>
      <c r="J42">
        <v>48.859659999999998</v>
      </c>
      <c r="K42">
        <v>-125.129383</v>
      </c>
      <c r="L42" t="s">
        <v>362</v>
      </c>
      <c r="M42" t="s">
        <v>521</v>
      </c>
      <c r="N42" t="s">
        <v>531</v>
      </c>
      <c r="O42" t="s">
        <v>288</v>
      </c>
      <c r="P42" t="s">
        <v>693</v>
      </c>
      <c r="Q42" t="s">
        <v>333</v>
      </c>
      <c r="R42" t="s">
        <v>753</v>
      </c>
      <c r="S42" t="s">
        <v>534</v>
      </c>
      <c r="T42" t="s">
        <v>331</v>
      </c>
      <c r="U42">
        <v>1</v>
      </c>
      <c r="V42" t="s">
        <v>535</v>
      </c>
      <c r="W42">
        <v>1995</v>
      </c>
      <c r="X42" t="s">
        <v>292</v>
      </c>
      <c r="Y42" t="s">
        <v>755</v>
      </c>
      <c r="Z42" t="s">
        <v>1094</v>
      </c>
      <c r="AA42" t="s">
        <v>756</v>
      </c>
      <c r="AB42" t="s">
        <v>757</v>
      </c>
      <c r="AC42" t="s">
        <v>758</v>
      </c>
      <c r="AD42" t="s">
        <v>292</v>
      </c>
      <c r="AE42" t="s">
        <v>706</v>
      </c>
      <c r="AF42" t="s">
        <v>567</v>
      </c>
      <c r="AG42" t="s">
        <v>343</v>
      </c>
      <c r="AH42" t="s">
        <v>704</v>
      </c>
      <c r="AI42" t="s">
        <v>705</v>
      </c>
      <c r="AJ42" t="s">
        <v>805</v>
      </c>
      <c r="AK42" t="s">
        <v>357</v>
      </c>
      <c r="AL42" t="s">
        <v>1059</v>
      </c>
      <c r="AM42" t="s">
        <v>963</v>
      </c>
      <c r="AN42" t="s">
        <v>311</v>
      </c>
      <c r="AO42">
        <v>0.80536912800000005</v>
      </c>
      <c r="AP42">
        <v>0.10738254999999999</v>
      </c>
      <c r="AQ42" t="s">
        <v>311</v>
      </c>
      <c r="AR42">
        <v>5</v>
      </c>
      <c r="AS42">
        <v>1.0738255029999999</v>
      </c>
      <c r="AT42">
        <v>0.10738254999999999</v>
      </c>
      <c r="AU42" t="s">
        <v>311</v>
      </c>
      <c r="AV42">
        <v>5</v>
      </c>
      <c r="AW42">
        <v>2.25</v>
      </c>
      <c r="BA42">
        <v>1.17</v>
      </c>
      <c r="BP42">
        <v>3.42</v>
      </c>
      <c r="BR42" t="s">
        <v>1153</v>
      </c>
    </row>
    <row r="43" spans="1:70">
      <c r="A43" t="s">
        <v>1099</v>
      </c>
      <c r="B43" t="s">
        <v>1155</v>
      </c>
      <c r="C43">
        <v>4</v>
      </c>
      <c r="D43" t="s">
        <v>159</v>
      </c>
      <c r="E43" t="s">
        <v>160</v>
      </c>
      <c r="F43" t="s">
        <v>161</v>
      </c>
      <c r="G43">
        <v>2000</v>
      </c>
      <c r="H43" t="s">
        <v>522</v>
      </c>
      <c r="I43" t="s">
        <v>523</v>
      </c>
      <c r="J43">
        <v>48.836488000000003</v>
      </c>
      <c r="K43">
        <v>-125.173698</v>
      </c>
      <c r="L43" t="s">
        <v>362</v>
      </c>
      <c r="M43" t="s">
        <v>524</v>
      </c>
      <c r="N43" t="s">
        <v>531</v>
      </c>
      <c r="O43" t="s">
        <v>288</v>
      </c>
      <c r="P43" t="s">
        <v>693</v>
      </c>
      <c r="Q43" t="s">
        <v>333</v>
      </c>
      <c r="R43" t="s">
        <v>753</v>
      </c>
      <c r="S43" t="s">
        <v>754</v>
      </c>
      <c r="T43" t="s">
        <v>331</v>
      </c>
      <c r="U43">
        <v>1</v>
      </c>
      <c r="V43" t="s">
        <v>535</v>
      </c>
      <c r="W43">
        <v>1995</v>
      </c>
      <c r="X43" t="s">
        <v>292</v>
      </c>
      <c r="Y43" t="s">
        <v>755</v>
      </c>
      <c r="Z43" t="s">
        <v>1094</v>
      </c>
      <c r="AA43" t="s">
        <v>756</v>
      </c>
      <c r="AB43" t="s">
        <v>757</v>
      </c>
      <c r="AC43" t="s">
        <v>758</v>
      </c>
      <c r="AD43" t="s">
        <v>292</v>
      </c>
      <c r="AE43" t="s">
        <v>706</v>
      </c>
      <c r="AF43" t="s">
        <v>567</v>
      </c>
      <c r="AG43" t="s">
        <v>343</v>
      </c>
      <c r="AH43" t="s">
        <v>704</v>
      </c>
      <c r="AI43" t="s">
        <v>705</v>
      </c>
      <c r="AJ43" t="s">
        <v>344</v>
      </c>
      <c r="AK43" t="s">
        <v>357</v>
      </c>
      <c r="AL43" t="s">
        <v>1059</v>
      </c>
      <c r="AM43" t="s">
        <v>541</v>
      </c>
      <c r="AN43" t="s">
        <v>311</v>
      </c>
      <c r="AO43">
        <v>6.8187919460000002</v>
      </c>
      <c r="AP43">
        <v>0.21476510100000001</v>
      </c>
      <c r="AQ43" t="s">
        <v>311</v>
      </c>
      <c r="AR43">
        <v>5</v>
      </c>
      <c r="AS43">
        <v>8.4295302010000004</v>
      </c>
      <c r="AT43">
        <v>0.59060402700000003</v>
      </c>
      <c r="AU43" t="s">
        <v>311</v>
      </c>
      <c r="AV43">
        <v>5</v>
      </c>
      <c r="AW43">
        <v>5.15</v>
      </c>
      <c r="BA43">
        <v>5.5</v>
      </c>
      <c r="BP43">
        <v>10.65</v>
      </c>
      <c r="BR43" t="s">
        <v>1154</v>
      </c>
    </row>
    <row r="44" spans="1:70">
      <c r="A44" t="s">
        <v>1099</v>
      </c>
      <c r="B44" t="s">
        <v>1155</v>
      </c>
      <c r="C44">
        <v>5</v>
      </c>
      <c r="D44" t="s">
        <v>159</v>
      </c>
      <c r="E44" t="s">
        <v>160</v>
      </c>
      <c r="F44" t="s">
        <v>161</v>
      </c>
      <c r="G44">
        <v>2000</v>
      </c>
      <c r="H44" t="s">
        <v>522</v>
      </c>
      <c r="I44" t="s">
        <v>523</v>
      </c>
      <c r="J44">
        <v>48.836488000000003</v>
      </c>
      <c r="K44">
        <v>-125.173698</v>
      </c>
      <c r="L44" t="s">
        <v>362</v>
      </c>
      <c r="M44" t="s">
        <v>524</v>
      </c>
      <c r="N44" t="s">
        <v>531</v>
      </c>
      <c r="O44" t="s">
        <v>288</v>
      </c>
      <c r="P44" t="s">
        <v>693</v>
      </c>
      <c r="Q44" t="s">
        <v>333</v>
      </c>
      <c r="R44" t="s">
        <v>753</v>
      </c>
      <c r="S44" t="s">
        <v>754</v>
      </c>
      <c r="T44" t="s">
        <v>331</v>
      </c>
      <c r="U44">
        <v>1</v>
      </c>
      <c r="V44" t="s">
        <v>535</v>
      </c>
      <c r="W44">
        <v>1995</v>
      </c>
      <c r="X44" t="s">
        <v>292</v>
      </c>
      <c r="Y44" t="s">
        <v>755</v>
      </c>
      <c r="Z44" t="s">
        <v>1094</v>
      </c>
      <c r="AA44" t="s">
        <v>756</v>
      </c>
      <c r="AB44" t="s">
        <v>757</v>
      </c>
      <c r="AC44" t="s">
        <v>758</v>
      </c>
      <c r="AD44" t="s">
        <v>292</v>
      </c>
      <c r="AE44" t="s">
        <v>706</v>
      </c>
      <c r="AF44" t="s">
        <v>567</v>
      </c>
      <c r="AG44" t="s">
        <v>343</v>
      </c>
      <c r="AH44" t="s">
        <v>704</v>
      </c>
      <c r="AI44" t="s">
        <v>705</v>
      </c>
      <c r="AJ44" t="s">
        <v>773</v>
      </c>
      <c r="AK44" t="s">
        <v>357</v>
      </c>
      <c r="AL44" t="s">
        <v>1059</v>
      </c>
      <c r="AM44" t="s">
        <v>962</v>
      </c>
      <c r="AN44" t="s">
        <v>311</v>
      </c>
      <c r="AO44">
        <v>0.594594595</v>
      </c>
      <c r="AP44">
        <v>5.4054053999999997E-2</v>
      </c>
      <c r="AQ44" t="s">
        <v>311</v>
      </c>
      <c r="AR44">
        <v>5</v>
      </c>
      <c r="AS44">
        <v>0.64864864899999997</v>
      </c>
      <c r="AT44">
        <v>0.10810810799999999</v>
      </c>
      <c r="AU44" t="s">
        <v>311</v>
      </c>
      <c r="AV44">
        <v>5</v>
      </c>
      <c r="AW44">
        <v>5.15</v>
      </c>
      <c r="BA44">
        <v>5.5</v>
      </c>
      <c r="BP44">
        <v>10.65</v>
      </c>
      <c r="BR44" t="s">
        <v>1154</v>
      </c>
    </row>
    <row r="45" spans="1:70">
      <c r="A45" t="s">
        <v>1099</v>
      </c>
      <c r="B45" t="s">
        <v>1155</v>
      </c>
      <c r="C45">
        <v>6</v>
      </c>
      <c r="D45" t="s">
        <v>159</v>
      </c>
      <c r="E45" t="s">
        <v>160</v>
      </c>
      <c r="F45" t="s">
        <v>161</v>
      </c>
      <c r="G45">
        <v>2000</v>
      </c>
      <c r="H45" t="s">
        <v>522</v>
      </c>
      <c r="I45" t="s">
        <v>523</v>
      </c>
      <c r="J45">
        <v>48.836488000000003</v>
      </c>
      <c r="K45">
        <v>-125.173698</v>
      </c>
      <c r="L45" t="s">
        <v>362</v>
      </c>
      <c r="M45" t="s">
        <v>524</v>
      </c>
      <c r="N45" t="s">
        <v>531</v>
      </c>
      <c r="O45" t="s">
        <v>288</v>
      </c>
      <c r="P45" t="s">
        <v>693</v>
      </c>
      <c r="Q45" t="s">
        <v>333</v>
      </c>
      <c r="R45" t="s">
        <v>753</v>
      </c>
      <c r="S45" t="s">
        <v>754</v>
      </c>
      <c r="T45" t="s">
        <v>331</v>
      </c>
      <c r="U45">
        <v>1</v>
      </c>
      <c r="V45" t="s">
        <v>535</v>
      </c>
      <c r="W45">
        <v>1995</v>
      </c>
      <c r="X45" t="s">
        <v>292</v>
      </c>
      <c r="Y45" t="s">
        <v>755</v>
      </c>
      <c r="Z45" t="s">
        <v>1094</v>
      </c>
      <c r="AA45" t="s">
        <v>756</v>
      </c>
      <c r="AB45" t="s">
        <v>757</v>
      </c>
      <c r="AC45" t="s">
        <v>758</v>
      </c>
      <c r="AD45" t="s">
        <v>292</v>
      </c>
      <c r="AE45" t="s">
        <v>706</v>
      </c>
      <c r="AF45" t="s">
        <v>567</v>
      </c>
      <c r="AG45" t="s">
        <v>343</v>
      </c>
      <c r="AH45" t="s">
        <v>704</v>
      </c>
      <c r="AI45" t="s">
        <v>705</v>
      </c>
      <c r="AJ45" t="s">
        <v>805</v>
      </c>
      <c r="AK45" t="s">
        <v>357</v>
      </c>
      <c r="AL45" t="s">
        <v>1059</v>
      </c>
      <c r="AM45" t="s">
        <v>963</v>
      </c>
      <c r="AN45" t="s">
        <v>311</v>
      </c>
      <c r="AO45">
        <v>3.5973154360000001</v>
      </c>
      <c r="AP45">
        <v>0.21476510100000001</v>
      </c>
      <c r="AQ45" t="s">
        <v>311</v>
      </c>
      <c r="AR45">
        <v>5</v>
      </c>
      <c r="AS45">
        <v>4.6711409399999999</v>
      </c>
      <c r="AT45">
        <v>0.161073826</v>
      </c>
      <c r="AU45" t="s">
        <v>311</v>
      </c>
      <c r="AV45">
        <v>5</v>
      </c>
      <c r="AW45">
        <v>5.15</v>
      </c>
      <c r="BA45">
        <v>5.5</v>
      </c>
      <c r="BP45">
        <v>10.65</v>
      </c>
      <c r="BR45" t="s">
        <v>1154</v>
      </c>
    </row>
    <row r="46" spans="1:70">
      <c r="A46" t="s">
        <v>1103</v>
      </c>
      <c r="B46" t="s">
        <v>1172</v>
      </c>
      <c r="C46">
        <v>1</v>
      </c>
      <c r="D46" s="4" t="s">
        <v>182</v>
      </c>
      <c r="E46" t="s">
        <v>183</v>
      </c>
      <c r="F46" t="s">
        <v>70</v>
      </c>
      <c r="G46">
        <v>1996</v>
      </c>
      <c r="H46" t="s">
        <v>469</v>
      </c>
      <c r="I46" t="s">
        <v>470</v>
      </c>
      <c r="J46">
        <v>21.85</v>
      </c>
      <c r="K46">
        <v>-72.099999999999994</v>
      </c>
      <c r="L46" t="s">
        <v>472</v>
      </c>
      <c r="M46" t="s">
        <v>471</v>
      </c>
      <c r="N46" t="s">
        <v>531</v>
      </c>
      <c r="O46" t="s">
        <v>532</v>
      </c>
      <c r="P46" t="s">
        <v>693</v>
      </c>
      <c r="Q46" t="s">
        <v>291</v>
      </c>
      <c r="R46" t="s">
        <v>328</v>
      </c>
      <c r="S46" t="s">
        <v>717</v>
      </c>
      <c r="T46" t="s">
        <v>330</v>
      </c>
      <c r="U46">
        <v>5</v>
      </c>
      <c r="V46" t="s">
        <v>551</v>
      </c>
      <c r="W46">
        <v>1994</v>
      </c>
      <c r="X46" t="s">
        <v>292</v>
      </c>
      <c r="Y46" t="s">
        <v>906</v>
      </c>
      <c r="Z46" t="s">
        <v>765</v>
      </c>
      <c r="AA46" t="s">
        <v>766</v>
      </c>
      <c r="AB46" t="s">
        <v>767</v>
      </c>
      <c r="AC46" t="s">
        <v>768</v>
      </c>
      <c r="AD46" t="s">
        <v>340</v>
      </c>
      <c r="AE46" t="s">
        <v>311</v>
      </c>
      <c r="AF46" t="s">
        <v>802</v>
      </c>
      <c r="AG46" t="s">
        <v>820</v>
      </c>
      <c r="AH46" t="s">
        <v>311</v>
      </c>
      <c r="AI46" t="s">
        <v>311</v>
      </c>
      <c r="AJ46" t="s">
        <v>649</v>
      </c>
      <c r="AK46" t="s">
        <v>649</v>
      </c>
      <c r="AL46" t="s">
        <v>1059</v>
      </c>
      <c r="AM46" t="s">
        <v>345</v>
      </c>
      <c r="AN46" t="s">
        <v>311</v>
      </c>
      <c r="AO46">
        <v>157500000</v>
      </c>
      <c r="AP46" s="4" t="s">
        <v>311</v>
      </c>
      <c r="AQ46" s="4" t="s">
        <v>311</v>
      </c>
      <c r="AR46">
        <v>4</v>
      </c>
      <c r="AS46">
        <v>135200000</v>
      </c>
      <c r="AT46" s="4" t="s">
        <v>311</v>
      </c>
      <c r="AU46" s="4" t="s">
        <v>311</v>
      </c>
      <c r="AV46">
        <v>4</v>
      </c>
      <c r="BR46" s="6" t="s">
        <v>831</v>
      </c>
    </row>
    <row r="47" spans="1:70" s="4" customFormat="1">
      <c r="A47" s="4" t="s">
        <v>1099</v>
      </c>
      <c r="B47" s="4" t="s">
        <v>1418</v>
      </c>
      <c r="C47" s="4">
        <v>1</v>
      </c>
      <c r="D47" s="4" t="s">
        <v>1379</v>
      </c>
      <c r="E47" s="4" t="s">
        <v>1380</v>
      </c>
      <c r="F47" s="4" t="s">
        <v>1381</v>
      </c>
      <c r="G47" s="4">
        <v>2022</v>
      </c>
      <c r="H47" s="4" t="s">
        <v>1372</v>
      </c>
      <c r="I47" s="4" t="s">
        <v>1373</v>
      </c>
      <c r="J47" s="4">
        <v>-5.8333329999999997</v>
      </c>
      <c r="K47" s="4">
        <v>72</v>
      </c>
      <c r="L47" s="4" t="s">
        <v>376</v>
      </c>
      <c r="M47" s="4" t="s">
        <v>375</v>
      </c>
      <c r="N47" s="4" t="s">
        <v>593</v>
      </c>
      <c r="O47" s="4" t="s">
        <v>556</v>
      </c>
      <c r="P47" s="4" t="s">
        <v>557</v>
      </c>
      <c r="Q47" s="4" t="s">
        <v>291</v>
      </c>
    </row>
    <row r="48" spans="1:70" s="4" customFormat="1">
      <c r="A48" s="4" t="s">
        <v>1097</v>
      </c>
      <c r="B48" s="4" t="s">
        <v>1426</v>
      </c>
      <c r="D48" s="4" t="s">
        <v>1387</v>
      </c>
      <c r="E48" s="4" t="s">
        <v>1388</v>
      </c>
      <c r="F48" s="4" t="s">
        <v>67</v>
      </c>
      <c r="G48" s="4">
        <v>2022</v>
      </c>
    </row>
    <row r="49" spans="1:94" s="4" customFormat="1">
      <c r="A49" s="4" t="s">
        <v>1099</v>
      </c>
      <c r="B49" s="4" t="s">
        <v>388</v>
      </c>
      <c r="D49" s="4" t="s">
        <v>1389</v>
      </c>
      <c r="E49" s="4" t="s">
        <v>1390</v>
      </c>
      <c r="F49" s="4" t="s">
        <v>1391</v>
      </c>
      <c r="G49" s="4">
        <v>2024</v>
      </c>
    </row>
    <row r="50" spans="1:94" s="4" customFormat="1">
      <c r="A50" s="4" t="s">
        <v>1097</v>
      </c>
      <c r="B50" s="4" t="s">
        <v>1427</v>
      </c>
      <c r="D50" s="4" t="s">
        <v>1392</v>
      </c>
      <c r="E50" s="4" t="s">
        <v>1393</v>
      </c>
      <c r="F50" s="4" t="s">
        <v>1394</v>
      </c>
      <c r="G50" s="4">
        <v>2022</v>
      </c>
    </row>
    <row r="51" spans="1:94" s="4" customFormat="1">
      <c r="A51" s="4" t="s">
        <v>1097</v>
      </c>
      <c r="B51" s="4" t="s">
        <v>1426</v>
      </c>
      <c r="D51" s="4" t="s">
        <v>1395</v>
      </c>
      <c r="E51" s="4" t="s">
        <v>1396</v>
      </c>
      <c r="F51" s="4" t="s">
        <v>1397</v>
      </c>
      <c r="G51" s="4">
        <v>2022</v>
      </c>
    </row>
    <row r="52" spans="1:94" s="4" customFormat="1">
      <c r="A52" s="4" t="s">
        <v>1098</v>
      </c>
      <c r="B52" s="4" t="s">
        <v>1431</v>
      </c>
      <c r="D52" s="4" t="s">
        <v>1398</v>
      </c>
      <c r="E52" s="4" t="s">
        <v>1399</v>
      </c>
      <c r="F52" s="4" t="s">
        <v>144</v>
      </c>
      <c r="G52" s="4">
        <v>2024</v>
      </c>
    </row>
    <row r="53" spans="1:94" s="4" customFormat="1">
      <c r="A53" s="4" t="s">
        <v>1099</v>
      </c>
      <c r="B53" s="4" t="s">
        <v>1432</v>
      </c>
      <c r="D53" s="4" t="s">
        <v>1400</v>
      </c>
      <c r="E53" s="4" t="s">
        <v>1401</v>
      </c>
      <c r="F53" s="4" t="s">
        <v>1402</v>
      </c>
      <c r="G53" s="4">
        <v>2024</v>
      </c>
    </row>
    <row r="54" spans="1:94" s="4" customFormat="1">
      <c r="A54" s="4" t="s">
        <v>1099</v>
      </c>
      <c r="B54" s="4" t="s">
        <v>1450</v>
      </c>
      <c r="D54" s="4" t="s">
        <v>1406</v>
      </c>
      <c r="E54" s="4" t="s">
        <v>1407</v>
      </c>
      <c r="F54" s="4" t="s">
        <v>1408</v>
      </c>
      <c r="G54" s="4">
        <v>2023</v>
      </c>
    </row>
    <row r="55" spans="1:94">
      <c r="A55" s="4" t="s">
        <v>1099</v>
      </c>
      <c r="B55" t="s">
        <v>1451</v>
      </c>
      <c r="D55" t="s">
        <v>1409</v>
      </c>
      <c r="E55" t="s">
        <v>1410</v>
      </c>
      <c r="F55" t="s">
        <v>1411</v>
      </c>
      <c r="G55">
        <v>2021</v>
      </c>
      <c r="CB55" t="s">
        <v>1412</v>
      </c>
    </row>
    <row r="56" spans="1:94" s="18" customFormat="1">
      <c r="A56" s="18" t="s">
        <v>1097</v>
      </c>
      <c r="B56" s="18" t="s">
        <v>1352</v>
      </c>
      <c r="D56" s="18" t="s">
        <v>1353</v>
      </c>
      <c r="E56" s="18" t="s">
        <v>1354</v>
      </c>
      <c r="F56" s="18" t="s">
        <v>181</v>
      </c>
      <c r="G56" s="18">
        <v>2022</v>
      </c>
    </row>
    <row r="57" spans="1:94" s="17" customFormat="1">
      <c r="A57" s="17" t="s">
        <v>1097</v>
      </c>
      <c r="B57" s="17" t="s">
        <v>1508</v>
      </c>
      <c r="D57" s="17" t="s">
        <v>1355</v>
      </c>
      <c r="E57" s="17" t="s">
        <v>1356</v>
      </c>
      <c r="F57" s="17" t="s">
        <v>1357</v>
      </c>
      <c r="G57" s="17">
        <v>2023</v>
      </c>
    </row>
    <row r="58" spans="1:94">
      <c r="A58" s="4" t="s">
        <v>1098</v>
      </c>
      <c r="B58" t="s">
        <v>1545</v>
      </c>
      <c r="C58">
        <v>1</v>
      </c>
      <c r="D58" t="s">
        <v>92</v>
      </c>
      <c r="E58" t="s">
        <v>93</v>
      </c>
      <c r="F58" t="s">
        <v>70</v>
      </c>
      <c r="G58">
        <v>2013</v>
      </c>
      <c r="H58" t="s">
        <v>1256</v>
      </c>
      <c r="I58" t="s">
        <v>1257</v>
      </c>
      <c r="J58">
        <v>41.6</v>
      </c>
      <c r="K58">
        <v>-70.633332999999993</v>
      </c>
      <c r="L58" t="s">
        <v>361</v>
      </c>
      <c r="M58" t="s">
        <v>386</v>
      </c>
      <c r="N58" t="s">
        <v>531</v>
      </c>
      <c r="O58" t="s">
        <v>532</v>
      </c>
      <c r="P58" t="s">
        <v>693</v>
      </c>
      <c r="Q58" t="s">
        <v>333</v>
      </c>
      <c r="R58" t="s">
        <v>640</v>
      </c>
      <c r="S58" t="s">
        <v>311</v>
      </c>
      <c r="T58" t="s">
        <v>330</v>
      </c>
      <c r="U58">
        <v>5</v>
      </c>
      <c r="V58" t="s">
        <v>535</v>
      </c>
      <c r="W58">
        <v>2010</v>
      </c>
      <c r="X58" t="s">
        <v>292</v>
      </c>
      <c r="Y58" t="s">
        <v>641</v>
      </c>
      <c r="Z58" t="s">
        <v>604</v>
      </c>
      <c r="AA58" t="s">
        <v>538</v>
      </c>
      <c r="AB58" t="s">
        <v>642</v>
      </c>
      <c r="AC58" t="s">
        <v>643</v>
      </c>
      <c r="AD58" t="s">
        <v>292</v>
      </c>
      <c r="AE58" t="s">
        <v>644</v>
      </c>
      <c r="AF58" t="s">
        <v>567</v>
      </c>
      <c r="AG58" t="s">
        <v>570</v>
      </c>
      <c r="AH58" t="s">
        <v>645</v>
      </c>
      <c r="AI58" t="s">
        <v>646</v>
      </c>
      <c r="AJ58" t="s">
        <v>549</v>
      </c>
      <c r="AK58" t="s">
        <v>357</v>
      </c>
      <c r="AL58" t="s">
        <v>764</v>
      </c>
      <c r="AM58" t="s">
        <v>584</v>
      </c>
      <c r="AN58" t="s">
        <v>606</v>
      </c>
      <c r="AO58" t="s">
        <v>614</v>
      </c>
      <c r="AP58" t="s">
        <v>887</v>
      </c>
      <c r="AQ58">
        <v>0.132079207920792</v>
      </c>
      <c r="AR58">
        <v>3.5643564356429847E-3</v>
      </c>
      <c r="AS58" t="s">
        <v>311</v>
      </c>
      <c r="AT58">
        <v>5</v>
      </c>
      <c r="AU58">
        <v>6.0396039603960401E-2</v>
      </c>
      <c r="AV58">
        <v>5.5445544554455009E-3</v>
      </c>
      <c r="AW58" t="s">
        <v>311</v>
      </c>
      <c r="AX58">
        <v>5</v>
      </c>
      <c r="AY58" t="s">
        <v>1055</v>
      </c>
      <c r="AZ58" t="s">
        <v>1679</v>
      </c>
      <c r="BA58">
        <v>10</v>
      </c>
      <c r="BB58" t="s">
        <v>1672</v>
      </c>
      <c r="BC58" t="s">
        <v>311</v>
      </c>
      <c r="BD58" t="s">
        <v>1880</v>
      </c>
      <c r="BE58" t="s">
        <v>1258</v>
      </c>
      <c r="BM58">
        <v>0.9</v>
      </c>
      <c r="BN58">
        <v>0.05</v>
      </c>
      <c r="BO58">
        <v>0</v>
      </c>
      <c r="BP58">
        <v>0</v>
      </c>
      <c r="BQ58">
        <v>7.0000000000000007E-2</v>
      </c>
      <c r="BR58">
        <v>0.03</v>
      </c>
      <c r="BS58">
        <v>0</v>
      </c>
      <c r="BT58">
        <v>0</v>
      </c>
      <c r="BU58">
        <v>5</v>
      </c>
      <c r="BV58">
        <v>5</v>
      </c>
      <c r="BW58" t="s">
        <v>311</v>
      </c>
      <c r="BX58" t="s">
        <v>311</v>
      </c>
      <c r="BY58" t="s">
        <v>311</v>
      </c>
      <c r="BZ58" t="s">
        <v>311</v>
      </c>
      <c r="CA58" t="s">
        <v>311</v>
      </c>
      <c r="CB58" t="s">
        <v>311</v>
      </c>
      <c r="CC58" t="s">
        <v>311</v>
      </c>
      <c r="CD58" t="s">
        <v>311</v>
      </c>
      <c r="CE58" t="s">
        <v>1126</v>
      </c>
      <c r="CF58" t="s">
        <v>1203</v>
      </c>
      <c r="CG58" t="s">
        <v>311</v>
      </c>
      <c r="CH58">
        <v>20</v>
      </c>
      <c r="CI58" t="s">
        <v>1209</v>
      </c>
      <c r="CJ58" t="s">
        <v>1209</v>
      </c>
      <c r="CK58" t="s">
        <v>311</v>
      </c>
      <c r="CL58" t="s">
        <v>311</v>
      </c>
      <c r="CM58" t="s">
        <v>311</v>
      </c>
      <c r="CN58" t="s">
        <v>311</v>
      </c>
      <c r="CO58" t="s">
        <v>311</v>
      </c>
      <c r="CP58" t="s">
        <v>311</v>
      </c>
    </row>
  </sheetData>
  <sortState xmlns:xlrd2="http://schemas.microsoft.com/office/spreadsheetml/2017/richdata2" ref="A2:AV34">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D794-525F-A546-BCFF-DDC9B2940F7E}">
  <dimension ref="A1:CB40"/>
  <sheetViews>
    <sheetView topLeftCell="A3" workbookViewId="0">
      <selection activeCell="B41" sqref="B41"/>
    </sheetView>
  </sheetViews>
  <sheetFormatPr baseColWidth="10" defaultRowHeight="16"/>
  <cols>
    <col min="1" max="1" width="15.1640625" bestFit="1" customWidth="1"/>
    <col min="2" max="2" width="67.83203125" customWidth="1"/>
  </cols>
  <sheetData>
    <row r="1" spans="1:50">
      <c r="A1" t="s">
        <v>1096</v>
      </c>
      <c r="B1" t="s">
        <v>0</v>
      </c>
      <c r="C1" t="s">
        <v>1</v>
      </c>
      <c r="D1" t="s">
        <v>11</v>
      </c>
      <c r="E1" t="s">
        <v>2</v>
      </c>
      <c r="F1" t="s">
        <v>4</v>
      </c>
      <c r="G1" t="s">
        <v>3</v>
      </c>
      <c r="H1" t="s">
        <v>279</v>
      </c>
      <c r="I1" t="s">
        <v>280</v>
      </c>
      <c r="J1" t="s">
        <v>283</v>
      </c>
      <c r="K1" t="s">
        <v>284</v>
      </c>
      <c r="L1" t="s">
        <v>6</v>
      </c>
      <c r="M1" t="s">
        <v>268</v>
      </c>
      <c r="N1" t="s">
        <v>350</v>
      </c>
      <c r="O1" t="s">
        <v>285</v>
      </c>
      <c r="P1" t="s">
        <v>286</v>
      </c>
      <c r="Q1" t="s">
        <v>5</v>
      </c>
      <c r="R1" t="s">
        <v>326</v>
      </c>
      <c r="S1" t="s">
        <v>533</v>
      </c>
      <c r="T1" t="s">
        <v>329</v>
      </c>
      <c r="U1" t="s">
        <v>351</v>
      </c>
      <c r="V1" t="s">
        <v>528</v>
      </c>
      <c r="W1" t="s">
        <v>308</v>
      </c>
      <c r="X1" t="s">
        <v>529</v>
      </c>
      <c r="Y1" t="s">
        <v>274</v>
      </c>
      <c r="Z1" t="s">
        <v>275</v>
      </c>
      <c r="AA1" t="s">
        <v>276</v>
      </c>
      <c r="AB1" t="s">
        <v>277</v>
      </c>
      <c r="AC1" t="s">
        <v>312</v>
      </c>
      <c r="AD1" t="s">
        <v>569</v>
      </c>
      <c r="AE1" t="s">
        <v>7</v>
      </c>
      <c r="AF1" t="s">
        <v>8</v>
      </c>
      <c r="AG1" t="s">
        <v>9</v>
      </c>
      <c r="AH1" t="s">
        <v>278</v>
      </c>
      <c r="AI1" t="s">
        <v>287</v>
      </c>
      <c r="AJ1" t="s">
        <v>356</v>
      </c>
      <c r="AK1" t="s">
        <v>352</v>
      </c>
      <c r="AL1" t="s">
        <v>313</v>
      </c>
      <c r="AM1" t="s">
        <v>353</v>
      </c>
      <c r="AN1" t="s">
        <v>315</v>
      </c>
      <c r="AO1" t="s">
        <v>318</v>
      </c>
      <c r="AP1" t="s">
        <v>543</v>
      </c>
      <c r="AQ1" t="s">
        <v>848</v>
      </c>
      <c r="AR1" t="s">
        <v>316</v>
      </c>
      <c r="AS1" t="s">
        <v>319</v>
      </c>
      <c r="AT1" t="s">
        <v>544</v>
      </c>
      <c r="AU1" t="s">
        <v>354</v>
      </c>
      <c r="AV1" t="s">
        <v>10</v>
      </c>
    </row>
    <row r="2" spans="1:50">
      <c r="A2" t="s">
        <v>1059</v>
      </c>
      <c r="B2" t="s">
        <v>322</v>
      </c>
      <c r="C2">
        <v>1</v>
      </c>
      <c r="D2" t="s">
        <v>15</v>
      </c>
      <c r="E2" t="s">
        <v>16</v>
      </c>
      <c r="F2" t="s">
        <v>17</v>
      </c>
      <c r="G2">
        <v>2019</v>
      </c>
    </row>
    <row r="3" spans="1:50">
      <c r="A3" t="s">
        <v>1059</v>
      </c>
      <c r="B3" t="s">
        <v>392</v>
      </c>
      <c r="C3">
        <v>2</v>
      </c>
      <c r="D3" t="s">
        <v>110</v>
      </c>
      <c r="E3" t="s">
        <v>111</v>
      </c>
      <c r="F3" t="s">
        <v>112</v>
      </c>
      <c r="G3">
        <v>2011</v>
      </c>
    </row>
    <row r="4" spans="1:50">
      <c r="A4" t="s">
        <v>1059</v>
      </c>
      <c r="B4" t="s">
        <v>393</v>
      </c>
      <c r="C4">
        <v>3</v>
      </c>
      <c r="D4" t="s">
        <v>113</v>
      </c>
      <c r="E4" t="s">
        <v>114</v>
      </c>
      <c r="F4" t="s">
        <v>70</v>
      </c>
      <c r="G4">
        <v>2010</v>
      </c>
    </row>
    <row r="5" spans="1:50">
      <c r="A5" t="s">
        <v>1059</v>
      </c>
      <c r="B5" t="s">
        <v>473</v>
      </c>
      <c r="C5">
        <v>4</v>
      </c>
      <c r="D5" t="s">
        <v>184</v>
      </c>
      <c r="E5" t="s">
        <v>185</v>
      </c>
      <c r="F5" t="s">
        <v>181</v>
      </c>
      <c r="G5">
        <v>1996</v>
      </c>
    </row>
    <row r="6" spans="1:50">
      <c r="A6" t="s">
        <v>1059</v>
      </c>
      <c r="B6" t="s">
        <v>474</v>
      </c>
      <c r="C6">
        <v>5</v>
      </c>
      <c r="D6" t="s">
        <v>186</v>
      </c>
      <c r="E6" t="s">
        <v>187</v>
      </c>
      <c r="F6" t="s">
        <v>188</v>
      </c>
      <c r="G6">
        <v>1995</v>
      </c>
    </row>
    <row r="7" spans="1:50">
      <c r="A7" t="s">
        <v>1059</v>
      </c>
      <c r="B7" t="s">
        <v>491</v>
      </c>
      <c r="C7">
        <v>6</v>
      </c>
      <c r="D7" t="s">
        <v>217</v>
      </c>
      <c r="E7" t="s">
        <v>218</v>
      </c>
      <c r="F7" t="s">
        <v>219</v>
      </c>
      <c r="G7">
        <v>2010</v>
      </c>
    </row>
    <row r="8" spans="1:50">
      <c r="A8" t="s">
        <v>1059</v>
      </c>
      <c r="B8" t="s">
        <v>495</v>
      </c>
      <c r="C8">
        <v>7</v>
      </c>
      <c r="D8" t="s">
        <v>224</v>
      </c>
      <c r="E8" t="s">
        <v>225</v>
      </c>
      <c r="F8" t="s">
        <v>226</v>
      </c>
      <c r="G8">
        <v>2005</v>
      </c>
    </row>
    <row r="9" spans="1:50">
      <c r="A9" t="s">
        <v>1059</v>
      </c>
      <c r="B9" t="s">
        <v>506</v>
      </c>
      <c r="C9">
        <v>8</v>
      </c>
      <c r="D9" t="s">
        <v>235</v>
      </c>
      <c r="E9" t="s">
        <v>236</v>
      </c>
      <c r="F9" t="s">
        <v>237</v>
      </c>
      <c r="G9">
        <v>1999</v>
      </c>
    </row>
    <row r="10" spans="1:50">
      <c r="A10" t="s">
        <v>1059</v>
      </c>
      <c r="B10" t="s">
        <v>506</v>
      </c>
      <c r="C10">
        <v>10</v>
      </c>
      <c r="D10" t="s">
        <v>249</v>
      </c>
      <c r="E10" t="s">
        <v>250</v>
      </c>
      <c r="F10" t="s">
        <v>251</v>
      </c>
      <c r="G10">
        <v>1988</v>
      </c>
    </row>
    <row r="11" spans="1:50">
      <c r="A11" t="s">
        <v>1059</v>
      </c>
      <c r="B11" t="s">
        <v>905</v>
      </c>
      <c r="C11">
        <v>11</v>
      </c>
      <c r="D11" t="s">
        <v>227</v>
      </c>
      <c r="E11" t="s">
        <v>228</v>
      </c>
      <c r="F11" t="s">
        <v>139</v>
      </c>
      <c r="G11">
        <v>2004</v>
      </c>
      <c r="H11" t="s">
        <v>496</v>
      </c>
      <c r="I11" t="s">
        <v>497</v>
      </c>
      <c r="J11">
        <v>59.751111000000002</v>
      </c>
      <c r="K11">
        <v>23.219166999999999</v>
      </c>
      <c r="L11" t="s">
        <v>498</v>
      </c>
      <c r="M11" t="s">
        <v>499</v>
      </c>
      <c r="N11" t="s">
        <v>600</v>
      </c>
      <c r="O11" t="s">
        <v>532</v>
      </c>
      <c r="P11" t="s">
        <v>693</v>
      </c>
      <c r="Q11" t="s">
        <v>333</v>
      </c>
      <c r="R11" t="s">
        <v>902</v>
      </c>
      <c r="S11" t="s">
        <v>311</v>
      </c>
      <c r="T11" t="s">
        <v>330</v>
      </c>
      <c r="U11" t="s">
        <v>535</v>
      </c>
      <c r="V11">
        <v>2000</v>
      </c>
      <c r="W11" t="s">
        <v>309</v>
      </c>
      <c r="X11" t="s">
        <v>903</v>
      </c>
      <c r="Y11" t="s">
        <v>765</v>
      </c>
      <c r="Z11" t="s">
        <v>766</v>
      </c>
      <c r="AA11" t="s">
        <v>904</v>
      </c>
      <c r="AB11" t="s">
        <v>792</v>
      </c>
    </row>
    <row r="12" spans="1:50">
      <c r="A12" t="s">
        <v>1097</v>
      </c>
      <c r="B12" t="s">
        <v>385</v>
      </c>
      <c r="C12">
        <v>12</v>
      </c>
      <c r="D12" t="s">
        <v>89</v>
      </c>
      <c r="E12" t="s">
        <v>90</v>
      </c>
      <c r="F12" t="s">
        <v>91</v>
      </c>
      <c r="G12">
        <v>2013</v>
      </c>
    </row>
    <row r="13" spans="1:50">
      <c r="A13" t="s">
        <v>1100</v>
      </c>
      <c r="B13" t="s">
        <v>964</v>
      </c>
      <c r="C13">
        <v>13</v>
      </c>
      <c r="D13" t="s">
        <v>195</v>
      </c>
      <c r="E13" t="s">
        <v>196</v>
      </c>
      <c r="F13" t="s">
        <v>197</v>
      </c>
      <c r="G13">
        <v>1993</v>
      </c>
    </row>
    <row r="14" spans="1:50">
      <c r="A14" t="s">
        <v>1097</v>
      </c>
      <c r="B14" t="s">
        <v>869</v>
      </c>
      <c r="C14">
        <v>14</v>
      </c>
      <c r="D14" t="s">
        <v>51</v>
      </c>
      <c r="E14" t="s">
        <v>52</v>
      </c>
      <c r="F14" t="s">
        <v>53</v>
      </c>
      <c r="G14">
        <v>2017</v>
      </c>
      <c r="H14" t="s">
        <v>428</v>
      </c>
      <c r="I14" t="s">
        <v>429</v>
      </c>
      <c r="J14">
        <v>-37.006335999999997</v>
      </c>
      <c r="K14">
        <v>175.89027200000001</v>
      </c>
      <c r="L14" t="s">
        <v>366</v>
      </c>
      <c r="M14" t="s">
        <v>367</v>
      </c>
      <c r="N14" t="s">
        <v>594</v>
      </c>
      <c r="O14" t="s">
        <v>288</v>
      </c>
      <c r="P14" t="s">
        <v>289</v>
      </c>
      <c r="Q14" t="s">
        <v>420</v>
      </c>
      <c r="R14" t="s">
        <v>865</v>
      </c>
      <c r="S14" t="s">
        <v>311</v>
      </c>
      <c r="T14" t="s">
        <v>331</v>
      </c>
      <c r="U14" t="s">
        <v>535</v>
      </c>
      <c r="V14">
        <v>2008</v>
      </c>
      <c r="W14" t="s">
        <v>292</v>
      </c>
      <c r="X14" t="s">
        <v>868</v>
      </c>
      <c r="Y14" t="s">
        <v>765</v>
      </c>
      <c r="Z14" t="s">
        <v>766</v>
      </c>
      <c r="AA14" t="s">
        <v>866</v>
      </c>
      <c r="AB14" t="s">
        <v>867</v>
      </c>
      <c r="AX14" t="s">
        <v>847</v>
      </c>
    </row>
    <row r="15" spans="1:50">
      <c r="A15" t="s">
        <v>1097</v>
      </c>
      <c r="B15" t="s">
        <v>512</v>
      </c>
      <c r="C15">
        <v>15</v>
      </c>
      <c r="D15" t="s">
        <v>261</v>
      </c>
      <c r="E15" t="s">
        <v>262</v>
      </c>
      <c r="F15" t="s">
        <v>263</v>
      </c>
      <c r="G15">
        <v>1980</v>
      </c>
    </row>
    <row r="16" spans="1:50">
      <c r="A16" t="s">
        <v>1097</v>
      </c>
      <c r="B16" t="s">
        <v>482</v>
      </c>
      <c r="C16">
        <v>16</v>
      </c>
      <c r="D16" t="s">
        <v>201</v>
      </c>
      <c r="E16" t="s">
        <v>202</v>
      </c>
      <c r="F16" t="s">
        <v>203</v>
      </c>
      <c r="G16">
        <v>2019</v>
      </c>
    </row>
    <row r="17" spans="1:50">
      <c r="A17" t="s">
        <v>1098</v>
      </c>
      <c r="B17" t="s">
        <v>691</v>
      </c>
      <c r="C17">
        <v>17</v>
      </c>
      <c r="D17" t="s">
        <v>118</v>
      </c>
      <c r="E17" t="s">
        <v>119</v>
      </c>
      <c r="F17" t="s">
        <v>80</v>
      </c>
      <c r="G17">
        <v>2009</v>
      </c>
      <c r="H17" t="s">
        <v>445</v>
      </c>
      <c r="I17" t="s">
        <v>446</v>
      </c>
      <c r="J17">
        <v>7.588381</v>
      </c>
      <c r="K17">
        <v>134.73338100000001</v>
      </c>
      <c r="L17" t="s">
        <v>361</v>
      </c>
      <c r="M17" t="s">
        <v>448</v>
      </c>
      <c r="Q17" t="s">
        <v>291</v>
      </c>
      <c r="AX17" t="s">
        <v>447</v>
      </c>
    </row>
    <row r="18" spans="1:50">
      <c r="A18" t="s">
        <v>1098</v>
      </c>
      <c r="B18" t="s">
        <v>692</v>
      </c>
      <c r="C18">
        <v>18</v>
      </c>
      <c r="D18" t="s">
        <v>209</v>
      </c>
      <c r="E18" t="s">
        <v>210</v>
      </c>
      <c r="F18" t="s">
        <v>80</v>
      </c>
      <c r="G18">
        <v>2015</v>
      </c>
      <c r="H18" t="s">
        <v>486</v>
      </c>
      <c r="I18" t="s">
        <v>487</v>
      </c>
      <c r="J18">
        <v>47.016666999999998</v>
      </c>
      <c r="K18">
        <v>-2.0333329999999998</v>
      </c>
      <c r="L18" t="s">
        <v>323</v>
      </c>
      <c r="M18" t="s">
        <v>369</v>
      </c>
      <c r="N18" t="s">
        <v>600</v>
      </c>
      <c r="O18" t="s">
        <v>532</v>
      </c>
      <c r="P18" t="s">
        <v>693</v>
      </c>
      <c r="Q18" t="s">
        <v>333</v>
      </c>
      <c r="R18" t="s">
        <v>775</v>
      </c>
      <c r="S18" t="s">
        <v>311</v>
      </c>
      <c r="T18" t="s">
        <v>331</v>
      </c>
    </row>
    <row r="19" spans="1:50">
      <c r="A19" t="s">
        <v>1098</v>
      </c>
      <c r="B19" t="s">
        <v>400</v>
      </c>
      <c r="C19">
        <v>19</v>
      </c>
      <c r="D19" t="s">
        <v>131</v>
      </c>
      <c r="E19" t="s">
        <v>132</v>
      </c>
      <c r="F19" t="s">
        <v>133</v>
      </c>
      <c r="G19">
        <v>2007</v>
      </c>
    </row>
    <row r="20" spans="1:50">
      <c r="A20" t="s">
        <v>1098</v>
      </c>
      <c r="B20" t="s">
        <v>400</v>
      </c>
      <c r="C20">
        <v>20</v>
      </c>
      <c r="D20" t="s">
        <v>142</v>
      </c>
      <c r="E20" t="s">
        <v>143</v>
      </c>
      <c r="F20" t="s">
        <v>144</v>
      </c>
      <c r="G20">
        <v>2005</v>
      </c>
    </row>
    <row r="21" spans="1:50">
      <c r="A21" t="s">
        <v>1098</v>
      </c>
      <c r="B21" t="s">
        <v>481</v>
      </c>
      <c r="C21">
        <v>21</v>
      </c>
      <c r="D21" t="s">
        <v>198</v>
      </c>
      <c r="E21" t="s">
        <v>199</v>
      </c>
      <c r="F21" t="s">
        <v>200</v>
      </c>
      <c r="G21">
        <v>1991</v>
      </c>
    </row>
    <row r="22" spans="1:50">
      <c r="A22" t="s">
        <v>1098</v>
      </c>
      <c r="B22" t="s">
        <v>481</v>
      </c>
      <c r="C22">
        <v>22</v>
      </c>
      <c r="D22" t="s">
        <v>206</v>
      </c>
      <c r="E22" t="s">
        <v>207</v>
      </c>
      <c r="F22" t="s">
        <v>208</v>
      </c>
      <c r="G22">
        <v>2016</v>
      </c>
    </row>
    <row r="23" spans="1:50">
      <c r="A23" t="s">
        <v>1098</v>
      </c>
      <c r="B23" t="s">
        <v>481</v>
      </c>
      <c r="C23">
        <v>23</v>
      </c>
      <c r="D23" t="s">
        <v>252</v>
      </c>
      <c r="E23" t="s">
        <v>253</v>
      </c>
      <c r="F23" t="s">
        <v>75</v>
      </c>
      <c r="G23">
        <v>1985</v>
      </c>
      <c r="AR23" t="s">
        <v>348</v>
      </c>
    </row>
    <row r="24" spans="1:50">
      <c r="A24" t="s">
        <v>1099</v>
      </c>
      <c r="B24" t="s">
        <v>475</v>
      </c>
      <c r="C24">
        <v>24</v>
      </c>
      <c r="D24" t="s">
        <v>189</v>
      </c>
      <c r="E24" t="s">
        <v>190</v>
      </c>
      <c r="F24" t="s">
        <v>75</v>
      </c>
      <c r="G24">
        <v>1995</v>
      </c>
    </row>
    <row r="25" spans="1:50" ht="18">
      <c r="A25" t="s">
        <v>1101</v>
      </c>
      <c r="B25" s="12" t="s">
        <v>484</v>
      </c>
      <c r="C25">
        <v>28</v>
      </c>
      <c r="D25" t="s">
        <v>204</v>
      </c>
      <c r="E25" t="s">
        <v>205</v>
      </c>
      <c r="F25" t="s">
        <v>483</v>
      </c>
      <c r="G25">
        <v>2016</v>
      </c>
      <c r="AX25" s="7" t="s">
        <v>485</v>
      </c>
    </row>
    <row r="26" spans="1:50">
      <c r="A26" t="s">
        <v>1101</v>
      </c>
      <c r="B26" s="12" t="s">
        <v>489</v>
      </c>
      <c r="C26">
        <v>29</v>
      </c>
      <c r="D26" t="s">
        <v>214</v>
      </c>
      <c r="E26" t="s">
        <v>215</v>
      </c>
      <c r="F26" t="s">
        <v>216</v>
      </c>
      <c r="G26">
        <v>2013</v>
      </c>
      <c r="AX26" t="s">
        <v>490</v>
      </c>
    </row>
    <row r="27" spans="1:50">
      <c r="A27" t="s">
        <v>1101</v>
      </c>
      <c r="B27" s="12" t="s">
        <v>517</v>
      </c>
      <c r="C27">
        <v>30</v>
      </c>
      <c r="D27" t="s">
        <v>264</v>
      </c>
      <c r="E27" t="s">
        <v>265</v>
      </c>
      <c r="F27" t="s">
        <v>266</v>
      </c>
      <c r="G27">
        <v>1967</v>
      </c>
    </row>
    <row r="28" spans="1:50" s="4" customFormat="1">
      <c r="A28" t="s">
        <v>1100</v>
      </c>
      <c r="B28" s="13" t="s">
        <v>504</v>
      </c>
      <c r="C28">
        <v>16</v>
      </c>
      <c r="D28" t="s">
        <v>155</v>
      </c>
      <c r="E28" t="s">
        <v>231</v>
      </c>
      <c r="F28" t="s">
        <v>53</v>
      </c>
      <c r="G28">
        <v>2001</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c r="A29" t="s">
        <v>1100</v>
      </c>
      <c r="B29" s="13" t="s">
        <v>488</v>
      </c>
      <c r="C29">
        <v>2</v>
      </c>
      <c r="D29" t="s">
        <v>211</v>
      </c>
      <c r="E29" t="s">
        <v>212</v>
      </c>
      <c r="F29" t="s">
        <v>213</v>
      </c>
      <c r="G29">
        <v>2013</v>
      </c>
    </row>
    <row r="30" spans="1:50">
      <c r="A30" t="s">
        <v>1100</v>
      </c>
      <c r="B30" s="13" t="s">
        <v>504</v>
      </c>
      <c r="C30">
        <v>24</v>
      </c>
      <c r="D30" t="s">
        <v>222</v>
      </c>
      <c r="E30" t="s">
        <v>223</v>
      </c>
      <c r="F30" t="s">
        <v>174</v>
      </c>
      <c r="G30">
        <v>2009</v>
      </c>
      <c r="H30" t="s">
        <v>493</v>
      </c>
      <c r="I30" t="s">
        <v>494</v>
      </c>
      <c r="J30">
        <v>38.315705000000001</v>
      </c>
      <c r="K30">
        <v>-123.070932</v>
      </c>
      <c r="L30" t="s">
        <v>361</v>
      </c>
      <c r="M30" t="s">
        <v>395</v>
      </c>
      <c r="N30" t="s">
        <v>531</v>
      </c>
      <c r="O30" t="s">
        <v>288</v>
      </c>
      <c r="P30" t="s">
        <v>693</v>
      </c>
      <c r="Q30" t="s">
        <v>333</v>
      </c>
    </row>
    <row r="31" spans="1:50">
      <c r="A31" t="s">
        <v>1100</v>
      </c>
      <c r="B31" s="13" t="s">
        <v>504</v>
      </c>
      <c r="C31">
        <v>32</v>
      </c>
      <c r="D31" s="4" t="s">
        <v>150</v>
      </c>
      <c r="E31" s="4" t="s">
        <v>500</v>
      </c>
      <c r="F31" s="4" t="s">
        <v>152</v>
      </c>
      <c r="G31" s="4">
        <v>2004</v>
      </c>
      <c r="H31" s="4" t="s">
        <v>501</v>
      </c>
      <c r="I31" s="4" t="s">
        <v>502</v>
      </c>
      <c r="J31" s="4">
        <v>44.620725</v>
      </c>
      <c r="K31" s="4">
        <v>-124.090729</v>
      </c>
      <c r="L31" s="4" t="s">
        <v>361</v>
      </c>
      <c r="M31" s="4" t="s">
        <v>503</v>
      </c>
      <c r="N31" s="4" t="s">
        <v>531</v>
      </c>
      <c r="O31" s="4" t="s">
        <v>288</v>
      </c>
      <c r="P31" s="4" t="s">
        <v>693</v>
      </c>
      <c r="Q31" s="4" t="s">
        <v>333</v>
      </c>
      <c r="R31" s="4" t="s">
        <v>795</v>
      </c>
      <c r="S31" s="4" t="s">
        <v>311</v>
      </c>
      <c r="T31" s="4" t="s">
        <v>330</v>
      </c>
      <c r="U31" s="4"/>
      <c r="V31" s="4" t="s">
        <v>559</v>
      </c>
      <c r="W31" s="4">
        <v>2002</v>
      </c>
      <c r="X31" s="4" t="s">
        <v>292</v>
      </c>
      <c r="Y31" s="4" t="s">
        <v>536</v>
      </c>
      <c r="Z31" s="4" t="s">
        <v>537</v>
      </c>
      <c r="AA31" s="4" t="s">
        <v>538</v>
      </c>
      <c r="AB31" s="4" t="s">
        <v>539</v>
      </c>
      <c r="AC31" s="4" t="s">
        <v>673</v>
      </c>
      <c r="AD31" s="4" t="s">
        <v>292</v>
      </c>
      <c r="AE31" s="4" t="s">
        <v>713</v>
      </c>
      <c r="AF31" s="4" t="s">
        <v>567</v>
      </c>
      <c r="AG31" s="4" t="s">
        <v>591</v>
      </c>
      <c r="AH31" s="4" t="s">
        <v>711</v>
      </c>
      <c r="AI31" s="4" t="s">
        <v>712</v>
      </c>
      <c r="AJ31" s="4" t="s">
        <v>679</v>
      </c>
      <c r="AK31" s="4" t="s">
        <v>357</v>
      </c>
      <c r="AL31" s="4" t="s">
        <v>675</v>
      </c>
      <c r="AM31" s="4" t="s">
        <v>314</v>
      </c>
      <c r="AN31" s="4" t="s">
        <v>614</v>
      </c>
      <c r="AO31" s="4">
        <v>74.473684210526301</v>
      </c>
      <c r="AP31" s="4">
        <v>10.789473684210506</v>
      </c>
      <c r="AQ31" s="4" t="s">
        <v>311</v>
      </c>
      <c r="AR31" s="4">
        <v>15</v>
      </c>
      <c r="AS31" s="4">
        <v>30.2631578947368</v>
      </c>
      <c r="AT31" s="4">
        <v>7.6315789473684035</v>
      </c>
      <c r="AU31" s="4" t="s">
        <v>311</v>
      </c>
      <c r="AV31" s="4">
        <v>12</v>
      </c>
      <c r="AW31" s="4" t="s">
        <v>794</v>
      </c>
    </row>
    <row r="32" spans="1:50">
      <c r="A32" t="s">
        <v>1100</v>
      </c>
      <c r="B32" s="14" t="s">
        <v>505</v>
      </c>
      <c r="C32">
        <v>15</v>
      </c>
      <c r="D32" t="s">
        <v>229</v>
      </c>
      <c r="E32" t="s">
        <v>230</v>
      </c>
      <c r="F32" t="s">
        <v>152</v>
      </c>
      <c r="G32">
        <v>2003</v>
      </c>
    </row>
    <row r="33" spans="1:80">
      <c r="A33" t="s">
        <v>1098</v>
      </c>
      <c r="B33" t="s">
        <v>692</v>
      </c>
      <c r="C33">
        <v>1</v>
      </c>
      <c r="D33" t="s">
        <v>140</v>
      </c>
      <c r="E33" t="s">
        <v>141</v>
      </c>
      <c r="F33" t="s">
        <v>70</v>
      </c>
      <c r="G33">
        <v>2005</v>
      </c>
      <c r="H33" t="s">
        <v>455</v>
      </c>
      <c r="I33" t="s">
        <v>456</v>
      </c>
      <c r="J33">
        <v>22.207383</v>
      </c>
      <c r="K33">
        <v>114.262255</v>
      </c>
      <c r="L33" t="s">
        <v>404</v>
      </c>
      <c r="M33" t="s">
        <v>403</v>
      </c>
      <c r="N33" t="s">
        <v>593</v>
      </c>
      <c r="O33" t="s">
        <v>288</v>
      </c>
      <c r="P33" t="s">
        <v>693</v>
      </c>
      <c r="Q33" t="s">
        <v>291</v>
      </c>
      <c r="R33" t="s">
        <v>795</v>
      </c>
      <c r="S33" t="s">
        <v>1131</v>
      </c>
      <c r="T33" t="s">
        <v>330</v>
      </c>
      <c r="U33">
        <v>5</v>
      </c>
      <c r="V33" t="s">
        <v>559</v>
      </c>
      <c r="W33">
        <v>2003</v>
      </c>
      <c r="X33" t="s">
        <v>292</v>
      </c>
      <c r="Y33" t="s">
        <v>968</v>
      </c>
      <c r="Z33" t="s">
        <v>760</v>
      </c>
      <c r="AA33" t="s">
        <v>761</v>
      </c>
      <c r="AB33" t="s">
        <v>969</v>
      </c>
      <c r="AC33" t="s">
        <v>970</v>
      </c>
      <c r="AD33" t="s">
        <v>340</v>
      </c>
      <c r="AE33" t="s">
        <v>311</v>
      </c>
      <c r="AF33" t="s">
        <v>660</v>
      </c>
      <c r="AG33" t="s">
        <v>591</v>
      </c>
      <c r="AH33" t="s">
        <v>311</v>
      </c>
      <c r="AI33" t="s">
        <v>311</v>
      </c>
      <c r="AJ33" t="s">
        <v>317</v>
      </c>
      <c r="AK33" t="s">
        <v>357</v>
      </c>
      <c r="AL33" t="s">
        <v>859</v>
      </c>
      <c r="AM33" t="s">
        <v>948</v>
      </c>
      <c r="AN33" t="s">
        <v>311</v>
      </c>
      <c r="AO33" s="6">
        <v>-9.5490716180371962</v>
      </c>
      <c r="AP33" t="s">
        <v>311</v>
      </c>
      <c r="AQ33" s="6">
        <v>18.328125522919279</v>
      </c>
      <c r="AR33">
        <v>3</v>
      </c>
      <c r="AS33" s="6">
        <v>2.1220159151193059</v>
      </c>
      <c r="AT33" t="s">
        <v>311</v>
      </c>
      <c r="AU33" s="6">
        <v>7.0666634717651116</v>
      </c>
      <c r="AV33">
        <v>3</v>
      </c>
      <c r="BR33" t="s">
        <v>974</v>
      </c>
    </row>
    <row r="34" spans="1:80" s="4" customFormat="1">
      <c r="A34" s="4" t="s">
        <v>1059</v>
      </c>
      <c r="B34" s="4" t="s">
        <v>1417</v>
      </c>
      <c r="D34" s="4" t="s">
        <v>1382</v>
      </c>
      <c r="E34" s="4" t="s">
        <v>1383</v>
      </c>
      <c r="F34" s="4" t="s">
        <v>1384</v>
      </c>
      <c r="G34" s="4">
        <v>2023</v>
      </c>
    </row>
    <row r="35" spans="1:80">
      <c r="A35" t="s">
        <v>1097</v>
      </c>
      <c r="B35" t="s">
        <v>1543</v>
      </c>
      <c r="D35" t="s">
        <v>1539</v>
      </c>
      <c r="E35" t="s">
        <v>1541</v>
      </c>
      <c r="G35">
        <v>2008</v>
      </c>
    </row>
    <row r="36" spans="1:80">
      <c r="A36" t="s">
        <v>1097</v>
      </c>
      <c r="B36" t="s">
        <v>1544</v>
      </c>
      <c r="D36" t="s">
        <v>1540</v>
      </c>
      <c r="E36" t="s">
        <v>1542</v>
      </c>
      <c r="G36">
        <v>2003</v>
      </c>
    </row>
    <row r="37" spans="1:80">
      <c r="A37" t="s">
        <v>1059</v>
      </c>
      <c r="B37" t="s">
        <v>1656</v>
      </c>
      <c r="C37">
        <v>1</v>
      </c>
      <c r="D37" t="s">
        <v>1413</v>
      </c>
      <c r="E37" t="s">
        <v>1414</v>
      </c>
      <c r="F37" t="s">
        <v>86</v>
      </c>
      <c r="G37">
        <v>2020</v>
      </c>
      <c r="H37" t="s">
        <v>1495</v>
      </c>
      <c r="I37" t="s">
        <v>1496</v>
      </c>
      <c r="J37">
        <v>60.109974999999999</v>
      </c>
      <c r="K37">
        <v>21.598994999999999</v>
      </c>
      <c r="L37" t="s">
        <v>498</v>
      </c>
      <c r="M37" t="s">
        <v>1452</v>
      </c>
      <c r="N37" t="s">
        <v>600</v>
      </c>
      <c r="O37" t="s">
        <v>532</v>
      </c>
      <c r="P37" t="s">
        <v>693</v>
      </c>
      <c r="Q37" t="s">
        <v>333</v>
      </c>
      <c r="R37" t="s">
        <v>311</v>
      </c>
      <c r="S37" t="s">
        <v>311</v>
      </c>
      <c r="T37" t="s">
        <v>330</v>
      </c>
      <c r="U37">
        <v>5</v>
      </c>
      <c r="V37" t="s">
        <v>535</v>
      </c>
      <c r="W37">
        <v>2017</v>
      </c>
      <c r="X37" t="s">
        <v>292</v>
      </c>
      <c r="Y37" t="s">
        <v>1455</v>
      </c>
      <c r="Z37" t="s">
        <v>537</v>
      </c>
      <c r="AA37" t="s">
        <v>538</v>
      </c>
      <c r="AB37" t="s">
        <v>1453</v>
      </c>
      <c r="AC37" t="s">
        <v>1454</v>
      </c>
      <c r="AD37" t="s">
        <v>292</v>
      </c>
      <c r="AE37" t="s">
        <v>618</v>
      </c>
      <c r="AF37" t="s">
        <v>552</v>
      </c>
      <c r="AG37" t="s">
        <v>555</v>
      </c>
      <c r="AH37" t="s">
        <v>619</v>
      </c>
      <c r="AI37" t="s">
        <v>620</v>
      </c>
      <c r="AJ37" t="s">
        <v>702</v>
      </c>
      <c r="AK37" t="s">
        <v>357</v>
      </c>
      <c r="AL37" t="s">
        <v>1059</v>
      </c>
      <c r="AM37" t="s">
        <v>1279</v>
      </c>
      <c r="AN37" t="s">
        <v>1287</v>
      </c>
      <c r="AO37" t="s">
        <v>614</v>
      </c>
      <c r="AP37" s="4">
        <v>1.75714285714285</v>
      </c>
      <c r="AQ37" s="4">
        <v>8.5714285714290073E-2</v>
      </c>
      <c r="AR37" s="4" t="s">
        <v>311</v>
      </c>
      <c r="AS37" s="4">
        <v>12</v>
      </c>
      <c r="AT37" s="4">
        <v>1.77142857142857</v>
      </c>
      <c r="AU37" s="4">
        <v>0.10000000000000009</v>
      </c>
      <c r="AV37" t="s">
        <v>311</v>
      </c>
      <c r="AW37">
        <v>12</v>
      </c>
      <c r="AX37" s="25">
        <v>1038.2848392036699</v>
      </c>
      <c r="AY37" t="s">
        <v>311</v>
      </c>
      <c r="AZ37" s="25">
        <v>3895.8652373660002</v>
      </c>
      <c r="BA37" t="s">
        <v>311</v>
      </c>
      <c r="BB37" t="s">
        <v>311</v>
      </c>
      <c r="BC37" t="s">
        <v>311</v>
      </c>
      <c r="BD37" t="s">
        <v>311</v>
      </c>
      <c r="BE37" t="s">
        <v>311</v>
      </c>
      <c r="BF37" t="s">
        <v>311</v>
      </c>
      <c r="BG37" t="s">
        <v>311</v>
      </c>
      <c r="BH37" t="s">
        <v>311</v>
      </c>
      <c r="BI37" t="s">
        <v>311</v>
      </c>
      <c r="BJ37" t="s">
        <v>311</v>
      </c>
      <c r="BK37" t="s">
        <v>311</v>
      </c>
      <c r="BL37" t="s">
        <v>311</v>
      </c>
      <c r="BM37" t="s">
        <v>311</v>
      </c>
      <c r="BN37" t="s">
        <v>311</v>
      </c>
      <c r="BO37" t="s">
        <v>311</v>
      </c>
      <c r="BP37" t="s">
        <v>311</v>
      </c>
      <c r="BQ37" t="s">
        <v>311</v>
      </c>
      <c r="BR37">
        <v>1.06</v>
      </c>
      <c r="BS37">
        <v>11</v>
      </c>
      <c r="BT37" t="s">
        <v>1209</v>
      </c>
      <c r="BU37" t="s">
        <v>1210</v>
      </c>
      <c r="BV37" t="s">
        <v>311</v>
      </c>
      <c r="BW37" t="s">
        <v>311</v>
      </c>
      <c r="BX37" t="s">
        <v>311</v>
      </c>
      <c r="BY37" t="s">
        <v>1494</v>
      </c>
      <c r="BZ37" t="s">
        <v>1493</v>
      </c>
      <c r="CA37">
        <v>0</v>
      </c>
      <c r="CB37" t="s">
        <v>1497</v>
      </c>
    </row>
    <row r="38" spans="1:80">
      <c r="A38" t="s">
        <v>1059</v>
      </c>
      <c r="B38" t="s">
        <v>1656</v>
      </c>
      <c r="C38">
        <v>2</v>
      </c>
      <c r="D38" t="s">
        <v>1413</v>
      </c>
      <c r="E38" t="s">
        <v>1414</v>
      </c>
      <c r="F38" t="s">
        <v>86</v>
      </c>
      <c r="G38">
        <v>2020</v>
      </c>
      <c r="H38" t="s">
        <v>1495</v>
      </c>
      <c r="I38" t="s">
        <v>1496</v>
      </c>
      <c r="J38">
        <v>60.109974999999999</v>
      </c>
      <c r="K38">
        <v>21.598994999999999</v>
      </c>
      <c r="L38" t="s">
        <v>498</v>
      </c>
      <c r="M38" t="s">
        <v>1452</v>
      </c>
      <c r="N38" t="s">
        <v>600</v>
      </c>
      <c r="O38" t="s">
        <v>532</v>
      </c>
      <c r="P38" t="s">
        <v>693</v>
      </c>
      <c r="Q38" t="s">
        <v>333</v>
      </c>
      <c r="R38" t="s">
        <v>311</v>
      </c>
      <c r="S38" t="s">
        <v>311</v>
      </c>
      <c r="T38" t="s">
        <v>330</v>
      </c>
      <c r="U38">
        <v>5</v>
      </c>
      <c r="V38" t="s">
        <v>535</v>
      </c>
      <c r="W38">
        <v>2017</v>
      </c>
      <c r="X38" t="s">
        <v>292</v>
      </c>
      <c r="Y38" t="s">
        <v>1455</v>
      </c>
      <c r="Z38" t="s">
        <v>537</v>
      </c>
      <c r="AA38" t="s">
        <v>538</v>
      </c>
      <c r="AB38" t="s">
        <v>1453</v>
      </c>
      <c r="AC38" t="s">
        <v>1454</v>
      </c>
      <c r="AD38" t="s">
        <v>292</v>
      </c>
      <c r="AE38" t="s">
        <v>618</v>
      </c>
      <c r="AF38" t="s">
        <v>552</v>
      </c>
      <c r="AG38" t="s">
        <v>555</v>
      </c>
      <c r="AH38" t="s">
        <v>619</v>
      </c>
      <c r="AI38" t="s">
        <v>620</v>
      </c>
      <c r="AJ38" t="s">
        <v>1510</v>
      </c>
      <c r="AK38" t="s">
        <v>357</v>
      </c>
      <c r="AL38" t="s">
        <v>1059</v>
      </c>
      <c r="AM38" t="s">
        <v>1456</v>
      </c>
      <c r="AN38" t="s">
        <v>1287</v>
      </c>
      <c r="AO38" t="s">
        <v>614</v>
      </c>
      <c r="AP38" s="13">
        <v>0.57471264367816099</v>
      </c>
      <c r="AQ38" s="13">
        <v>3.6781609195401965E-2</v>
      </c>
      <c r="AR38" s="13" t="s">
        <v>311</v>
      </c>
      <c r="AS38" s="13">
        <v>12</v>
      </c>
      <c r="AT38" s="13">
        <v>0.51954022988505699</v>
      </c>
      <c r="AU38" s="13">
        <v>3.6781609195401965E-2</v>
      </c>
      <c r="AV38" t="s">
        <v>311</v>
      </c>
      <c r="AW38">
        <v>12</v>
      </c>
      <c r="AX38" s="25">
        <v>1038.2848392036699</v>
      </c>
      <c r="AY38" t="s">
        <v>311</v>
      </c>
      <c r="AZ38" s="25">
        <v>3895.8652373660002</v>
      </c>
      <c r="BA38" t="s">
        <v>311</v>
      </c>
      <c r="BB38" t="s">
        <v>311</v>
      </c>
      <c r="BC38" t="s">
        <v>311</v>
      </c>
      <c r="BD38" t="s">
        <v>311</v>
      </c>
      <c r="BE38" t="s">
        <v>311</v>
      </c>
      <c r="BF38" t="s">
        <v>311</v>
      </c>
      <c r="BG38" t="s">
        <v>311</v>
      </c>
      <c r="BH38" t="s">
        <v>311</v>
      </c>
      <c r="BI38" t="s">
        <v>311</v>
      </c>
      <c r="BJ38" t="s">
        <v>311</v>
      </c>
      <c r="BK38" t="s">
        <v>311</v>
      </c>
      <c r="BL38" t="s">
        <v>311</v>
      </c>
      <c r="BM38" t="s">
        <v>311</v>
      </c>
      <c r="BN38" t="s">
        <v>311</v>
      </c>
      <c r="BO38" t="s">
        <v>311</v>
      </c>
      <c r="BP38" t="s">
        <v>311</v>
      </c>
      <c r="BQ38" t="s">
        <v>311</v>
      </c>
      <c r="BR38">
        <v>1.06</v>
      </c>
      <c r="BS38">
        <v>11</v>
      </c>
      <c r="BT38" t="s">
        <v>1209</v>
      </c>
      <c r="BU38" t="s">
        <v>1210</v>
      </c>
      <c r="BV38" t="s">
        <v>311</v>
      </c>
      <c r="BW38" t="s">
        <v>311</v>
      </c>
      <c r="BX38" t="s">
        <v>311</v>
      </c>
      <c r="BY38" t="s">
        <v>1494</v>
      </c>
      <c r="BZ38" t="s">
        <v>1493</v>
      </c>
      <c r="CA38">
        <v>0</v>
      </c>
      <c r="CB38" t="s">
        <v>1457</v>
      </c>
    </row>
    <row r="39" spans="1:80">
      <c r="A39" t="s">
        <v>1059</v>
      </c>
      <c r="B39" t="s">
        <v>1656</v>
      </c>
      <c r="C39">
        <v>3</v>
      </c>
      <c r="D39" t="s">
        <v>1413</v>
      </c>
      <c r="E39" t="s">
        <v>1414</v>
      </c>
      <c r="F39" t="s">
        <v>86</v>
      </c>
      <c r="G39">
        <v>2020</v>
      </c>
      <c r="H39" t="s">
        <v>1495</v>
      </c>
      <c r="I39" t="s">
        <v>1496</v>
      </c>
      <c r="J39">
        <v>60.109974999999999</v>
      </c>
      <c r="K39">
        <v>21.598994999999999</v>
      </c>
      <c r="L39" t="s">
        <v>498</v>
      </c>
      <c r="M39" t="s">
        <v>1452</v>
      </c>
      <c r="N39" t="s">
        <v>600</v>
      </c>
      <c r="O39" t="s">
        <v>532</v>
      </c>
      <c r="P39" t="s">
        <v>693</v>
      </c>
      <c r="Q39" t="s">
        <v>333</v>
      </c>
      <c r="R39" t="s">
        <v>311</v>
      </c>
      <c r="S39" t="s">
        <v>311</v>
      </c>
      <c r="T39" t="s">
        <v>330</v>
      </c>
      <c r="U39">
        <v>5</v>
      </c>
      <c r="V39" t="s">
        <v>535</v>
      </c>
      <c r="W39">
        <v>2017</v>
      </c>
      <c r="X39" t="s">
        <v>292</v>
      </c>
      <c r="Y39" t="s">
        <v>1455</v>
      </c>
      <c r="Z39" t="s">
        <v>537</v>
      </c>
      <c r="AA39" t="s">
        <v>538</v>
      </c>
      <c r="AB39" t="s">
        <v>1453</v>
      </c>
      <c r="AC39" t="s">
        <v>1454</v>
      </c>
      <c r="AD39" t="s">
        <v>292</v>
      </c>
      <c r="AE39" t="s">
        <v>618</v>
      </c>
      <c r="AF39" t="s">
        <v>552</v>
      </c>
      <c r="AG39" t="s">
        <v>555</v>
      </c>
      <c r="AH39" t="s">
        <v>619</v>
      </c>
      <c r="AI39" t="s">
        <v>620</v>
      </c>
      <c r="AJ39" t="s">
        <v>1511</v>
      </c>
      <c r="AK39" t="s">
        <v>357</v>
      </c>
      <c r="AL39" t="s">
        <v>1059</v>
      </c>
      <c r="AM39" t="s">
        <v>1281</v>
      </c>
      <c r="AN39" t="s">
        <v>1287</v>
      </c>
      <c r="AO39" t="s">
        <v>614</v>
      </c>
      <c r="AP39" s="4">
        <v>2.57471264367816</v>
      </c>
      <c r="AQ39" s="4">
        <v>0.34482758620689014</v>
      </c>
      <c r="AR39" s="4" t="s">
        <v>311</v>
      </c>
      <c r="AS39" s="4">
        <v>12</v>
      </c>
      <c r="AT39" s="4">
        <v>3.0114942528735602</v>
      </c>
      <c r="AU39" s="4">
        <v>0.22988505747125965</v>
      </c>
      <c r="AV39" t="s">
        <v>311</v>
      </c>
      <c r="AW39">
        <v>12</v>
      </c>
      <c r="AX39" s="25">
        <v>1038.2848392036699</v>
      </c>
      <c r="AY39" t="s">
        <v>311</v>
      </c>
      <c r="AZ39" s="25">
        <v>3895.8652373660002</v>
      </c>
      <c r="BA39" t="s">
        <v>311</v>
      </c>
      <c r="BB39" t="s">
        <v>311</v>
      </c>
      <c r="BC39" t="s">
        <v>311</v>
      </c>
      <c r="BD39" t="s">
        <v>311</v>
      </c>
      <c r="BE39" t="s">
        <v>311</v>
      </c>
      <c r="BF39" t="s">
        <v>311</v>
      </c>
      <c r="BG39" t="s">
        <v>311</v>
      </c>
      <c r="BH39" t="s">
        <v>311</v>
      </c>
      <c r="BI39" t="s">
        <v>311</v>
      </c>
      <c r="BJ39" t="s">
        <v>311</v>
      </c>
      <c r="BK39" t="s">
        <v>311</v>
      </c>
      <c r="BL39" t="s">
        <v>311</v>
      </c>
      <c r="BM39" t="s">
        <v>311</v>
      </c>
      <c r="BN39" t="s">
        <v>311</v>
      </c>
      <c r="BO39" t="s">
        <v>311</v>
      </c>
      <c r="BP39" t="s">
        <v>311</v>
      </c>
      <c r="BQ39" t="s">
        <v>311</v>
      </c>
      <c r="BR39">
        <v>1.06</v>
      </c>
      <c r="BS39">
        <v>11</v>
      </c>
      <c r="BT39" t="s">
        <v>1209</v>
      </c>
      <c r="BU39" t="s">
        <v>1210</v>
      </c>
      <c r="BV39" t="s">
        <v>311</v>
      </c>
      <c r="BW39" t="s">
        <v>311</v>
      </c>
      <c r="BX39" t="s">
        <v>311</v>
      </c>
      <c r="BY39" t="s">
        <v>1494</v>
      </c>
      <c r="BZ39" t="s">
        <v>1493</v>
      </c>
      <c r="CA39">
        <v>0</v>
      </c>
      <c r="CB39" t="s">
        <v>1458</v>
      </c>
    </row>
    <row r="40" spans="1:80">
      <c r="A40" t="s">
        <v>1059</v>
      </c>
      <c r="B40" t="s">
        <v>1656</v>
      </c>
      <c r="C40">
        <v>4</v>
      </c>
      <c r="D40" t="s">
        <v>1413</v>
      </c>
      <c r="E40" t="s">
        <v>1414</v>
      </c>
      <c r="F40" t="s">
        <v>86</v>
      </c>
      <c r="G40">
        <v>2020</v>
      </c>
      <c r="H40" t="s">
        <v>1495</v>
      </c>
      <c r="I40" t="s">
        <v>1496</v>
      </c>
      <c r="J40">
        <v>60.109974999999999</v>
      </c>
      <c r="K40">
        <v>21.598994999999999</v>
      </c>
      <c r="L40" t="s">
        <v>498</v>
      </c>
      <c r="M40" t="s">
        <v>1452</v>
      </c>
      <c r="N40" t="s">
        <v>600</v>
      </c>
      <c r="O40" t="s">
        <v>532</v>
      </c>
      <c r="P40" t="s">
        <v>693</v>
      </c>
      <c r="Q40" t="s">
        <v>333</v>
      </c>
      <c r="R40" t="s">
        <v>311</v>
      </c>
      <c r="S40" t="s">
        <v>311</v>
      </c>
      <c r="T40" t="s">
        <v>330</v>
      </c>
      <c r="U40">
        <v>5</v>
      </c>
      <c r="V40" t="s">
        <v>535</v>
      </c>
      <c r="W40">
        <v>2017</v>
      </c>
      <c r="X40" t="s">
        <v>292</v>
      </c>
      <c r="Y40" t="s">
        <v>1455</v>
      </c>
      <c r="Z40" t="s">
        <v>537</v>
      </c>
      <c r="AA40" t="s">
        <v>538</v>
      </c>
      <c r="AB40" t="s">
        <v>1453</v>
      </c>
      <c r="AC40" t="s">
        <v>1454</v>
      </c>
      <c r="AD40" t="s">
        <v>292</v>
      </c>
      <c r="AE40" t="s">
        <v>618</v>
      </c>
      <c r="AF40" t="s">
        <v>552</v>
      </c>
      <c r="AG40" t="s">
        <v>555</v>
      </c>
      <c r="AH40" t="s">
        <v>619</v>
      </c>
      <c r="AI40" t="s">
        <v>620</v>
      </c>
      <c r="AJ40" t="s">
        <v>1512</v>
      </c>
      <c r="AK40" t="s">
        <v>357</v>
      </c>
      <c r="AL40" t="s">
        <v>1059</v>
      </c>
      <c r="AM40" t="s">
        <v>1277</v>
      </c>
      <c r="AN40" t="s">
        <v>1288</v>
      </c>
      <c r="AO40" t="s">
        <v>614</v>
      </c>
      <c r="AP40" s="4">
        <v>13.063583815028901</v>
      </c>
      <c r="AQ40" s="4">
        <v>0.92485549132939937</v>
      </c>
      <c r="AR40" s="4" t="s">
        <v>311</v>
      </c>
      <c r="AS40" s="4">
        <v>12</v>
      </c>
      <c r="AT40" s="4">
        <v>13.5260115606936</v>
      </c>
      <c r="AU40" s="4">
        <v>0.69364161849710015</v>
      </c>
      <c r="AV40" t="s">
        <v>311</v>
      </c>
      <c r="AW40">
        <v>12</v>
      </c>
      <c r="AX40" s="25">
        <v>1038.2848392036699</v>
      </c>
      <c r="AY40" t="s">
        <v>311</v>
      </c>
      <c r="AZ40" s="25">
        <v>3895.8652373660002</v>
      </c>
      <c r="BA40" t="s">
        <v>311</v>
      </c>
      <c r="BB40" t="s">
        <v>311</v>
      </c>
      <c r="BC40" t="s">
        <v>311</v>
      </c>
      <c r="BD40" t="s">
        <v>311</v>
      </c>
      <c r="BE40" t="s">
        <v>311</v>
      </c>
      <c r="BF40" t="s">
        <v>311</v>
      </c>
      <c r="BG40" t="s">
        <v>311</v>
      </c>
      <c r="BH40" t="s">
        <v>311</v>
      </c>
      <c r="BI40" t="s">
        <v>311</v>
      </c>
      <c r="BJ40" t="s">
        <v>311</v>
      </c>
      <c r="BK40" t="s">
        <v>311</v>
      </c>
      <c r="BL40" t="s">
        <v>311</v>
      </c>
      <c r="BM40" t="s">
        <v>311</v>
      </c>
      <c r="BN40" t="s">
        <v>311</v>
      </c>
      <c r="BO40" t="s">
        <v>311</v>
      </c>
      <c r="BP40" t="s">
        <v>311</v>
      </c>
      <c r="BQ40" t="s">
        <v>311</v>
      </c>
      <c r="BR40">
        <v>1.06</v>
      </c>
      <c r="BS40">
        <v>11</v>
      </c>
      <c r="BT40" t="s">
        <v>1209</v>
      </c>
      <c r="BU40" t="s">
        <v>1210</v>
      </c>
      <c r="BV40" t="s">
        <v>311</v>
      </c>
      <c r="BW40" t="s">
        <v>311</v>
      </c>
      <c r="BX40" t="s">
        <v>311</v>
      </c>
      <c r="BY40" t="s">
        <v>1494</v>
      </c>
      <c r="BZ40" t="s">
        <v>1493</v>
      </c>
      <c r="CA40">
        <v>0</v>
      </c>
      <c r="CB40" t="s">
        <v>1459</v>
      </c>
    </row>
  </sheetData>
  <sortState xmlns:xlrd2="http://schemas.microsoft.com/office/spreadsheetml/2017/richdata2" ref="A1:AX39">
    <sortCondition ref="A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FEB7-D2F3-9F49-9059-690B7F4F42EF}">
  <dimension ref="A1:F32"/>
  <sheetViews>
    <sheetView topLeftCell="A15" zoomScale="150" workbookViewId="0">
      <selection activeCell="A32" sqref="A32"/>
    </sheetView>
  </sheetViews>
  <sheetFormatPr baseColWidth="10" defaultRowHeight="16"/>
  <sheetData>
    <row r="1" spans="1:6">
      <c r="A1" s="2" t="s">
        <v>271</v>
      </c>
      <c r="E1" s="2"/>
      <c r="F1" t="s">
        <v>860</v>
      </c>
    </row>
    <row r="2" spans="1:6">
      <c r="A2" s="2" t="s">
        <v>415</v>
      </c>
      <c r="F2" t="s">
        <v>861</v>
      </c>
    </row>
    <row r="3" spans="1:6">
      <c r="A3" s="2" t="s">
        <v>416</v>
      </c>
      <c r="F3" t="s">
        <v>862</v>
      </c>
    </row>
    <row r="4" spans="1:6">
      <c r="A4" s="2" t="s">
        <v>270</v>
      </c>
    </row>
    <row r="5" spans="1:6">
      <c r="A5" s="5" t="s">
        <v>417</v>
      </c>
    </row>
    <row r="6" spans="1:6">
      <c r="A6" s="2" t="s">
        <v>418</v>
      </c>
    </row>
    <row r="7" spans="1:6">
      <c r="A7" s="2" t="s">
        <v>272</v>
      </c>
    </row>
    <row r="11" spans="1:6">
      <c r="A11" s="8" t="s">
        <v>290</v>
      </c>
    </row>
    <row r="14" spans="1:6">
      <c r="A14" t="s">
        <v>341</v>
      </c>
    </row>
    <row r="15" spans="1:6">
      <c r="A15" s="3" t="s">
        <v>293</v>
      </c>
    </row>
    <row r="16" spans="1:6">
      <c r="A16" s="3" t="s">
        <v>294</v>
      </c>
    </row>
    <row r="17" spans="1:1">
      <c r="A17" s="3" t="s">
        <v>800</v>
      </c>
    </row>
    <row r="18" spans="1:1">
      <c r="A18" s="3" t="s">
        <v>300</v>
      </c>
    </row>
    <row r="19" spans="1:1">
      <c r="A19" s="3" t="s">
        <v>301</v>
      </c>
    </row>
    <row r="20" spans="1:1">
      <c r="A20" s="3" t="s">
        <v>562</v>
      </c>
    </row>
    <row r="21" spans="1:1">
      <c r="A21" s="3" t="s">
        <v>1056</v>
      </c>
    </row>
    <row r="22" spans="1:1">
      <c r="A22" s="3" t="s">
        <v>295</v>
      </c>
    </row>
    <row r="23" spans="1:1">
      <c r="A23" s="3" t="s">
        <v>296</v>
      </c>
    </row>
    <row r="24" spans="1:1">
      <c r="A24" s="3" t="s">
        <v>297</v>
      </c>
    </row>
    <row r="25" spans="1:1">
      <c r="A25" s="3" t="s">
        <v>298</v>
      </c>
    </row>
    <row r="26" spans="1:1">
      <c r="A26" s="3" t="s">
        <v>299</v>
      </c>
    </row>
    <row r="27" spans="1:1">
      <c r="A27" s="3" t="s">
        <v>561</v>
      </c>
    </row>
    <row r="28" spans="1:1">
      <c r="A28" s="3" t="s">
        <v>1092</v>
      </c>
    </row>
    <row r="29" spans="1:1">
      <c r="A29" s="3" t="s">
        <v>1093</v>
      </c>
    </row>
    <row r="32" spans="1:1">
      <c r="A32" s="3" t="s">
        <v>1129</v>
      </c>
    </row>
  </sheetData>
  <hyperlinks>
    <hyperlink ref="A11" r:id="rId1" xr:uid="{B3D2F834-A87A-B544-9B08-92CFCE54ED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A992A-0E1F-CA49-B16D-27E6F6318975}">
  <dimension ref="B1:J31"/>
  <sheetViews>
    <sheetView topLeftCell="A7" workbookViewId="0">
      <selection activeCell="J37" sqref="J37"/>
    </sheetView>
  </sheetViews>
  <sheetFormatPr baseColWidth="10" defaultRowHeight="16"/>
  <sheetData>
    <row r="1" spans="2:10">
      <c r="B1" t="s">
        <v>864</v>
      </c>
      <c r="E1" t="s">
        <v>858</v>
      </c>
      <c r="G1" t="s">
        <v>750</v>
      </c>
    </row>
    <row r="2" spans="2:10">
      <c r="B2" t="s">
        <v>623</v>
      </c>
      <c r="C2" t="s">
        <v>863</v>
      </c>
      <c r="D2" t="s">
        <v>624</v>
      </c>
      <c r="G2" t="s">
        <v>623</v>
      </c>
      <c r="H2" t="s">
        <v>863</v>
      </c>
      <c r="I2" t="s">
        <v>624</v>
      </c>
    </row>
    <row r="3" spans="2:10">
      <c r="B3">
        <v>0.72352941176470598</v>
      </c>
      <c r="C3">
        <v>0.77647058823529402</v>
      </c>
      <c r="D3">
        <f t="shared" ref="D3:D14" si="0">C3-B3</f>
        <v>5.2941176470588047E-2</v>
      </c>
      <c r="E3">
        <v>10</v>
      </c>
      <c r="G3">
        <v>0.76588235294117601</v>
      </c>
      <c r="H3">
        <v>0.82941176470588196</v>
      </c>
      <c r="I3">
        <f t="shared" ref="I3:I14" si="1">H3-G3</f>
        <v>6.3529411764705945E-2</v>
      </c>
      <c r="J3">
        <v>10</v>
      </c>
    </row>
    <row r="4" spans="2:10">
      <c r="B4">
        <v>0.73411764705882299</v>
      </c>
      <c r="C4">
        <v>0.79058823529411704</v>
      </c>
      <c r="D4">
        <f t="shared" si="0"/>
        <v>5.647058823529405E-2</v>
      </c>
      <c r="E4">
        <v>10</v>
      </c>
      <c r="G4">
        <v>0.80823529411764705</v>
      </c>
      <c r="H4">
        <v>0.86117647058823499</v>
      </c>
      <c r="I4">
        <f t="shared" si="1"/>
        <v>5.2941176470587936E-2</v>
      </c>
      <c r="J4">
        <v>10</v>
      </c>
    </row>
    <row r="5" spans="2:10">
      <c r="B5">
        <v>0.82941176470588196</v>
      </c>
      <c r="C5">
        <v>0.88941176470588201</v>
      </c>
      <c r="D5">
        <f t="shared" si="0"/>
        <v>6.0000000000000053E-2</v>
      </c>
      <c r="E5">
        <v>10</v>
      </c>
      <c r="G5">
        <v>0.748235294117647</v>
      </c>
      <c r="H5">
        <v>0.79058823529411704</v>
      </c>
      <c r="I5">
        <f t="shared" si="1"/>
        <v>4.2352941176470038E-2</v>
      </c>
      <c r="J5">
        <v>10</v>
      </c>
    </row>
    <row r="6" spans="2:10">
      <c r="B6">
        <v>0.86470588235294099</v>
      </c>
      <c r="C6">
        <v>0.89999999999999902</v>
      </c>
      <c r="D6">
        <f t="shared" si="0"/>
        <v>3.5294117647058032E-2</v>
      </c>
      <c r="E6">
        <v>10</v>
      </c>
      <c r="G6">
        <v>0.83647058823529397</v>
      </c>
      <c r="H6">
        <v>0.88588235294117601</v>
      </c>
      <c r="I6">
        <f t="shared" si="1"/>
        <v>4.9411764705882044E-2</v>
      </c>
      <c r="J6">
        <v>10</v>
      </c>
    </row>
    <row r="7" spans="2:10">
      <c r="B7">
        <v>0.92470588235294104</v>
      </c>
      <c r="C7">
        <v>0.99176470588235299</v>
      </c>
      <c r="D7">
        <f t="shared" si="0"/>
        <v>6.7058823529411948E-2</v>
      </c>
      <c r="E7">
        <v>10</v>
      </c>
      <c r="G7">
        <v>0.875294117647058</v>
      </c>
      <c r="H7">
        <v>0.91058823529411703</v>
      </c>
      <c r="I7">
        <f t="shared" si="1"/>
        <v>3.5294117647059031E-2</v>
      </c>
      <c r="J7">
        <v>10</v>
      </c>
    </row>
    <row r="8" spans="2:10">
      <c r="B8">
        <v>1.1505882352941099</v>
      </c>
      <c r="C8">
        <v>1.2035294117647</v>
      </c>
      <c r="D8">
        <f t="shared" si="0"/>
        <v>5.2941176470590046E-2</v>
      </c>
      <c r="E8">
        <v>10</v>
      </c>
      <c r="G8">
        <v>1.0588235294117601</v>
      </c>
      <c r="H8">
        <v>1.1047058823529401</v>
      </c>
      <c r="I8">
        <f t="shared" si="1"/>
        <v>4.5882352941180038E-2</v>
      </c>
      <c r="J8">
        <v>10</v>
      </c>
    </row>
    <row r="9" spans="2:10">
      <c r="B9">
        <v>1.22117647058823</v>
      </c>
      <c r="C9">
        <v>1.2635294117647</v>
      </c>
      <c r="D9">
        <f t="shared" si="0"/>
        <v>4.2352941176470038E-2</v>
      </c>
      <c r="E9">
        <v>10</v>
      </c>
      <c r="G9">
        <v>1.03764705882352</v>
      </c>
      <c r="H9">
        <v>1.0835294117647001</v>
      </c>
      <c r="I9">
        <f t="shared" si="1"/>
        <v>4.5882352941180038E-2</v>
      </c>
      <c r="J9">
        <v>10</v>
      </c>
    </row>
    <row r="10" spans="2:10">
      <c r="B10">
        <v>0.878823529411764</v>
      </c>
      <c r="C10">
        <v>0.92117647058823504</v>
      </c>
      <c r="D10">
        <f t="shared" si="0"/>
        <v>4.2352941176471037E-2</v>
      </c>
      <c r="E10">
        <v>9</v>
      </c>
      <c r="G10">
        <v>0.83294117647058796</v>
      </c>
      <c r="H10">
        <v>0.871764705882353</v>
      </c>
      <c r="I10">
        <f t="shared" si="1"/>
        <v>3.8823529411765034E-2</v>
      </c>
      <c r="J10">
        <v>9</v>
      </c>
    </row>
    <row r="11" spans="2:10">
      <c r="B11">
        <v>0.83647058823529397</v>
      </c>
      <c r="C11">
        <v>0.86823529411764699</v>
      </c>
      <c r="D11">
        <f t="shared" si="0"/>
        <v>3.1764705882353028E-2</v>
      </c>
      <c r="E11">
        <v>9</v>
      </c>
      <c r="G11">
        <v>0.73411764705882299</v>
      </c>
      <c r="H11">
        <v>0.76941176470588202</v>
      </c>
      <c r="I11">
        <f t="shared" si="1"/>
        <v>3.5294117647059031E-2</v>
      </c>
      <c r="J11">
        <v>9</v>
      </c>
    </row>
    <row r="12" spans="2:10">
      <c r="B12">
        <v>0.89294117647058802</v>
      </c>
      <c r="C12">
        <v>0.92823529411764705</v>
      </c>
      <c r="D12">
        <f t="shared" si="0"/>
        <v>3.5294117647059031E-2</v>
      </c>
      <c r="E12">
        <v>9</v>
      </c>
      <c r="G12">
        <v>0.77647058823529402</v>
      </c>
      <c r="H12">
        <v>0.81529411764705795</v>
      </c>
      <c r="I12">
        <f t="shared" si="1"/>
        <v>3.8823529411763924E-2</v>
      </c>
      <c r="J12">
        <v>9</v>
      </c>
    </row>
    <row r="13" spans="2:10">
      <c r="B13">
        <v>0.878823529411764</v>
      </c>
      <c r="C13">
        <v>0.91058823529411703</v>
      </c>
      <c r="D13">
        <f t="shared" si="0"/>
        <v>3.1764705882353028E-2</v>
      </c>
      <c r="E13">
        <v>9</v>
      </c>
      <c r="G13">
        <v>0.76941176470588202</v>
      </c>
      <c r="H13">
        <v>0.80823529411764705</v>
      </c>
      <c r="I13">
        <f t="shared" si="1"/>
        <v>3.8823529411765034E-2</v>
      </c>
      <c r="J13">
        <v>9</v>
      </c>
    </row>
    <row r="14" spans="2:10">
      <c r="B14">
        <v>0.96</v>
      </c>
      <c r="C14">
        <v>0.98470588235294099</v>
      </c>
      <c r="D14">
        <f t="shared" si="0"/>
        <v>2.4705882352941022E-2</v>
      </c>
      <c r="E14">
        <v>9</v>
      </c>
      <c r="G14">
        <v>0.81882352941176395</v>
      </c>
      <c r="H14">
        <v>0.85058823529411698</v>
      </c>
      <c r="I14">
        <f t="shared" si="1"/>
        <v>3.1764705882353028E-2</v>
      </c>
      <c r="J14">
        <v>9</v>
      </c>
    </row>
    <row r="19" spans="2:9">
      <c r="B19" t="s">
        <v>315</v>
      </c>
      <c r="C19" t="s">
        <v>318</v>
      </c>
      <c r="D19" t="s">
        <v>543</v>
      </c>
      <c r="E19" t="s">
        <v>848</v>
      </c>
      <c r="F19" t="s">
        <v>316</v>
      </c>
      <c r="G19" t="s">
        <v>319</v>
      </c>
      <c r="H19" t="s">
        <v>544</v>
      </c>
      <c r="I19" t="s">
        <v>354</v>
      </c>
    </row>
    <row r="20" spans="2:9">
      <c r="B20">
        <v>0.72352941176470598</v>
      </c>
      <c r="C20">
        <v>5.2941176470588047E-2</v>
      </c>
      <c r="D20" t="s">
        <v>311</v>
      </c>
      <c r="E20">
        <v>10</v>
      </c>
      <c r="F20">
        <v>0.76588235294117601</v>
      </c>
      <c r="G20">
        <v>6.3529411764705945E-2</v>
      </c>
      <c r="H20" t="s">
        <v>311</v>
      </c>
      <c r="I20">
        <v>10</v>
      </c>
    </row>
    <row r="21" spans="2:9">
      <c r="B21">
        <v>0.73411764705882299</v>
      </c>
      <c r="C21">
        <v>5.647058823529405E-2</v>
      </c>
      <c r="D21" t="s">
        <v>311</v>
      </c>
      <c r="E21">
        <v>10</v>
      </c>
      <c r="F21">
        <v>0.80823529411764705</v>
      </c>
      <c r="G21">
        <v>5.2941176470587936E-2</v>
      </c>
      <c r="H21" t="s">
        <v>311</v>
      </c>
      <c r="I21">
        <v>10</v>
      </c>
    </row>
    <row r="22" spans="2:9">
      <c r="B22">
        <v>0.82941176470588196</v>
      </c>
      <c r="C22">
        <v>6.0000000000000053E-2</v>
      </c>
      <c r="D22" t="s">
        <v>311</v>
      </c>
      <c r="E22">
        <v>10</v>
      </c>
      <c r="F22">
        <v>0.748235294117647</v>
      </c>
      <c r="G22">
        <v>4.2352941176470038E-2</v>
      </c>
      <c r="H22" t="s">
        <v>311</v>
      </c>
      <c r="I22">
        <v>10</v>
      </c>
    </row>
    <row r="23" spans="2:9">
      <c r="B23">
        <v>0.86470588235294099</v>
      </c>
      <c r="C23">
        <v>3.5294117647058032E-2</v>
      </c>
      <c r="D23" t="s">
        <v>311</v>
      </c>
      <c r="E23">
        <v>10</v>
      </c>
      <c r="F23">
        <v>0.83647058823529397</v>
      </c>
      <c r="G23">
        <v>4.9411764705882044E-2</v>
      </c>
      <c r="H23" t="s">
        <v>311</v>
      </c>
      <c r="I23">
        <v>10</v>
      </c>
    </row>
    <row r="24" spans="2:9">
      <c r="B24">
        <v>0.92470588235294104</v>
      </c>
      <c r="C24">
        <v>6.7058823529411948E-2</v>
      </c>
      <c r="D24" t="s">
        <v>311</v>
      </c>
      <c r="E24">
        <v>10</v>
      </c>
      <c r="F24">
        <v>0.875294117647058</v>
      </c>
      <c r="G24">
        <v>3.5294117647059031E-2</v>
      </c>
      <c r="H24" t="s">
        <v>311</v>
      </c>
      <c r="I24">
        <v>10</v>
      </c>
    </row>
    <row r="25" spans="2:9">
      <c r="B25">
        <v>1.1505882352941099</v>
      </c>
      <c r="C25">
        <v>5.2941176470590046E-2</v>
      </c>
      <c r="D25" t="s">
        <v>311</v>
      </c>
      <c r="E25">
        <v>10</v>
      </c>
      <c r="F25">
        <v>1.0588235294117601</v>
      </c>
      <c r="G25">
        <v>4.5882352941180038E-2</v>
      </c>
      <c r="H25" t="s">
        <v>311</v>
      </c>
      <c r="I25">
        <v>10</v>
      </c>
    </row>
    <row r="26" spans="2:9">
      <c r="B26">
        <v>1.22117647058823</v>
      </c>
      <c r="C26">
        <v>4.2352941176470038E-2</v>
      </c>
      <c r="D26" t="s">
        <v>311</v>
      </c>
      <c r="E26">
        <v>10</v>
      </c>
      <c r="F26">
        <v>1.03764705882352</v>
      </c>
      <c r="G26">
        <v>4.5882352941180038E-2</v>
      </c>
      <c r="H26" t="s">
        <v>311</v>
      </c>
      <c r="I26">
        <v>10</v>
      </c>
    </row>
    <row r="27" spans="2:9">
      <c r="B27">
        <v>0.878823529411764</v>
      </c>
      <c r="C27">
        <v>4.2352941176471037E-2</v>
      </c>
      <c r="D27" t="s">
        <v>311</v>
      </c>
      <c r="E27">
        <v>9</v>
      </c>
      <c r="F27">
        <v>0.83294117647058796</v>
      </c>
      <c r="G27">
        <v>3.8823529411765034E-2</v>
      </c>
      <c r="H27" t="s">
        <v>311</v>
      </c>
      <c r="I27">
        <v>9</v>
      </c>
    </row>
    <row r="28" spans="2:9">
      <c r="B28">
        <v>0.83647058823529397</v>
      </c>
      <c r="C28">
        <v>3.1764705882353028E-2</v>
      </c>
      <c r="D28" t="s">
        <v>311</v>
      </c>
      <c r="E28">
        <v>9</v>
      </c>
      <c r="F28">
        <v>0.73411764705882299</v>
      </c>
      <c r="G28">
        <v>3.5294117647059031E-2</v>
      </c>
      <c r="H28" t="s">
        <v>311</v>
      </c>
      <c r="I28">
        <v>9</v>
      </c>
    </row>
    <row r="29" spans="2:9">
      <c r="B29">
        <v>0.89294117647058802</v>
      </c>
      <c r="C29">
        <v>3.5294117647059031E-2</v>
      </c>
      <c r="D29" t="s">
        <v>311</v>
      </c>
      <c r="E29">
        <v>9</v>
      </c>
      <c r="F29">
        <v>0.77647058823529402</v>
      </c>
      <c r="G29">
        <v>3.8823529411763924E-2</v>
      </c>
      <c r="H29" t="s">
        <v>311</v>
      </c>
      <c r="I29">
        <v>9</v>
      </c>
    </row>
    <row r="30" spans="2:9">
      <c r="B30">
        <v>0.878823529411764</v>
      </c>
      <c r="C30">
        <v>3.1764705882353028E-2</v>
      </c>
      <c r="D30" t="s">
        <v>311</v>
      </c>
      <c r="E30">
        <v>9</v>
      </c>
      <c r="F30">
        <v>0.76941176470588202</v>
      </c>
      <c r="G30">
        <v>3.8823529411765034E-2</v>
      </c>
      <c r="H30" t="s">
        <v>311</v>
      </c>
      <c r="I30">
        <v>9</v>
      </c>
    </row>
    <row r="31" spans="2:9">
      <c r="B31">
        <v>0.96</v>
      </c>
      <c r="C31">
        <v>2.4705882352941022E-2</v>
      </c>
      <c r="D31" t="s">
        <v>311</v>
      </c>
      <c r="E31">
        <v>9</v>
      </c>
      <c r="F31">
        <v>0.81882352941176395</v>
      </c>
      <c r="G31">
        <v>3.1764705882353028E-2</v>
      </c>
      <c r="H31" t="s">
        <v>311</v>
      </c>
      <c r="I31">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920B-18C7-1A4E-A6A1-47B05CFEA008}">
  <dimension ref="A1:U301"/>
  <sheetViews>
    <sheetView topLeftCell="F190" zoomScale="112" workbookViewId="0">
      <selection activeCell="M212" sqref="M212:N212"/>
    </sheetView>
  </sheetViews>
  <sheetFormatPr baseColWidth="10" defaultRowHeight="16"/>
  <sheetData>
    <row r="1" spans="1:13">
      <c r="A1" t="s">
        <v>582</v>
      </c>
    </row>
    <row r="2" spans="1:13">
      <c r="A2" t="s">
        <v>587</v>
      </c>
    </row>
    <row r="3" spans="1:13">
      <c r="B3" s="9" t="s">
        <v>583</v>
      </c>
      <c r="C3" t="s">
        <v>574</v>
      </c>
      <c r="D3" t="s">
        <v>576</v>
      </c>
      <c r="E3" t="s">
        <v>578</v>
      </c>
      <c r="F3" t="s">
        <v>581</v>
      </c>
      <c r="G3" t="s">
        <v>580</v>
      </c>
      <c r="I3" t="s">
        <v>575</v>
      </c>
      <c r="J3" t="s">
        <v>577</v>
      </c>
      <c r="K3" t="s">
        <v>579</v>
      </c>
      <c r="L3" t="s">
        <v>585</v>
      </c>
      <c r="M3" t="s">
        <v>586</v>
      </c>
    </row>
    <row r="4" spans="1:13">
      <c r="B4" t="s">
        <v>572</v>
      </c>
      <c r="C4">
        <v>28.290155440414502</v>
      </c>
      <c r="D4">
        <v>2.7979274611398992</v>
      </c>
      <c r="E4">
        <v>5</v>
      </c>
      <c r="F4">
        <v>-7.3056994818653003</v>
      </c>
      <c r="G4">
        <v>4.663212435233139</v>
      </c>
      <c r="I4">
        <v>26.269430051813401</v>
      </c>
      <c r="J4">
        <v>3.2642487046631992</v>
      </c>
      <c r="K4">
        <v>5</v>
      </c>
      <c r="L4">
        <v>-10.103626943005203</v>
      </c>
      <c r="M4">
        <v>5.8202005886577881</v>
      </c>
    </row>
    <row r="5" spans="1:13">
      <c r="B5" t="s">
        <v>573</v>
      </c>
      <c r="C5">
        <v>20.984455958549201</v>
      </c>
      <c r="D5">
        <v>3.7305699481864991</v>
      </c>
      <c r="E5">
        <v>5</v>
      </c>
      <c r="I5">
        <v>16.165803108808198</v>
      </c>
      <c r="J5">
        <v>4.8186528497410031</v>
      </c>
      <c r="K5">
        <v>5</v>
      </c>
    </row>
    <row r="10" spans="1:13">
      <c r="B10" s="9" t="s">
        <v>584</v>
      </c>
      <c r="C10" t="s">
        <v>574</v>
      </c>
      <c r="D10" t="s">
        <v>576</v>
      </c>
      <c r="E10" t="s">
        <v>578</v>
      </c>
      <c r="F10" t="s">
        <v>581</v>
      </c>
      <c r="G10" t="s">
        <v>580</v>
      </c>
      <c r="I10" t="s">
        <v>575</v>
      </c>
      <c r="J10" t="s">
        <v>577</v>
      </c>
      <c r="K10" t="s">
        <v>579</v>
      </c>
      <c r="L10" t="s">
        <v>585</v>
      </c>
      <c r="M10" t="s">
        <v>586</v>
      </c>
    </row>
    <row r="11" spans="1:13">
      <c r="B11" t="s">
        <v>572</v>
      </c>
      <c r="C11">
        <v>1.85567010309278</v>
      </c>
      <c r="D11">
        <v>1.0824742268041301</v>
      </c>
      <c r="E11">
        <v>5</v>
      </c>
      <c r="F11">
        <v>-1.237113402061859</v>
      </c>
      <c r="G11">
        <v>1.1257901890640061</v>
      </c>
      <c r="I11">
        <v>2.4742268041236999</v>
      </c>
      <c r="J11">
        <v>0.77319587628866993</v>
      </c>
      <c r="K11">
        <v>5</v>
      </c>
      <c r="L11">
        <v>18.711340206185501</v>
      </c>
      <c r="M11">
        <v>4.0942893695486466</v>
      </c>
    </row>
    <row r="12" spans="1:13">
      <c r="B12" t="s">
        <v>573</v>
      </c>
      <c r="C12">
        <v>0.61855670103092097</v>
      </c>
      <c r="D12">
        <v>0.30927835051547203</v>
      </c>
      <c r="E12">
        <v>5</v>
      </c>
      <c r="I12">
        <v>21.1855670103092</v>
      </c>
      <c r="J12">
        <v>4.0206185567011019</v>
      </c>
      <c r="K12">
        <v>5</v>
      </c>
    </row>
    <row r="17" spans="1:14">
      <c r="B17" s="9" t="s">
        <v>590</v>
      </c>
      <c r="C17" t="s">
        <v>574</v>
      </c>
      <c r="D17" t="s">
        <v>576</v>
      </c>
      <c r="E17" t="s">
        <v>578</v>
      </c>
      <c r="F17" t="s">
        <v>581</v>
      </c>
      <c r="G17" t="s">
        <v>580</v>
      </c>
      <c r="I17" t="s">
        <v>575</v>
      </c>
      <c r="J17" t="s">
        <v>577</v>
      </c>
      <c r="K17" t="s">
        <v>579</v>
      </c>
      <c r="L17" t="s">
        <v>585</v>
      </c>
      <c r="M17" t="s">
        <v>586</v>
      </c>
    </row>
    <row r="18" spans="1:14">
      <c r="B18" t="s">
        <v>572</v>
      </c>
      <c r="C18">
        <v>7.6704545454545396</v>
      </c>
      <c r="D18">
        <v>2.3863636363635603</v>
      </c>
      <c r="E18">
        <v>5</v>
      </c>
      <c r="F18">
        <v>4.3465909090908603</v>
      </c>
      <c r="G18">
        <v>4.0917967786900862</v>
      </c>
      <c r="I18">
        <v>9.2045454545454497</v>
      </c>
      <c r="J18">
        <v>1.9602272727272503</v>
      </c>
      <c r="K18">
        <v>5</v>
      </c>
      <c r="L18">
        <v>19.261363636363551</v>
      </c>
      <c r="M18">
        <v>4.7681593400112199</v>
      </c>
    </row>
    <row r="19" spans="1:14">
      <c r="B19" t="s">
        <v>573</v>
      </c>
      <c r="C19">
        <v>12.0170454545454</v>
      </c>
      <c r="D19">
        <v>3.3238636363635994</v>
      </c>
      <c r="E19">
        <v>5</v>
      </c>
      <c r="I19">
        <v>28.465909090909001</v>
      </c>
      <c r="J19">
        <v>4.3465909090909989</v>
      </c>
      <c r="K19">
        <v>5</v>
      </c>
    </row>
    <row r="23" spans="1:14">
      <c r="A23" s="9" t="s">
        <v>813</v>
      </c>
    </row>
    <row r="24" spans="1:14">
      <c r="A24" t="s">
        <v>814</v>
      </c>
      <c r="I24" t="s">
        <v>1802</v>
      </c>
    </row>
    <row r="25" spans="1:14">
      <c r="A25" s="6" t="s">
        <v>664</v>
      </c>
      <c r="B25" s="6"/>
      <c r="C25" s="6"/>
      <c r="D25" s="6"/>
      <c r="E25" s="6"/>
      <c r="F25" s="6"/>
      <c r="I25" s="6" t="s">
        <v>664</v>
      </c>
      <c r="J25" s="6"/>
      <c r="K25" s="6"/>
      <c r="L25" s="6"/>
      <c r="M25" s="6"/>
      <c r="N25" s="6"/>
    </row>
    <row r="26" spans="1:14">
      <c r="A26" s="6"/>
      <c r="B26" s="6" t="s">
        <v>623</v>
      </c>
      <c r="C26" s="6" t="s">
        <v>665</v>
      </c>
      <c r="D26" s="6" t="s">
        <v>624</v>
      </c>
      <c r="E26" s="6" t="s">
        <v>666</v>
      </c>
      <c r="F26" s="6" t="s">
        <v>667</v>
      </c>
      <c r="I26" s="6"/>
      <c r="J26" s="6" t="s">
        <v>623</v>
      </c>
      <c r="K26" s="6" t="s">
        <v>665</v>
      </c>
      <c r="L26" s="6" t="s">
        <v>624</v>
      </c>
      <c r="M26" s="6" t="s">
        <v>666</v>
      </c>
      <c r="N26" s="6" t="s">
        <v>667</v>
      </c>
    </row>
    <row r="27" spans="1:14">
      <c r="A27" s="6" t="s">
        <v>572</v>
      </c>
      <c r="B27" s="6">
        <v>23.7804878</v>
      </c>
      <c r="C27" s="6">
        <v>24.878048799999998</v>
      </c>
      <c r="D27" s="6">
        <v>1.0975609799999999</v>
      </c>
      <c r="E27" s="6">
        <v>25.2439024</v>
      </c>
      <c r="F27" s="6">
        <v>5.5964848299999996</v>
      </c>
      <c r="I27" s="6" t="s">
        <v>572</v>
      </c>
      <c r="J27" s="6">
        <v>0.89108910891089099</v>
      </c>
      <c r="K27" s="6">
        <v>1.16831683168316</v>
      </c>
      <c r="L27">
        <f>K27-J27</f>
        <v>0.27722772277226904</v>
      </c>
      <c r="M27">
        <f>J28-J27</f>
        <v>5.7425742574257388</v>
      </c>
      <c r="N27">
        <f>SQRT(L27^2 +L28^2)</f>
        <v>0.55019580156236858</v>
      </c>
    </row>
    <row r="28" spans="1:14">
      <c r="A28" s="6" t="s">
        <v>573</v>
      </c>
      <c r="B28" s="6">
        <v>49.024390199999999</v>
      </c>
      <c r="C28" s="6">
        <v>54.5121951</v>
      </c>
      <c r="D28" s="6">
        <v>5.4878048799999997</v>
      </c>
      <c r="E28" s="6">
        <v>25.2439024</v>
      </c>
      <c r="F28" s="6">
        <v>5.5964848299999996</v>
      </c>
      <c r="I28" s="6" t="s">
        <v>573</v>
      </c>
      <c r="J28" s="6">
        <v>6.6336633663366298</v>
      </c>
      <c r="K28" s="6">
        <v>7.1089108910891099</v>
      </c>
      <c r="L28">
        <f>K28-J28</f>
        <v>0.47524752475248011</v>
      </c>
      <c r="M28">
        <v>5.7425742574257388</v>
      </c>
      <c r="N28">
        <v>0.55019580156236858</v>
      </c>
    </row>
    <row r="29" spans="1:14">
      <c r="A29" s="6"/>
      <c r="B29" s="6"/>
      <c r="C29" s="6"/>
      <c r="D29" s="6"/>
      <c r="E29" s="6"/>
      <c r="F29" s="6"/>
      <c r="I29" s="6"/>
      <c r="J29" s="6"/>
      <c r="K29" s="6"/>
      <c r="L29" s="6"/>
      <c r="M29" s="6"/>
      <c r="N29" s="6"/>
    </row>
    <row r="30" spans="1:14">
      <c r="A30" s="6"/>
      <c r="B30" s="6"/>
      <c r="C30" s="6"/>
      <c r="D30" s="6"/>
      <c r="E30" s="6"/>
      <c r="F30" s="6"/>
      <c r="I30" s="6"/>
      <c r="J30" s="6"/>
      <c r="K30" s="6"/>
      <c r="L30" s="6"/>
      <c r="M30" s="6"/>
      <c r="N30" s="6"/>
    </row>
    <row r="31" spans="1:14">
      <c r="A31" s="6"/>
      <c r="B31" s="6" t="s">
        <v>623</v>
      </c>
      <c r="C31" s="6" t="s">
        <v>665</v>
      </c>
      <c r="D31" s="6" t="s">
        <v>624</v>
      </c>
      <c r="E31" s="6" t="s">
        <v>666</v>
      </c>
      <c r="F31" s="6" t="s">
        <v>667</v>
      </c>
      <c r="I31" s="6"/>
      <c r="J31" s="6" t="s">
        <v>623</v>
      </c>
      <c r="K31" s="6" t="s">
        <v>665</v>
      </c>
      <c r="L31" s="6" t="s">
        <v>624</v>
      </c>
      <c r="M31" s="6" t="s">
        <v>666</v>
      </c>
      <c r="N31" s="6" t="s">
        <v>667</v>
      </c>
    </row>
    <row r="32" spans="1:14">
      <c r="A32" s="6" t="s">
        <v>572</v>
      </c>
      <c r="B32" s="6">
        <v>21.829268299999999</v>
      </c>
      <c r="C32" s="6">
        <v>20.4878049</v>
      </c>
      <c r="D32" s="6">
        <v>1.34146341</v>
      </c>
      <c r="E32" s="6">
        <v>7.1951219499999999</v>
      </c>
      <c r="F32" s="6">
        <v>3.44282786</v>
      </c>
      <c r="I32" s="6" t="s">
        <v>572</v>
      </c>
      <c r="J32" s="6">
        <v>1.2079207920791999</v>
      </c>
      <c r="K32" s="6">
        <v>1.56435643564356</v>
      </c>
      <c r="L32">
        <f>K32-J32</f>
        <v>0.35643564356436008</v>
      </c>
      <c r="M32">
        <v>-0.27722772277226893</v>
      </c>
      <c r="N32">
        <v>0.4768948348036528</v>
      </c>
    </row>
    <row r="33" spans="1:12">
      <c r="A33" s="6" t="s">
        <v>573</v>
      </c>
      <c r="B33" s="6">
        <v>29.024390199999999</v>
      </c>
      <c r="C33" s="6">
        <v>32.195121999999998</v>
      </c>
      <c r="D33" s="6">
        <v>3.1707317100000001</v>
      </c>
      <c r="E33" s="6">
        <v>7.1951219499999999</v>
      </c>
      <c r="F33" s="6">
        <v>3.44282786</v>
      </c>
      <c r="I33" s="6" t="s">
        <v>573</v>
      </c>
      <c r="J33" s="6">
        <v>0.93069306930693096</v>
      </c>
      <c r="K33" s="6">
        <v>1.24752475247524</v>
      </c>
      <c r="L33">
        <f>K33-J33</f>
        <v>0.31683168316830901</v>
      </c>
    </row>
    <row r="35" spans="1:12">
      <c r="A35" s="6" t="s">
        <v>1658</v>
      </c>
      <c r="B35" s="6"/>
      <c r="C35" s="6"/>
      <c r="D35" s="6"/>
      <c r="E35" s="6"/>
      <c r="F35" s="6"/>
    </row>
    <row r="36" spans="1:12">
      <c r="A36" s="6"/>
      <c r="B36" s="6" t="s">
        <v>623</v>
      </c>
      <c r="C36" s="6" t="s">
        <v>665</v>
      </c>
      <c r="D36" s="6" t="s">
        <v>624</v>
      </c>
      <c r="E36" s="6" t="s">
        <v>666</v>
      </c>
      <c r="F36" s="6" t="s">
        <v>667</v>
      </c>
    </row>
    <row r="37" spans="1:12">
      <c r="A37" s="6" t="s">
        <v>572</v>
      </c>
      <c r="B37" s="6">
        <v>369.45812807881703</v>
      </c>
      <c r="C37" s="6">
        <v>507.38916256157501</v>
      </c>
      <c r="D37">
        <f>C37-B37</f>
        <v>137.93103448275798</v>
      </c>
      <c r="E37">
        <f>B38-B37</f>
        <v>3278.4291958648428</v>
      </c>
      <c r="F37">
        <f>SQRT(D37^2 +D38^2)</f>
        <v>580.01923422481866</v>
      </c>
    </row>
    <row r="38" spans="1:12">
      <c r="A38" s="6" t="s">
        <v>573</v>
      </c>
      <c r="B38" s="24">
        <v>3647.8873239436598</v>
      </c>
      <c r="D38" s="24">
        <v>563.38028169013978</v>
      </c>
      <c r="E38">
        <v>3278.4291958648428</v>
      </c>
      <c r="F38">
        <v>580.01923422481866</v>
      </c>
    </row>
    <row r="39" spans="1:12">
      <c r="A39" s="6"/>
      <c r="B39" s="6"/>
      <c r="C39" s="6"/>
      <c r="D39" s="6"/>
      <c r="E39" s="6"/>
      <c r="F39" s="6"/>
    </row>
    <row r="40" spans="1:12">
      <c r="A40" s="6" t="s">
        <v>1661</v>
      </c>
      <c r="B40" s="6"/>
      <c r="C40" s="6"/>
      <c r="D40" s="6"/>
      <c r="E40" s="6"/>
      <c r="F40" s="6"/>
    </row>
    <row r="41" spans="1:12">
      <c r="A41" s="6"/>
      <c r="B41" s="6" t="s">
        <v>623</v>
      </c>
      <c r="C41" s="6" t="s">
        <v>665</v>
      </c>
      <c r="D41" s="6" t="s">
        <v>624</v>
      </c>
      <c r="E41" s="6" t="s">
        <v>666</v>
      </c>
      <c r="F41" s="6" t="s">
        <v>667</v>
      </c>
    </row>
    <row r="42" spans="1:12">
      <c r="A42" s="6" t="s">
        <v>572</v>
      </c>
      <c r="B42" s="6">
        <v>921.18226600984997</v>
      </c>
      <c r="C42" s="6">
        <v>1177.3399014778299</v>
      </c>
      <c r="D42">
        <f>C42-B42</f>
        <v>256.15763546797996</v>
      </c>
      <c r="E42">
        <f>B43-B42</f>
        <v>-559.67991859200993</v>
      </c>
      <c r="F42">
        <f>SQRT(D42^2 +D43^2)</f>
        <v>394.84002426832592</v>
      </c>
    </row>
    <row r="43" spans="1:12">
      <c r="A43" s="6" t="s">
        <v>573</v>
      </c>
      <c r="B43" s="24">
        <v>361.50234741783999</v>
      </c>
      <c r="D43" s="24">
        <v>300.46948356807496</v>
      </c>
      <c r="E43">
        <v>-559.67991859200993</v>
      </c>
      <c r="F43">
        <v>394.84002426832592</v>
      </c>
    </row>
    <row r="45" spans="1:12">
      <c r="A45" s="6" t="s">
        <v>1659</v>
      </c>
      <c r="B45" s="6"/>
      <c r="C45" s="6"/>
      <c r="D45" s="6"/>
      <c r="E45" s="6"/>
      <c r="F45" s="6"/>
    </row>
    <row r="46" spans="1:12">
      <c r="A46" s="6"/>
      <c r="B46" s="6" t="s">
        <v>623</v>
      </c>
      <c r="C46" s="6" t="s">
        <v>665</v>
      </c>
      <c r="D46" s="6" t="s">
        <v>624</v>
      </c>
      <c r="E46" s="6" t="s">
        <v>666</v>
      </c>
      <c r="F46" s="6" t="s">
        <v>667</v>
      </c>
    </row>
    <row r="47" spans="1:12">
      <c r="A47" s="6" t="s">
        <v>572</v>
      </c>
      <c r="B47" s="6">
        <v>643.19248826291096</v>
      </c>
      <c r="C47" s="6">
        <v>849.76525821596294</v>
      </c>
      <c r="D47">
        <f>C47-B47</f>
        <v>206.57276995305199</v>
      </c>
      <c r="E47">
        <f>B48-B47</f>
        <v>1577.464788732389</v>
      </c>
      <c r="F47">
        <f>SQRT(D47^2 +D48^2)</f>
        <v>1200.9973299770547</v>
      </c>
    </row>
    <row r="48" spans="1:12">
      <c r="A48" s="6" t="s">
        <v>573</v>
      </c>
      <c r="B48" s="6">
        <v>2220.6572769953</v>
      </c>
      <c r="C48" s="6">
        <v>3403.7558685446002</v>
      </c>
      <c r="D48">
        <f>C48-B48</f>
        <v>1183.0985915493002</v>
      </c>
      <c r="E48">
        <v>1577.464788732389</v>
      </c>
      <c r="F48">
        <v>1200.9973299770547</v>
      </c>
    </row>
    <row r="49" spans="1:7">
      <c r="A49" s="6"/>
      <c r="B49" s="6"/>
      <c r="C49" s="6"/>
      <c r="D49" s="6"/>
      <c r="E49" s="6"/>
      <c r="F49" s="6"/>
    </row>
    <row r="50" spans="1:7">
      <c r="A50" s="6" t="s">
        <v>1660</v>
      </c>
      <c r="B50" s="6"/>
      <c r="C50" s="6"/>
      <c r="D50" s="6"/>
      <c r="E50" s="6"/>
      <c r="F50" s="6"/>
    </row>
    <row r="51" spans="1:7">
      <c r="A51" s="6"/>
      <c r="B51" s="6" t="s">
        <v>623</v>
      </c>
      <c r="C51" s="6" t="s">
        <v>665</v>
      </c>
      <c r="D51" s="6" t="s">
        <v>624</v>
      </c>
      <c r="E51" s="6" t="s">
        <v>666</v>
      </c>
      <c r="F51" s="6" t="s">
        <v>667</v>
      </c>
    </row>
    <row r="52" spans="1:7">
      <c r="A52" s="6" t="s">
        <v>572</v>
      </c>
      <c r="B52" s="6">
        <v>868.54460093896705</v>
      </c>
      <c r="C52" s="6">
        <v>1206.5727699530501</v>
      </c>
      <c r="D52">
        <f>C52-B52</f>
        <v>338.02816901408301</v>
      </c>
      <c r="E52">
        <f>B53-B52</f>
        <v>-225.35211267605609</v>
      </c>
      <c r="F52">
        <f>SQRT(D52^2 +D53^2)</f>
        <v>464.95468180807217</v>
      </c>
    </row>
    <row r="53" spans="1:7">
      <c r="A53" s="6" t="s">
        <v>573</v>
      </c>
      <c r="B53" s="6">
        <v>643.19248826291096</v>
      </c>
      <c r="C53" s="6">
        <v>962.44131455399099</v>
      </c>
      <c r="D53">
        <f>C53-B53</f>
        <v>319.24882629108004</v>
      </c>
      <c r="E53">
        <v>-225.35211267605609</v>
      </c>
      <c r="F53">
        <v>464.95468180807217</v>
      </c>
    </row>
    <row r="57" spans="1:7">
      <c r="A57" s="9" t="s">
        <v>810</v>
      </c>
    </row>
    <row r="58" spans="1:7">
      <c r="A58" t="s">
        <v>675</v>
      </c>
      <c r="C58" t="s">
        <v>623</v>
      </c>
      <c r="D58" t="s">
        <v>665</v>
      </c>
      <c r="E58" t="s">
        <v>624</v>
      </c>
      <c r="F58" t="s">
        <v>666</v>
      </c>
      <c r="G58" t="s">
        <v>667</v>
      </c>
    </row>
    <row r="59" spans="1:7">
      <c r="B59" t="s">
        <v>572</v>
      </c>
      <c r="C59">
        <v>6.1855670103092804</v>
      </c>
      <c r="D59">
        <v>8.1615120274913995</v>
      </c>
      <c r="E59">
        <f>D59-C59</f>
        <v>1.9759450171821191</v>
      </c>
      <c r="F59">
        <f>C60-C59</f>
        <v>18.213058419243918</v>
      </c>
      <c r="G59">
        <f>SQRT(E59^2 +E60^2)</f>
        <v>5.6006893515486693</v>
      </c>
    </row>
    <row r="60" spans="1:7">
      <c r="B60" t="s">
        <v>573</v>
      </c>
      <c r="C60">
        <v>24.398625429553199</v>
      </c>
      <c r="D60">
        <v>29.6391752577319</v>
      </c>
      <c r="E60">
        <f>D60-C60</f>
        <v>5.2405498281787004</v>
      </c>
      <c r="F60">
        <v>18.213058419243918</v>
      </c>
      <c r="G60">
        <v>5.6006893515486693</v>
      </c>
    </row>
    <row r="63" spans="1:7">
      <c r="A63" t="s">
        <v>799</v>
      </c>
      <c r="C63" t="s">
        <v>623</v>
      </c>
      <c r="D63" t="s">
        <v>665</v>
      </c>
      <c r="E63" t="s">
        <v>624</v>
      </c>
      <c r="F63" t="s">
        <v>666</v>
      </c>
      <c r="G63" t="s">
        <v>667</v>
      </c>
    </row>
    <row r="64" spans="1:7">
      <c r="B64" t="s">
        <v>572</v>
      </c>
      <c r="C64">
        <v>5.58419243986254</v>
      </c>
      <c r="D64">
        <v>7.8178694158075501</v>
      </c>
      <c r="E64">
        <f>D64-C64</f>
        <v>2.2336769759450101</v>
      </c>
      <c r="F64">
        <f>C65-C64</f>
        <v>2.31958762886598</v>
      </c>
      <c r="G64">
        <f>SQRT(E64^2 +E65^2)</f>
        <v>3.5421869635890424</v>
      </c>
    </row>
    <row r="65" spans="1:16">
      <c r="B65" t="s">
        <v>573</v>
      </c>
      <c r="C65">
        <v>7.90378006872852</v>
      </c>
      <c r="D65">
        <v>10.6529209621993</v>
      </c>
      <c r="E65">
        <f>D65-C65</f>
        <v>2.7491408934707797</v>
      </c>
      <c r="F65">
        <v>2.31958762886598</v>
      </c>
      <c r="G65">
        <v>3.5421869635890424</v>
      </c>
    </row>
    <row r="67" spans="1:16">
      <c r="A67" s="9" t="s">
        <v>809</v>
      </c>
      <c r="J67" t="s">
        <v>827</v>
      </c>
    </row>
    <row r="68" spans="1:16">
      <c r="A68" t="s">
        <v>345</v>
      </c>
      <c r="B68" t="s">
        <v>828</v>
      </c>
      <c r="J68" t="s">
        <v>345</v>
      </c>
    </row>
    <row r="69" spans="1:16">
      <c r="A69" t="s">
        <v>701</v>
      </c>
      <c r="C69" t="s">
        <v>623</v>
      </c>
      <c r="D69" t="s">
        <v>665</v>
      </c>
      <c r="E69" t="s">
        <v>624</v>
      </c>
      <c r="F69" t="s">
        <v>666</v>
      </c>
      <c r="G69" t="s">
        <v>667</v>
      </c>
      <c r="J69" t="s">
        <v>701</v>
      </c>
      <c r="L69" t="s">
        <v>623</v>
      </c>
      <c r="M69" t="s">
        <v>665</v>
      </c>
      <c r="N69" t="s">
        <v>624</v>
      </c>
      <c r="O69" t="s">
        <v>666</v>
      </c>
      <c r="P69" t="s">
        <v>667</v>
      </c>
    </row>
    <row r="70" spans="1:16">
      <c r="B70" t="s">
        <v>572</v>
      </c>
      <c r="C70">
        <v>1.1305147058823499</v>
      </c>
      <c r="D70">
        <v>1.23161764705882</v>
      </c>
      <c r="E70">
        <f>D70-C70</f>
        <v>0.10110294117647012</v>
      </c>
      <c r="F70">
        <f>C71-C70</f>
        <v>1.2057684799583501</v>
      </c>
      <c r="G70">
        <f>SQRT(E70^2 +E71^2)</f>
        <v>0.25944787132001085</v>
      </c>
      <c r="K70" t="s">
        <v>572</v>
      </c>
      <c r="L70">
        <v>0.92920353982300796</v>
      </c>
      <c r="M70">
        <v>1.0088495575221199</v>
      </c>
      <c r="N70">
        <f>M70-L70</f>
        <v>7.9646017699111948E-2</v>
      </c>
      <c r="O70">
        <f>L71-L70</f>
        <v>-0.31587020648967501</v>
      </c>
      <c r="P70">
        <f>SQRT(N70^2 +N71^2)</f>
        <v>0.22771604960221456</v>
      </c>
    </row>
    <row r="71" spans="1:16">
      <c r="B71" t="s">
        <v>573</v>
      </c>
      <c r="C71">
        <v>2.3362831858407</v>
      </c>
      <c r="D71">
        <v>2.5752212389380502</v>
      </c>
      <c r="E71">
        <f>D71-C71</f>
        <v>0.23893805309735017</v>
      </c>
      <c r="F71">
        <v>1.2057684799583501</v>
      </c>
      <c r="G71">
        <v>0.25944787132001085</v>
      </c>
      <c r="K71" t="s">
        <v>573</v>
      </c>
      <c r="L71">
        <v>0.61333333333333295</v>
      </c>
      <c r="M71">
        <v>0.82666666666666599</v>
      </c>
      <c r="N71">
        <f>M71-L71</f>
        <v>0.21333333333333304</v>
      </c>
      <c r="O71">
        <v>-0.31587020648967501</v>
      </c>
      <c r="P71">
        <v>0.22771604960221456</v>
      </c>
    </row>
    <row r="74" spans="1:16">
      <c r="A74" t="s">
        <v>808</v>
      </c>
      <c r="C74" t="s">
        <v>623</v>
      </c>
      <c r="D74" t="s">
        <v>665</v>
      </c>
      <c r="E74" t="s">
        <v>624</v>
      </c>
      <c r="F74" t="s">
        <v>666</v>
      </c>
      <c r="G74" t="s">
        <v>667</v>
      </c>
      <c r="J74" t="s">
        <v>808</v>
      </c>
      <c r="L74" t="s">
        <v>623</v>
      </c>
      <c r="M74" t="s">
        <v>665</v>
      </c>
      <c r="N74" t="s">
        <v>624</v>
      </c>
      <c r="O74" t="s">
        <v>666</v>
      </c>
      <c r="P74" t="s">
        <v>667</v>
      </c>
    </row>
    <row r="75" spans="1:16">
      <c r="B75" t="s">
        <v>572</v>
      </c>
      <c r="C75">
        <v>0.97426470588235203</v>
      </c>
      <c r="D75">
        <v>1.11213235294117</v>
      </c>
      <c r="E75">
        <f>D75-C75</f>
        <v>0.13786764705881793</v>
      </c>
      <c r="F75">
        <f>C76-C75</f>
        <v>0.45936361270171788</v>
      </c>
      <c r="G75">
        <f>SQRT(E75^2 +E76^2)</f>
        <v>0.210669031057832</v>
      </c>
      <c r="K75" t="s">
        <v>572</v>
      </c>
      <c r="L75">
        <v>0.95575221238938002</v>
      </c>
      <c r="M75">
        <v>1.06194690265486</v>
      </c>
      <c r="N75">
        <f>M75-L75</f>
        <v>0.10619469026548001</v>
      </c>
      <c r="O75">
        <f>L76-L75</f>
        <v>-0.849085545722714</v>
      </c>
      <c r="P75">
        <f>SQRT(N75^2 +N76^2)</f>
        <v>0.13295605379440695</v>
      </c>
    </row>
    <row r="76" spans="1:16">
      <c r="B76" t="s">
        <v>573</v>
      </c>
      <c r="C76">
        <v>1.4336283185840699</v>
      </c>
      <c r="D76">
        <v>1.5929203539823</v>
      </c>
      <c r="E76">
        <f>D76-C76</f>
        <v>0.15929203539823011</v>
      </c>
      <c r="F76">
        <v>0.45936361270171788</v>
      </c>
      <c r="G76">
        <v>0.210669031057832</v>
      </c>
      <c r="K76" t="s">
        <v>573</v>
      </c>
      <c r="L76">
        <v>0.10666666666666599</v>
      </c>
      <c r="M76">
        <v>0.18666666666666601</v>
      </c>
      <c r="N76">
        <f>M76-L76</f>
        <v>8.0000000000000016E-2</v>
      </c>
      <c r="O76">
        <v>-0.849085545722714</v>
      </c>
      <c r="P76">
        <v>0.13295605379440695</v>
      </c>
    </row>
    <row r="78" spans="1:16">
      <c r="A78" t="s">
        <v>814</v>
      </c>
      <c r="J78" t="s">
        <v>814</v>
      </c>
    </row>
    <row r="79" spans="1:16">
      <c r="A79" t="s">
        <v>701</v>
      </c>
      <c r="C79" t="s">
        <v>623</v>
      </c>
      <c r="D79" t="s">
        <v>665</v>
      </c>
      <c r="E79" t="s">
        <v>624</v>
      </c>
      <c r="F79" t="s">
        <v>666</v>
      </c>
      <c r="G79" t="s">
        <v>667</v>
      </c>
      <c r="J79" t="s">
        <v>701</v>
      </c>
      <c r="L79" t="s">
        <v>623</v>
      </c>
      <c r="M79" t="s">
        <v>665</v>
      </c>
      <c r="N79" t="s">
        <v>624</v>
      </c>
      <c r="O79" t="s">
        <v>666</v>
      </c>
      <c r="P79" t="s">
        <v>667</v>
      </c>
    </row>
    <row r="80" spans="1:16">
      <c r="B80" t="s">
        <v>572</v>
      </c>
      <c r="C80">
        <v>1.76086956521739</v>
      </c>
      <c r="D80">
        <v>2</v>
      </c>
      <c r="E80">
        <f>D80-C80</f>
        <v>0.23913043478260998</v>
      </c>
      <c r="F80">
        <f>C81-C80</f>
        <v>1.98913043478261</v>
      </c>
      <c r="G80">
        <f>SQRT(E80^2 +E81^2)</f>
        <v>0.45571246675307958</v>
      </c>
      <c r="K80" t="s">
        <v>572</v>
      </c>
      <c r="L80">
        <v>1.55172413793103</v>
      </c>
      <c r="M80">
        <v>1.8103448275862</v>
      </c>
      <c r="N80">
        <f>M80-L80</f>
        <v>0.25862068965516993</v>
      </c>
      <c r="O80">
        <f>L81-L80</f>
        <v>-0.17241379310344995</v>
      </c>
      <c r="P80">
        <f>SQRT(N80^2 +N81^2)</f>
        <v>0.57829344245684555</v>
      </c>
    </row>
    <row r="81" spans="1:16">
      <c r="B81" t="s">
        <v>573</v>
      </c>
      <c r="C81">
        <v>3.75</v>
      </c>
      <c r="D81">
        <v>4.13793103448275</v>
      </c>
      <c r="E81">
        <f>D81-C81</f>
        <v>0.38793103448275001</v>
      </c>
      <c r="F81">
        <v>1.98913043478261</v>
      </c>
      <c r="G81">
        <v>0.45571246675307958</v>
      </c>
      <c r="K81" t="s">
        <v>573</v>
      </c>
      <c r="L81">
        <v>1.3793103448275801</v>
      </c>
      <c r="M81">
        <v>1.8965517241379299</v>
      </c>
      <c r="N81">
        <f>M81-L81</f>
        <v>0.51724137931034986</v>
      </c>
      <c r="O81">
        <v>-0.17241379310344995</v>
      </c>
      <c r="P81">
        <v>0.57829344245684555</v>
      </c>
    </row>
    <row r="84" spans="1:16">
      <c r="A84" t="s">
        <v>808</v>
      </c>
      <c r="C84" t="s">
        <v>623</v>
      </c>
      <c r="D84" t="s">
        <v>665</v>
      </c>
      <c r="E84" t="s">
        <v>624</v>
      </c>
      <c r="F84" t="s">
        <v>666</v>
      </c>
      <c r="G84" t="s">
        <v>667</v>
      </c>
      <c r="J84" t="s">
        <v>808</v>
      </c>
      <c r="L84" t="s">
        <v>623</v>
      </c>
      <c r="M84" t="s">
        <v>665</v>
      </c>
      <c r="N84" t="s">
        <v>624</v>
      </c>
      <c r="O84" t="s">
        <v>666</v>
      </c>
      <c r="P84" t="s">
        <v>667</v>
      </c>
    </row>
    <row r="85" spans="1:16">
      <c r="B85" t="s">
        <v>572</v>
      </c>
      <c r="C85">
        <v>1.4347826086956501</v>
      </c>
      <c r="D85">
        <v>1.60869565217391</v>
      </c>
      <c r="E85">
        <f>D85-C85</f>
        <v>0.17391304347825987</v>
      </c>
      <c r="F85">
        <f>C86-C85</f>
        <v>1.1083208395802098</v>
      </c>
      <c r="G85">
        <f>SQRT(E85^2 +E86^2)</f>
        <v>0.42513084363138792</v>
      </c>
      <c r="K85" t="s">
        <v>572</v>
      </c>
      <c r="L85">
        <v>1.16379310344827</v>
      </c>
      <c r="M85">
        <v>1.42241379310344</v>
      </c>
      <c r="N85">
        <f>M85-L85</f>
        <v>0.25862068965516993</v>
      </c>
      <c r="O85">
        <f>L86-L85</f>
        <v>-0.99137931034482207</v>
      </c>
      <c r="P85">
        <f>SQRT(N85^2 +N86^2)</f>
        <v>0.28914672122841878</v>
      </c>
    </row>
    <row r="86" spans="1:16">
      <c r="B86" t="s">
        <v>573</v>
      </c>
      <c r="C86">
        <v>2.5431034482758599</v>
      </c>
      <c r="D86">
        <v>2.9310344827586201</v>
      </c>
      <c r="E86">
        <f>D86-C86</f>
        <v>0.38793103448276023</v>
      </c>
      <c r="F86">
        <v>1.1083208395802098</v>
      </c>
      <c r="G86">
        <v>0.42513084363138792</v>
      </c>
      <c r="K86" t="s">
        <v>573</v>
      </c>
      <c r="L86">
        <v>0.17241379310344801</v>
      </c>
      <c r="M86">
        <v>0.30172413793103398</v>
      </c>
      <c r="N86">
        <f>M86-L86</f>
        <v>0.12931034482758597</v>
      </c>
      <c r="O86">
        <v>-0.99137931034482207</v>
      </c>
      <c r="P86">
        <v>0.28914672122841878</v>
      </c>
    </row>
    <row r="88" spans="1:16">
      <c r="A88" t="s">
        <v>807</v>
      </c>
      <c r="J88" t="s">
        <v>807</v>
      </c>
    </row>
    <row r="89" spans="1:16">
      <c r="A89" t="s">
        <v>701</v>
      </c>
      <c r="C89" t="s">
        <v>623</v>
      </c>
      <c r="D89" t="s">
        <v>665</v>
      </c>
      <c r="E89" t="s">
        <v>624</v>
      </c>
      <c r="F89" t="s">
        <v>666</v>
      </c>
      <c r="G89" t="s">
        <v>667</v>
      </c>
      <c r="J89" t="s">
        <v>701</v>
      </c>
      <c r="L89" t="s">
        <v>623</v>
      </c>
      <c r="M89" t="s">
        <v>665</v>
      </c>
      <c r="N89" t="s">
        <v>624</v>
      </c>
      <c r="O89" t="s">
        <v>666</v>
      </c>
      <c r="P89" t="s">
        <v>667</v>
      </c>
    </row>
    <row r="90" spans="1:16">
      <c r="B90" t="s">
        <v>572</v>
      </c>
      <c r="C90">
        <v>0.64521739130434697</v>
      </c>
      <c r="D90">
        <v>0.713043478260869</v>
      </c>
      <c r="E90">
        <f>D90-C90</f>
        <v>6.7826086956522036E-2</v>
      </c>
      <c r="F90">
        <f>C91-C90</f>
        <v>-4.1769115442278015E-2</v>
      </c>
      <c r="G90">
        <f>SQRT(E90^2 +E91^2)</f>
        <v>0.20955594849830667</v>
      </c>
      <c r="K90" t="s">
        <v>572</v>
      </c>
      <c r="L90">
        <v>0.55130434782608595</v>
      </c>
      <c r="M90">
        <v>0.58782608695652105</v>
      </c>
      <c r="N90">
        <f>M90-L90</f>
        <v>3.6521739130435105E-2</v>
      </c>
      <c r="O90">
        <f>L91-L90</f>
        <v>-0.42086956521739094</v>
      </c>
      <c r="P90">
        <f>SQRT(N90^2 +N91^2)</f>
        <v>7.8569439986619097E-2</v>
      </c>
    </row>
    <row r="91" spans="1:16">
      <c r="B91" t="s">
        <v>573</v>
      </c>
      <c r="C91">
        <v>0.60344827586206895</v>
      </c>
      <c r="D91">
        <v>0.80172413793103403</v>
      </c>
      <c r="E91">
        <f>D91-C91</f>
        <v>0.19827586206896508</v>
      </c>
      <c r="F91">
        <v>-4.1769115442278015E-2</v>
      </c>
      <c r="G91">
        <v>0.20955594849830667</v>
      </c>
      <c r="K91" t="s">
        <v>573</v>
      </c>
      <c r="L91">
        <v>0.13043478260869501</v>
      </c>
      <c r="M91">
        <v>0.19999999999999901</v>
      </c>
      <c r="N91">
        <f>M91-L91</f>
        <v>6.9565217391304002E-2</v>
      </c>
      <c r="O91">
        <v>-0.42086956521739094</v>
      </c>
      <c r="P91">
        <v>7.8569439986619097E-2</v>
      </c>
    </row>
    <row r="94" spans="1:16">
      <c r="A94" t="s">
        <v>808</v>
      </c>
      <c r="C94" t="s">
        <v>623</v>
      </c>
      <c r="D94" t="s">
        <v>665</v>
      </c>
      <c r="E94" t="s">
        <v>624</v>
      </c>
      <c r="F94" t="s">
        <v>666</v>
      </c>
      <c r="G94" t="s">
        <v>667</v>
      </c>
      <c r="J94" t="s">
        <v>808</v>
      </c>
      <c r="L94" t="s">
        <v>623</v>
      </c>
      <c r="M94" t="s">
        <v>665</v>
      </c>
      <c r="N94" t="s">
        <v>624</v>
      </c>
      <c r="O94" t="s">
        <v>666</v>
      </c>
      <c r="P94" t="s">
        <v>667</v>
      </c>
    </row>
    <row r="95" spans="1:16">
      <c r="B95" t="s">
        <v>572</v>
      </c>
      <c r="C95">
        <v>0.629565217391304</v>
      </c>
      <c r="D95">
        <v>0.68173913043478196</v>
      </c>
      <c r="E95">
        <f>D95-C95</f>
        <v>5.217391304347796E-2</v>
      </c>
      <c r="F95">
        <f>C96-C95</f>
        <v>-0.11232383808096003</v>
      </c>
      <c r="G95">
        <f>SQRT(E95^2 +E96^2)</f>
        <v>0.18013504171755976</v>
      </c>
      <c r="K95" t="s">
        <v>572</v>
      </c>
      <c r="L95">
        <v>0.73913043478260798</v>
      </c>
      <c r="M95">
        <v>0.86434782608695604</v>
      </c>
      <c r="N95">
        <f>M95-L95</f>
        <v>0.12521739130434806</v>
      </c>
      <c r="O95">
        <f>L96-L95</f>
        <v>-0.73043478260869532</v>
      </c>
      <c r="P95">
        <f>SQRT(N95^2 +N96^2)</f>
        <v>0.12790592005702212</v>
      </c>
    </row>
    <row r="96" spans="1:16">
      <c r="B96" t="s">
        <v>573</v>
      </c>
      <c r="C96">
        <v>0.51724137931034397</v>
      </c>
      <c r="D96">
        <v>0.68965517241379204</v>
      </c>
      <c r="E96">
        <f>D96-C96</f>
        <v>0.17241379310344807</v>
      </c>
      <c r="F96">
        <v>-0.11232383808096003</v>
      </c>
      <c r="G96">
        <v>0.18013504171755976</v>
      </c>
      <c r="K96" t="s">
        <v>573</v>
      </c>
      <c r="L96">
        <v>8.6956521739127001E-3</v>
      </c>
      <c r="M96">
        <v>3.4782608695652001E-2</v>
      </c>
      <c r="N96">
        <f>M96-L96</f>
        <v>2.6086956521739299E-2</v>
      </c>
      <c r="O96">
        <v>-0.73043478260869532</v>
      </c>
      <c r="P96">
        <v>0.12790592005702212</v>
      </c>
    </row>
    <row r="98" spans="1:16">
      <c r="A98" t="s">
        <v>819</v>
      </c>
      <c r="J98" t="s">
        <v>819</v>
      </c>
    </row>
    <row r="99" spans="1:16">
      <c r="A99" t="s">
        <v>701</v>
      </c>
      <c r="C99" t="s">
        <v>623</v>
      </c>
      <c r="D99" t="s">
        <v>665</v>
      </c>
      <c r="E99" t="s">
        <v>624</v>
      </c>
      <c r="F99" t="s">
        <v>666</v>
      </c>
      <c r="G99" t="s">
        <v>667</v>
      </c>
      <c r="J99" t="s">
        <v>701</v>
      </c>
      <c r="L99" t="s">
        <v>623</v>
      </c>
      <c r="M99" t="s">
        <v>665</v>
      </c>
      <c r="N99" t="s">
        <v>624</v>
      </c>
      <c r="O99" t="s">
        <v>666</v>
      </c>
      <c r="P99" t="s">
        <v>667</v>
      </c>
    </row>
    <row r="100" spans="1:16">
      <c r="B100" t="s">
        <v>572</v>
      </c>
      <c r="C100">
        <v>0.65789473684210498</v>
      </c>
      <c r="D100">
        <v>0.71052631578947401</v>
      </c>
      <c r="E100">
        <f>D100-C100</f>
        <v>5.2631578947369029E-2</v>
      </c>
      <c r="F100">
        <f>C101-C100</f>
        <v>0.39473684210525495</v>
      </c>
      <c r="G100">
        <f>SQRT(E100^2 +E101^2)</f>
        <v>0.10608233879340685</v>
      </c>
      <c r="K100" t="s">
        <v>572</v>
      </c>
      <c r="L100">
        <v>0.73684210526315697</v>
      </c>
      <c r="M100">
        <v>0.789473684210525</v>
      </c>
      <c r="N100">
        <f>M100-L100</f>
        <v>5.263157894736803E-2</v>
      </c>
      <c r="O100">
        <f>L101-L100</f>
        <v>-5.2631578947367919E-2</v>
      </c>
      <c r="P100">
        <f>SQRT(N100^2 +N101^2)</f>
        <v>0.12959023423415916</v>
      </c>
    </row>
    <row r="101" spans="1:16">
      <c r="B101" t="s">
        <v>573</v>
      </c>
      <c r="C101">
        <v>1.0526315789473599</v>
      </c>
      <c r="D101">
        <v>1.1447368421052599</v>
      </c>
      <c r="E101">
        <f>D101-C101</f>
        <v>9.2105263157900019E-2</v>
      </c>
      <c r="F101">
        <v>0.39473684210525495</v>
      </c>
      <c r="G101">
        <v>0.10608233879340685</v>
      </c>
      <c r="K101" t="s">
        <v>573</v>
      </c>
      <c r="L101">
        <v>0.68421052631578905</v>
      </c>
      <c r="M101">
        <v>0.80263157894736803</v>
      </c>
      <c r="N101">
        <f>M101-L101</f>
        <v>0.11842105263157898</v>
      </c>
      <c r="O101">
        <v>-5.2631578947367919E-2</v>
      </c>
      <c r="P101">
        <v>0.12959023423415916</v>
      </c>
    </row>
    <row r="104" spans="1:16">
      <c r="A104" t="s">
        <v>808</v>
      </c>
      <c r="C104" t="s">
        <v>623</v>
      </c>
      <c r="D104" t="s">
        <v>665</v>
      </c>
      <c r="E104" t="s">
        <v>624</v>
      </c>
      <c r="F104" t="s">
        <v>666</v>
      </c>
      <c r="G104" t="s">
        <v>667</v>
      </c>
      <c r="J104" t="s">
        <v>808</v>
      </c>
      <c r="L104" t="s">
        <v>623</v>
      </c>
      <c r="M104" t="s">
        <v>665</v>
      </c>
      <c r="N104" t="s">
        <v>624</v>
      </c>
      <c r="O104" t="s">
        <v>666</v>
      </c>
      <c r="P104" t="s">
        <v>667</v>
      </c>
    </row>
    <row r="105" spans="1:16">
      <c r="B105" t="s">
        <v>572</v>
      </c>
      <c r="C105">
        <v>0.82894736842105099</v>
      </c>
      <c r="D105">
        <v>0.92105263157894601</v>
      </c>
      <c r="E105">
        <f>D105-C105</f>
        <v>9.2105263157895023E-2</v>
      </c>
      <c r="F105">
        <f>C106-C105</f>
        <v>0.26315789473683904</v>
      </c>
      <c r="G105">
        <f>SQRT(E105^2 +E106^2)</f>
        <v>0.17155795803164609</v>
      </c>
      <c r="K105" t="s">
        <v>572</v>
      </c>
      <c r="L105">
        <v>0.90789473684210498</v>
      </c>
      <c r="M105">
        <v>1.1184210526315701</v>
      </c>
      <c r="N105">
        <f>M105-L105</f>
        <v>0.21052631578946512</v>
      </c>
      <c r="O105">
        <f>L106-L105</f>
        <v>-0.68421052631578994</v>
      </c>
      <c r="P105">
        <f>SQRT(N105^2 +N106^2)</f>
        <v>0.22979275258647885</v>
      </c>
    </row>
    <row r="106" spans="1:16">
      <c r="B106" t="s">
        <v>573</v>
      </c>
      <c r="C106">
        <v>1.09210526315789</v>
      </c>
      <c r="D106">
        <v>1.23684210526315</v>
      </c>
      <c r="E106">
        <f>D106-C106</f>
        <v>0.14473684210525994</v>
      </c>
      <c r="F106">
        <v>0.26315789473683904</v>
      </c>
      <c r="G106">
        <v>0.17155795803164609</v>
      </c>
      <c r="K106" t="s">
        <v>573</v>
      </c>
      <c r="L106">
        <v>0.22368421052631501</v>
      </c>
      <c r="M106">
        <v>0.31578947368421001</v>
      </c>
      <c r="N106">
        <f>M106-L106</f>
        <v>9.2105263157894995E-2</v>
      </c>
      <c r="O106">
        <v>-0.68421052631578994</v>
      </c>
      <c r="P106">
        <v>0.22979275258647885</v>
      </c>
    </row>
    <row r="108" spans="1:16">
      <c r="A108" s="9" t="s">
        <v>822</v>
      </c>
    </row>
    <row r="109" spans="1:16">
      <c r="A109" t="s">
        <v>680</v>
      </c>
    </row>
    <row r="110" spans="1:16">
      <c r="A110" t="s">
        <v>675</v>
      </c>
      <c r="C110" t="s">
        <v>623</v>
      </c>
      <c r="D110" t="s">
        <v>1812</v>
      </c>
      <c r="E110" t="s">
        <v>624</v>
      </c>
      <c r="F110" t="s">
        <v>666</v>
      </c>
      <c r="G110" t="s">
        <v>667</v>
      </c>
    </row>
    <row r="111" spans="1:16">
      <c r="B111" t="s">
        <v>572</v>
      </c>
      <c r="C111">
        <v>3.4415584415584402</v>
      </c>
      <c r="D111">
        <v>3.5194805194805099</v>
      </c>
      <c r="E111">
        <f>(D111-C111)/SQRT(6)</f>
        <v>3.1811555101076895E-2</v>
      </c>
      <c r="F111">
        <f>C112-C111</f>
        <v>-0.45779220779221008</v>
      </c>
      <c r="G111">
        <f>SQRT(E111^2 +E112^2)</f>
        <v>4.7882731181013445E-2</v>
      </c>
    </row>
    <row r="112" spans="1:16">
      <c r="B112" t="s">
        <v>573</v>
      </c>
      <c r="C112">
        <v>2.9837662337662301</v>
      </c>
      <c r="D112">
        <v>3.0714285714285698</v>
      </c>
      <c r="E112">
        <f>(D112-C112)/SQRT(6)</f>
        <v>3.5787999488716131E-2</v>
      </c>
      <c r="F112">
        <v>-0.45779220779221008</v>
      </c>
      <c r="G112">
        <v>4.7882731181013445E-2</v>
      </c>
    </row>
    <row r="115" spans="1:7">
      <c r="A115" t="s">
        <v>799</v>
      </c>
      <c r="C115" t="s">
        <v>623</v>
      </c>
      <c r="D115" t="s">
        <v>1812</v>
      </c>
      <c r="E115" t="s">
        <v>624</v>
      </c>
      <c r="F115" t="s">
        <v>666</v>
      </c>
      <c r="G115" t="s">
        <v>667</v>
      </c>
    </row>
    <row r="116" spans="1:7">
      <c r="B116" t="s">
        <v>572</v>
      </c>
      <c r="C116">
        <v>4.12337662337662</v>
      </c>
      <c r="D116">
        <v>4.43506493506493</v>
      </c>
      <c r="E116">
        <f t="shared" ref="E116:E117" si="0">(D116-C116)/SQRT(6)</f>
        <v>0.12724622040432026</v>
      </c>
      <c r="F116">
        <f>C117-C116</f>
        <v>-1.4025974025974</v>
      </c>
      <c r="G116">
        <f>SQRT(E116^2 +E117^2)</f>
        <v>0.13331470888082836</v>
      </c>
    </row>
    <row r="117" spans="1:7">
      <c r="B117" t="s">
        <v>573</v>
      </c>
      <c r="C117">
        <v>2.7207792207792201</v>
      </c>
      <c r="D117">
        <v>2.8181818181818099</v>
      </c>
      <c r="E117">
        <f t="shared" si="0"/>
        <v>3.9764443876347207E-2</v>
      </c>
      <c r="F117" s="6">
        <v>-1.4025974000000001</v>
      </c>
      <c r="G117" s="6">
        <v>0.13331471</v>
      </c>
    </row>
    <row r="119" spans="1:7">
      <c r="A119" t="s">
        <v>719</v>
      </c>
    </row>
    <row r="120" spans="1:7">
      <c r="A120" t="s">
        <v>675</v>
      </c>
      <c r="C120" t="s">
        <v>623</v>
      </c>
      <c r="D120" t="s">
        <v>1812</v>
      </c>
      <c r="E120" t="s">
        <v>624</v>
      </c>
      <c r="F120" t="s">
        <v>666</v>
      </c>
      <c r="G120" t="s">
        <v>667</v>
      </c>
    </row>
    <row r="121" spans="1:7">
      <c r="B121" t="s">
        <v>572</v>
      </c>
      <c r="C121">
        <v>6.7302158273381298</v>
      </c>
      <c r="D121">
        <v>6.8093525179856096</v>
      </c>
      <c r="E121">
        <f t="shared" ref="E121:E122" si="1">(D121-C121)/SQRT(6)</f>
        <v>3.2307418669801184E-2</v>
      </c>
      <c r="F121">
        <f>C122-C121</f>
        <v>0.82014388489208034</v>
      </c>
      <c r="G121">
        <f>SQRT(E121^2 +E122^2)</f>
        <v>4.5689589648098571E-2</v>
      </c>
    </row>
    <row r="122" spans="1:7">
      <c r="B122" t="s">
        <v>573</v>
      </c>
      <c r="C122">
        <v>7.5503597122302102</v>
      </c>
      <c r="D122">
        <v>7.6294964028776899</v>
      </c>
      <c r="E122">
        <f t="shared" si="1"/>
        <v>3.2307418669801184E-2</v>
      </c>
      <c r="F122" s="6">
        <v>0.82014388000000005</v>
      </c>
      <c r="G122" s="6">
        <v>4.5689590000000002E-2</v>
      </c>
    </row>
    <row r="125" spans="1:7">
      <c r="A125" t="s">
        <v>799</v>
      </c>
      <c r="C125" t="s">
        <v>623</v>
      </c>
      <c r="D125" t="s">
        <v>1812</v>
      </c>
      <c r="E125" t="s">
        <v>624</v>
      </c>
      <c r="F125" t="s">
        <v>666</v>
      </c>
      <c r="G125" t="s">
        <v>667</v>
      </c>
    </row>
    <row r="126" spans="1:7">
      <c r="B126" t="s">
        <v>572</v>
      </c>
      <c r="C126">
        <v>6.7661870503597097</v>
      </c>
      <c r="D126">
        <v>6.8237410071942399</v>
      </c>
      <c r="E126">
        <f t="shared" ref="E126:E127" si="2">(D126-C126)/SQRT(6)</f>
        <v>2.3496304487127938E-2</v>
      </c>
      <c r="F126">
        <f>C127-C126</f>
        <v>0.53956834532374032</v>
      </c>
      <c r="G126">
        <f>SQRT(E126^2 +E127^2)</f>
        <v>3.9948036568242584E-2</v>
      </c>
    </row>
    <row r="127" spans="1:7">
      <c r="B127" t="s">
        <v>573</v>
      </c>
      <c r="C127">
        <v>7.30575539568345</v>
      </c>
      <c r="D127">
        <v>7.3848920863309298</v>
      </c>
      <c r="E127">
        <f t="shared" si="2"/>
        <v>3.2307418669801184E-2</v>
      </c>
      <c r="F127">
        <v>0.53956834532374032</v>
      </c>
      <c r="G127">
        <v>3.9948036568242584E-2</v>
      </c>
    </row>
    <row r="129" spans="1:7">
      <c r="A129" s="6" t="s">
        <v>720</v>
      </c>
      <c r="B129" s="6"/>
      <c r="C129" s="6"/>
      <c r="D129" s="6"/>
      <c r="E129" s="6"/>
      <c r="F129" s="6"/>
      <c r="G129" s="6"/>
    </row>
    <row r="130" spans="1:7">
      <c r="A130" s="6" t="s">
        <v>675</v>
      </c>
      <c r="B130" s="6"/>
      <c r="C130" s="6" t="s">
        <v>623</v>
      </c>
      <c r="D130" t="s">
        <v>1812</v>
      </c>
      <c r="E130" s="6" t="s">
        <v>624</v>
      </c>
      <c r="F130" s="6" t="s">
        <v>666</v>
      </c>
      <c r="G130" s="6" t="s">
        <v>667</v>
      </c>
    </row>
    <row r="131" spans="1:7">
      <c r="A131" s="6"/>
      <c r="B131" s="6" t="s">
        <v>572</v>
      </c>
      <c r="C131" s="6">
        <v>113.587786259542</v>
      </c>
      <c r="D131" s="6">
        <v>119.083969465648</v>
      </c>
      <c r="E131">
        <f t="shared" ref="E131:E132" si="3">(D131-C131)/SQRT(6)</f>
        <v>2.243807397968967</v>
      </c>
      <c r="F131">
        <f>C132-C131</f>
        <v>122.748091603053</v>
      </c>
      <c r="G131">
        <f>SQRT(E131^2 +E132^2)</f>
        <v>4.6858043521290718</v>
      </c>
    </row>
    <row r="132" spans="1:7">
      <c r="A132" s="6"/>
      <c r="B132" s="6" t="s">
        <v>573</v>
      </c>
      <c r="C132" s="6">
        <v>236.335877862595</v>
      </c>
      <c r="D132" s="6">
        <v>246.41221374045799</v>
      </c>
      <c r="E132">
        <f t="shared" si="3"/>
        <v>4.1136468962772534</v>
      </c>
      <c r="F132" s="6">
        <v>122.748091603053</v>
      </c>
      <c r="G132" s="6">
        <v>4.6858043521290718</v>
      </c>
    </row>
    <row r="133" spans="1:7">
      <c r="A133" s="6"/>
      <c r="B133" s="6"/>
      <c r="C133" s="6"/>
      <c r="D133" s="6"/>
      <c r="E133" s="6"/>
      <c r="F133" s="6"/>
      <c r="G133" s="6"/>
    </row>
    <row r="134" spans="1:7">
      <c r="A134" s="6"/>
      <c r="B134" s="6"/>
      <c r="C134" s="6"/>
      <c r="D134" s="6"/>
      <c r="E134" s="6"/>
      <c r="F134" s="6"/>
      <c r="G134" s="6"/>
    </row>
    <row r="135" spans="1:7">
      <c r="A135" s="6" t="s">
        <v>799</v>
      </c>
      <c r="B135" s="6"/>
      <c r="C135" s="6" t="s">
        <v>623</v>
      </c>
      <c r="D135" t="s">
        <v>1812</v>
      </c>
      <c r="E135" s="6" t="s">
        <v>624</v>
      </c>
      <c r="F135" s="6" t="s">
        <v>666</v>
      </c>
      <c r="G135" s="6" t="s">
        <v>667</v>
      </c>
    </row>
    <row r="136" spans="1:7">
      <c r="A136" s="6"/>
      <c r="B136" s="6" t="s">
        <v>572</v>
      </c>
      <c r="C136" s="6">
        <v>105.343511450381</v>
      </c>
      <c r="D136" s="6">
        <v>109.923664122137</v>
      </c>
      <c r="E136">
        <f t="shared" ref="E136:E137" si="4">(D136-C136)/SQRT(6)</f>
        <v>1.8698394983078805</v>
      </c>
      <c r="F136">
        <f>C137-C136</f>
        <v>89.770992366411988</v>
      </c>
      <c r="G136">
        <f>SQRT(E136^2 +E137^2)</f>
        <v>3.8502351795173979</v>
      </c>
    </row>
    <row r="137" spans="1:7">
      <c r="A137" s="6"/>
      <c r="B137" s="6" t="s">
        <v>573</v>
      </c>
      <c r="C137" s="6">
        <v>195.11450381679299</v>
      </c>
      <c r="D137" s="6">
        <v>203.35877862595399</v>
      </c>
      <c r="E137">
        <f t="shared" si="4"/>
        <v>3.3657110969542683</v>
      </c>
      <c r="F137" s="6">
        <v>89.770992366411988</v>
      </c>
      <c r="G137" s="6">
        <v>3.8502351795173979</v>
      </c>
    </row>
    <row r="138" spans="1:7">
      <c r="A138" t="s">
        <v>1854</v>
      </c>
    </row>
    <row r="140" spans="1:7">
      <c r="A140" s="6" t="s">
        <v>1867</v>
      </c>
      <c r="B140" s="6"/>
      <c r="C140" s="6"/>
      <c r="D140" s="6"/>
      <c r="E140" s="6"/>
      <c r="F140" s="6"/>
      <c r="G140" s="6"/>
    </row>
    <row r="141" spans="1:7">
      <c r="A141" s="6" t="s">
        <v>675</v>
      </c>
      <c r="B141" s="6"/>
      <c r="C141" s="6" t="s">
        <v>623</v>
      </c>
      <c r="D141" t="s">
        <v>1812</v>
      </c>
      <c r="E141" s="6" t="s">
        <v>624</v>
      </c>
      <c r="F141" s="6" t="s">
        <v>666</v>
      </c>
      <c r="G141" s="6" t="s">
        <v>667</v>
      </c>
    </row>
    <row r="142" spans="1:7">
      <c r="A142" s="6"/>
      <c r="B142" s="6" t="s">
        <v>572</v>
      </c>
      <c r="C142" s="6">
        <v>6.55870445344129E-2</v>
      </c>
      <c r="D142" s="6">
        <v>8.5020242914979699E-2</v>
      </c>
      <c r="E142">
        <f t="shared" ref="E142:E143" si="5">(D142-C142)/SQRT(6)</f>
        <v>7.9335700171115076E-3</v>
      </c>
      <c r="F142">
        <f>C143-C142</f>
        <v>0.23198380566801613</v>
      </c>
      <c r="G142">
        <f>SQRT(E142^2 +E143^2)</f>
        <v>9.6276291097926476E-3</v>
      </c>
    </row>
    <row r="143" spans="1:7">
      <c r="A143" s="6"/>
      <c r="B143" s="6" t="s">
        <v>573</v>
      </c>
      <c r="C143" s="6">
        <v>0.29757085020242902</v>
      </c>
      <c r="D143" s="6">
        <v>0.31093117408906801</v>
      </c>
      <c r="E143">
        <f t="shared" si="5"/>
        <v>5.454329386763883E-3</v>
      </c>
      <c r="F143" s="6"/>
      <c r="G143" s="6"/>
    </row>
    <row r="144" spans="1:7">
      <c r="A144" s="6"/>
      <c r="B144" s="6"/>
      <c r="C144" s="6"/>
      <c r="D144" s="6"/>
      <c r="E144" s="6"/>
      <c r="F144" s="6"/>
      <c r="G144" s="6"/>
    </row>
    <row r="145" spans="1:7">
      <c r="A145" s="6"/>
      <c r="B145" s="6"/>
      <c r="C145" s="6"/>
      <c r="D145" s="6"/>
      <c r="E145" s="6"/>
      <c r="F145" s="6"/>
      <c r="G145" s="6"/>
    </row>
    <row r="146" spans="1:7">
      <c r="A146" s="6" t="s">
        <v>799</v>
      </c>
      <c r="B146" s="6"/>
      <c r="C146" s="6" t="s">
        <v>623</v>
      </c>
      <c r="D146" t="s">
        <v>1812</v>
      </c>
      <c r="E146" s="6" t="s">
        <v>624</v>
      </c>
      <c r="F146" s="6" t="s">
        <v>666</v>
      </c>
      <c r="G146" s="6" t="s">
        <v>667</v>
      </c>
    </row>
    <row r="147" spans="1:7">
      <c r="A147" s="6"/>
      <c r="B147" s="6" t="s">
        <v>572</v>
      </c>
      <c r="C147" s="6">
        <v>0.112955465587044</v>
      </c>
      <c r="D147" s="6">
        <v>0.120242914979757</v>
      </c>
      <c r="E147">
        <f t="shared" ref="E147:E148" si="6">(D147-C147)/SQRT(6)</f>
        <v>2.9750887564170001E-3</v>
      </c>
      <c r="F147">
        <f>C148-C147</f>
        <v>0.48218623481781403</v>
      </c>
      <c r="G147">
        <f>SQRT(E147^2 +E148^2)</f>
        <v>1.3230878249690837E-2</v>
      </c>
    </row>
    <row r="148" spans="1:7">
      <c r="A148" s="6"/>
      <c r="B148" s="6" t="s">
        <v>573</v>
      </c>
      <c r="C148" s="6">
        <v>0.59514170040485803</v>
      </c>
      <c r="D148" s="6">
        <v>0.62672064777327896</v>
      </c>
      <c r="E148">
        <f t="shared" si="6"/>
        <v>1.2892051277806151E-2</v>
      </c>
      <c r="F148" s="6"/>
      <c r="G148" s="6"/>
    </row>
    <row r="151" spans="1:7">
      <c r="A151" s="9" t="s">
        <v>830</v>
      </c>
    </row>
    <row r="153" spans="1:7">
      <c r="A153" s="6" t="s">
        <v>701</v>
      </c>
      <c r="B153" s="6"/>
      <c r="C153" s="6" t="s">
        <v>623</v>
      </c>
      <c r="D153" s="6" t="s">
        <v>1812</v>
      </c>
      <c r="E153" s="6" t="s">
        <v>624</v>
      </c>
      <c r="F153" s="6" t="s">
        <v>666</v>
      </c>
      <c r="G153" s="6" t="s">
        <v>667</v>
      </c>
    </row>
    <row r="154" spans="1:7">
      <c r="A154" s="6"/>
      <c r="B154" s="6" t="s">
        <v>572</v>
      </c>
      <c r="C154" s="6">
        <v>2.2756264236902002</v>
      </c>
      <c r="D154" s="6">
        <v>3.1412300683371299</v>
      </c>
      <c r="E154">
        <f>(D154-C154)/SQRT(6)</f>
        <v>0.35338120814639828</v>
      </c>
      <c r="F154">
        <f>C155-C154</f>
        <v>1.0205011389521599</v>
      </c>
      <c r="G154">
        <f>SQRT(E154^2 +E155^2)</f>
        <v>0.65863612138725969</v>
      </c>
    </row>
    <row r="155" spans="1:7">
      <c r="A155" s="6"/>
      <c r="B155" s="6" t="s">
        <v>573</v>
      </c>
      <c r="C155" s="6">
        <v>3.2961275626423601</v>
      </c>
      <c r="D155" s="6">
        <v>4.4077448747152603</v>
      </c>
      <c r="E155">
        <f>(D155-C155)/SQRT(4)</f>
        <v>0.55580865603645013</v>
      </c>
      <c r="F155" s="6">
        <v>1.0205011389521599</v>
      </c>
      <c r="G155" s="6">
        <v>0.65863612138725969</v>
      </c>
    </row>
    <row r="156" spans="1:7">
      <c r="A156" s="6"/>
      <c r="B156" s="6"/>
      <c r="C156" s="6"/>
      <c r="D156" s="6"/>
      <c r="E156" s="6"/>
      <c r="F156" s="6"/>
      <c r="G156" s="6"/>
    </row>
    <row r="157" spans="1:7">
      <c r="A157" s="6"/>
      <c r="B157" s="6"/>
      <c r="C157" s="6"/>
      <c r="D157" s="6"/>
      <c r="E157" s="6"/>
      <c r="F157" s="6"/>
      <c r="G157" s="6"/>
    </row>
    <row r="158" spans="1:7">
      <c r="A158" s="6" t="s">
        <v>808</v>
      </c>
      <c r="B158" s="6"/>
      <c r="C158" s="6" t="s">
        <v>623</v>
      </c>
      <c r="D158" s="6" t="s">
        <v>1812</v>
      </c>
      <c r="E158" s="6" t="s">
        <v>624</v>
      </c>
      <c r="F158" s="6" t="s">
        <v>666</v>
      </c>
      <c r="G158" s="6" t="s">
        <v>667</v>
      </c>
    </row>
    <row r="159" spans="1:7">
      <c r="A159" s="6"/>
      <c r="B159" s="6" t="s">
        <v>572</v>
      </c>
      <c r="C159" s="6">
        <v>2.2756264236902002</v>
      </c>
      <c r="D159" s="6">
        <v>3.1412300683371299</v>
      </c>
      <c r="E159">
        <f>(D159-C159)/SQRT(6)</f>
        <v>0.35338120814639828</v>
      </c>
      <c r="F159">
        <f>C160-C159</f>
        <v>-0.30068337129841027</v>
      </c>
      <c r="G159">
        <f>SQRT(E159^2 +E160^2)</f>
        <v>0.42292204268706812</v>
      </c>
    </row>
    <row r="160" spans="1:7">
      <c r="A160" s="6"/>
      <c r="B160" s="6" t="s">
        <v>573</v>
      </c>
      <c r="C160" s="6">
        <v>1.9749430523917899</v>
      </c>
      <c r="D160" s="6">
        <v>2.4396355353075099</v>
      </c>
      <c r="E160">
        <f>(D160-C160)/SQRT(4)</f>
        <v>0.23234624145785998</v>
      </c>
      <c r="F160" s="6">
        <v>-0.30068337129841027</v>
      </c>
      <c r="G160" s="6">
        <v>0.42292204268706812</v>
      </c>
    </row>
    <row r="163" spans="1:14">
      <c r="A163" s="9" t="s">
        <v>956</v>
      </c>
    </row>
    <row r="165" spans="1:14">
      <c r="A165" s="6" t="s">
        <v>1601</v>
      </c>
      <c r="B165" s="6"/>
      <c r="C165" s="6" t="s">
        <v>623</v>
      </c>
      <c r="D165" s="6" t="s">
        <v>665</v>
      </c>
      <c r="E165" s="6" t="s">
        <v>624</v>
      </c>
      <c r="F165" s="6" t="s">
        <v>666</v>
      </c>
      <c r="G165" s="6" t="s">
        <v>667</v>
      </c>
    </row>
    <row r="166" spans="1:14">
      <c r="A166" s="6"/>
      <c r="B166" s="6" t="s">
        <v>572</v>
      </c>
      <c r="C166" s="6">
        <v>123.630136986301</v>
      </c>
      <c r="D166" s="6">
        <v>125</v>
      </c>
      <c r="E166">
        <f>D166-C166</f>
        <v>1.3698630136990033</v>
      </c>
      <c r="F166">
        <f>C167-C166</f>
        <v>29.109589041096015</v>
      </c>
      <c r="G166">
        <f>SQRT(E166^2 +E167^2)</f>
        <v>1.7123287671236027</v>
      </c>
    </row>
    <row r="167" spans="1:14">
      <c r="A167" s="6"/>
      <c r="B167" s="6" t="s">
        <v>573</v>
      </c>
      <c r="C167" s="6">
        <v>152.73972602739701</v>
      </c>
      <c r="D167" s="6">
        <v>153.76712328767101</v>
      </c>
      <c r="E167">
        <f>D167-C167</f>
        <v>1.0273972602740002</v>
      </c>
      <c r="F167" s="6">
        <v>29.109589041096015</v>
      </c>
      <c r="G167" s="6">
        <v>1.7123287671236027</v>
      </c>
    </row>
    <row r="168" spans="1:14">
      <c r="A168" s="6"/>
      <c r="B168" s="6"/>
      <c r="C168" s="6"/>
      <c r="D168" s="6"/>
      <c r="E168" s="6"/>
      <c r="F168" s="6"/>
      <c r="G168" s="6"/>
    </row>
    <row r="169" spans="1:14">
      <c r="A169" s="6"/>
      <c r="B169" s="6"/>
      <c r="C169" s="6"/>
      <c r="D169" s="6"/>
      <c r="E169" s="6"/>
      <c r="F169" s="6"/>
      <c r="G169" s="6"/>
    </row>
    <row r="170" spans="1:14">
      <c r="A170" s="6" t="s">
        <v>957</v>
      </c>
      <c r="B170" s="6"/>
      <c r="C170" s="6" t="s">
        <v>623</v>
      </c>
      <c r="D170" s="6" t="s">
        <v>665</v>
      </c>
      <c r="E170" s="6" t="s">
        <v>624</v>
      </c>
      <c r="F170" s="6" t="s">
        <v>666</v>
      </c>
      <c r="G170" s="6" t="s">
        <v>667</v>
      </c>
    </row>
    <row r="171" spans="1:14">
      <c r="A171" s="6"/>
      <c r="B171" s="6" t="s">
        <v>572</v>
      </c>
      <c r="C171" s="6">
        <v>122.945205479452</v>
      </c>
      <c r="D171" s="6">
        <v>124.657534246575</v>
      </c>
      <c r="E171">
        <f>D171-C171</f>
        <v>1.7123287671229974</v>
      </c>
      <c r="F171">
        <f>C172-C171</f>
        <v>30.479452054793995</v>
      </c>
      <c r="G171">
        <f>SQRT(E171^2 +E172^2)</f>
        <v>2.9460018037818907</v>
      </c>
    </row>
    <row r="172" spans="1:14">
      <c r="A172" s="6"/>
      <c r="B172" s="6" t="s">
        <v>573</v>
      </c>
      <c r="C172" s="6">
        <v>153.42465753424599</v>
      </c>
      <c r="D172" s="6">
        <v>155.82191780821901</v>
      </c>
      <c r="E172">
        <f>D172-C172</f>
        <v>2.3972602739730178</v>
      </c>
      <c r="F172" s="6">
        <v>30.479452054793995</v>
      </c>
      <c r="G172" s="6">
        <v>2.9460018037818907</v>
      </c>
    </row>
    <row r="175" spans="1:14">
      <c r="A175" t="s">
        <v>1302</v>
      </c>
      <c r="I175" t="s">
        <v>1879</v>
      </c>
    </row>
    <row r="176" spans="1:14">
      <c r="A176" t="s">
        <v>1298</v>
      </c>
      <c r="C176" s="6" t="s">
        <v>623</v>
      </c>
      <c r="D176" s="6" t="s">
        <v>665</v>
      </c>
      <c r="E176" s="6" t="s">
        <v>624</v>
      </c>
      <c r="F176" s="6" t="s">
        <v>666</v>
      </c>
      <c r="G176" s="6" t="s">
        <v>667</v>
      </c>
      <c r="I176" t="s">
        <v>1298</v>
      </c>
      <c r="K176" s="6" t="s">
        <v>623</v>
      </c>
      <c r="L176" s="6" t="s">
        <v>624</v>
      </c>
      <c r="M176" s="6" t="s">
        <v>666</v>
      </c>
      <c r="N176" s="6" t="s">
        <v>667</v>
      </c>
    </row>
    <row r="177" spans="1:21">
      <c r="A177" t="s">
        <v>1295</v>
      </c>
      <c r="B177" t="s">
        <v>572</v>
      </c>
      <c r="C177" s="6">
        <v>111.610738255033</v>
      </c>
      <c r="D177" s="6">
        <v>114.429530201342</v>
      </c>
      <c r="E177">
        <f>D177-C177</f>
        <v>2.8187919463090054</v>
      </c>
      <c r="F177">
        <f>C178-C177</f>
        <v>46.510067114093999</v>
      </c>
      <c r="G177">
        <f>SQRT(E177^2 +E178^2)</f>
        <v>3.151505203187714</v>
      </c>
      <c r="I177" t="s">
        <v>1295</v>
      </c>
      <c r="J177" t="s">
        <v>572</v>
      </c>
      <c r="K177">
        <v>0.30182481751824802</v>
      </c>
      <c r="L177">
        <v>8.759124087590997E-3</v>
      </c>
      <c r="M177">
        <f>K178-K177</f>
        <v>2.919708029196999E-3</v>
      </c>
      <c r="N177">
        <f>SQRT(L177^2 +L178^2)</f>
        <v>1.3459188988748724E-2</v>
      </c>
    </row>
    <row r="178" spans="1:21">
      <c r="B178" t="s">
        <v>573</v>
      </c>
      <c r="C178">
        <v>158.120805369127</v>
      </c>
      <c r="D178">
        <v>159.530201342281</v>
      </c>
      <c r="E178">
        <f>D178-C178</f>
        <v>1.4093959731540053</v>
      </c>
      <c r="F178">
        <v>46.510067114093999</v>
      </c>
      <c r="G178">
        <v>3.151505203187714</v>
      </c>
      <c r="J178" t="s">
        <v>573</v>
      </c>
      <c r="K178">
        <v>0.30474452554744502</v>
      </c>
      <c r="L178">
        <v>1.0218978102189968E-2</v>
      </c>
    </row>
    <row r="181" spans="1:21">
      <c r="A181" t="s">
        <v>1296</v>
      </c>
      <c r="C181" s="6" t="s">
        <v>623</v>
      </c>
      <c r="D181" s="6" t="s">
        <v>665</v>
      </c>
      <c r="E181" s="6" t="s">
        <v>624</v>
      </c>
      <c r="F181" s="6" t="s">
        <v>666</v>
      </c>
      <c r="G181" s="6" t="s">
        <v>667</v>
      </c>
      <c r="I181" t="s">
        <v>1296</v>
      </c>
      <c r="K181" s="6" t="s">
        <v>623</v>
      </c>
      <c r="L181" s="6" t="s">
        <v>624</v>
      </c>
      <c r="M181" s="6" t="s">
        <v>666</v>
      </c>
      <c r="N181" s="6" t="s">
        <v>667</v>
      </c>
    </row>
    <row r="182" spans="1:21">
      <c r="B182" t="s">
        <v>572</v>
      </c>
      <c r="C182" s="6">
        <v>111.610738255033</v>
      </c>
      <c r="D182" s="6">
        <v>113.489932885906</v>
      </c>
      <c r="E182">
        <f>D182-C182</f>
        <v>1.8791946308730019</v>
      </c>
      <c r="F182">
        <f>C183-C182</f>
        <v>37.114093959732003</v>
      </c>
      <c r="G182">
        <f>SQRT(E182^2 +E183^2)</f>
        <v>2.3489932885908047</v>
      </c>
      <c r="J182" t="s">
        <v>572</v>
      </c>
      <c r="K182">
        <v>0.23102189781021801</v>
      </c>
      <c r="L182">
        <v>6.5693430656939833E-3</v>
      </c>
      <c r="M182">
        <f>K183-K182</f>
        <v>4.3795620437959981E-3</v>
      </c>
      <c r="N182">
        <f>SQRT(L182^2 +L183^2)</f>
        <v>9.8201635380105977E-3</v>
      </c>
    </row>
    <row r="183" spans="1:21">
      <c r="B183" t="s">
        <v>573</v>
      </c>
      <c r="C183">
        <v>148.724832214765</v>
      </c>
      <c r="D183">
        <v>150.13422818791901</v>
      </c>
      <c r="E183">
        <f>D183-C183</f>
        <v>1.4093959731540053</v>
      </c>
      <c r="F183">
        <v>37.114093959732003</v>
      </c>
      <c r="G183">
        <v>2.3489932885908047</v>
      </c>
      <c r="J183" t="s">
        <v>573</v>
      </c>
      <c r="K183">
        <v>0.23540145985401401</v>
      </c>
      <c r="L183">
        <v>7.2992700729929971E-3</v>
      </c>
    </row>
    <row r="186" spans="1:21">
      <c r="A186" t="s">
        <v>1297</v>
      </c>
      <c r="C186" s="6" t="s">
        <v>623</v>
      </c>
      <c r="D186" s="6" t="s">
        <v>665</v>
      </c>
      <c r="E186" s="6" t="s">
        <v>624</v>
      </c>
      <c r="F186" s="6" t="s">
        <v>666</v>
      </c>
      <c r="G186" s="6" t="s">
        <v>667</v>
      </c>
      <c r="I186" t="s">
        <v>1297</v>
      </c>
      <c r="K186" s="6" t="s">
        <v>623</v>
      </c>
      <c r="L186" s="6" t="s">
        <v>624</v>
      </c>
      <c r="M186" s="6" t="s">
        <v>666</v>
      </c>
      <c r="N186" s="6" t="s">
        <v>667</v>
      </c>
    </row>
    <row r="187" spans="1:21">
      <c r="A187" t="s">
        <v>1295</v>
      </c>
      <c r="B187" t="s">
        <v>572</v>
      </c>
      <c r="C187" s="6">
        <v>100.805369127516</v>
      </c>
      <c r="D187" s="6">
        <v>103.15436241610701</v>
      </c>
      <c r="E187">
        <f>D187-C187</f>
        <v>2.3489932885910036</v>
      </c>
      <c r="F187">
        <f>C188-C187</f>
        <v>41.342281879194985</v>
      </c>
      <c r="G187">
        <f>SQRT(E187^2 +E188^2)</f>
        <v>3.0081791719483326</v>
      </c>
      <c r="I187" t="s">
        <v>1295</v>
      </c>
      <c r="J187" t="s">
        <v>572</v>
      </c>
      <c r="K187" s="6">
        <v>0.25656934300000001</v>
      </c>
      <c r="L187" s="6">
        <v>7.2992700000000001E-3</v>
      </c>
      <c r="M187">
        <f>K188-K187</f>
        <v>4.3795620000000035E-3</v>
      </c>
      <c r="N187">
        <f>SQRT(L187^2 +L188^2)</f>
        <v>8.9098945209256548E-3</v>
      </c>
      <c r="P187" s="6"/>
      <c r="Q187" s="6"/>
      <c r="R187" s="6"/>
      <c r="S187" s="6"/>
      <c r="T187" s="6"/>
      <c r="U187" s="6"/>
    </row>
    <row r="188" spans="1:21">
      <c r="B188" t="s">
        <v>573</v>
      </c>
      <c r="C188">
        <v>142.14765100671099</v>
      </c>
      <c r="D188">
        <v>144.02684563758299</v>
      </c>
      <c r="E188">
        <f>D188-C188</f>
        <v>1.8791946308720071</v>
      </c>
      <c r="F188">
        <v>41.342281879194985</v>
      </c>
      <c r="G188">
        <v>3.0081791719483326</v>
      </c>
      <c r="J188" t="s">
        <v>573</v>
      </c>
      <c r="K188" s="6">
        <v>0.26094890500000001</v>
      </c>
      <c r="L188" s="6">
        <v>5.109489E-3</v>
      </c>
      <c r="P188" s="6"/>
      <c r="Q188" s="6"/>
      <c r="R188" s="6"/>
      <c r="S188" s="6"/>
      <c r="T188" s="6"/>
      <c r="U188" s="6"/>
    </row>
    <row r="189" spans="1:21">
      <c r="P189" s="6"/>
      <c r="Q189" s="6"/>
      <c r="R189" s="6"/>
      <c r="S189" s="6"/>
      <c r="T189" s="6"/>
      <c r="U189" s="6"/>
    </row>
    <row r="190" spans="1:21">
      <c r="P190" s="6"/>
      <c r="Q190" s="6"/>
      <c r="R190" s="6"/>
      <c r="S190" s="6"/>
      <c r="T190" s="6"/>
      <c r="U190" s="6"/>
    </row>
    <row r="191" spans="1:21">
      <c r="A191" t="s">
        <v>1296</v>
      </c>
      <c r="C191" s="6" t="s">
        <v>623</v>
      </c>
      <c r="D191" s="6" t="s">
        <v>665</v>
      </c>
      <c r="E191" s="6" t="s">
        <v>624</v>
      </c>
      <c r="F191" s="6" t="s">
        <v>666</v>
      </c>
      <c r="G191" s="6" t="s">
        <v>667</v>
      </c>
      <c r="I191" t="s">
        <v>1296</v>
      </c>
      <c r="K191" s="6" t="s">
        <v>623</v>
      </c>
      <c r="L191" s="6" t="s">
        <v>624</v>
      </c>
      <c r="M191" s="6" t="s">
        <v>666</v>
      </c>
      <c r="N191" s="6" t="s">
        <v>667</v>
      </c>
    </row>
    <row r="192" spans="1:21">
      <c r="B192" t="s">
        <v>572</v>
      </c>
      <c r="C192" s="6">
        <v>104.09395973154299</v>
      </c>
      <c r="D192" s="6">
        <v>106.442953020134</v>
      </c>
      <c r="E192">
        <f>D192-C192</f>
        <v>2.3489932885910036</v>
      </c>
      <c r="F192">
        <f>C193-C192</f>
        <v>31.006711409396004</v>
      </c>
      <c r="G192">
        <f>SQRT(E192^2 +E193^2)</f>
        <v>3.0081791719489543</v>
      </c>
      <c r="J192" t="s">
        <v>572</v>
      </c>
      <c r="K192" s="6">
        <v>0.23905109499999999</v>
      </c>
      <c r="L192" s="6">
        <v>6.5693399999999999E-3</v>
      </c>
      <c r="M192">
        <f>K193-K192</f>
        <v>-1.5328466999999985E-2</v>
      </c>
      <c r="N192">
        <f>SQRT(L192^2 +L193^2)</f>
        <v>8.7894854213429359E-3</v>
      </c>
    </row>
    <row r="193" spans="1:14">
      <c r="B193" t="s">
        <v>573</v>
      </c>
      <c r="C193">
        <v>135.100671140939</v>
      </c>
      <c r="D193">
        <v>136.979865771812</v>
      </c>
      <c r="E193">
        <f>D193-C193</f>
        <v>1.8791946308730019</v>
      </c>
      <c r="F193">
        <v>31.006711409396004</v>
      </c>
      <c r="G193">
        <v>3.0081791719489543</v>
      </c>
      <c r="J193" t="s">
        <v>573</v>
      </c>
      <c r="K193" s="6">
        <v>0.22372262800000001</v>
      </c>
      <c r="L193" s="6">
        <v>5.8394199999999997E-3</v>
      </c>
    </row>
    <row r="196" spans="1:14">
      <c r="A196" s="6" t="s">
        <v>1299</v>
      </c>
      <c r="B196" s="6"/>
      <c r="C196" s="6" t="s">
        <v>623</v>
      </c>
      <c r="D196" s="6" t="s">
        <v>665</v>
      </c>
      <c r="E196" s="6" t="s">
        <v>624</v>
      </c>
      <c r="F196" s="6" t="s">
        <v>666</v>
      </c>
      <c r="G196" s="6" t="s">
        <v>667</v>
      </c>
      <c r="I196" s="6" t="s">
        <v>1299</v>
      </c>
      <c r="J196" s="6"/>
      <c r="K196" s="6" t="s">
        <v>623</v>
      </c>
      <c r="L196" s="6" t="s">
        <v>624</v>
      </c>
      <c r="M196" s="6" t="s">
        <v>666</v>
      </c>
      <c r="N196" s="6" t="s">
        <v>667</v>
      </c>
    </row>
    <row r="197" spans="1:14">
      <c r="A197" s="6" t="s">
        <v>1295</v>
      </c>
      <c r="B197" s="6" t="s">
        <v>572</v>
      </c>
      <c r="C197" s="6">
        <v>95.167785234899299</v>
      </c>
      <c r="D197" s="6">
        <v>97.046979865771803</v>
      </c>
      <c r="E197">
        <f>D197-C197</f>
        <v>1.8791946308725045</v>
      </c>
      <c r="F197">
        <f>C198-C197</f>
        <v>43.69127516778471</v>
      </c>
      <c r="G197">
        <f>SQRT(E197^2 +E198^2)</f>
        <v>2.6575825333189496</v>
      </c>
      <c r="I197" s="6" t="s">
        <v>1295</v>
      </c>
      <c r="J197" s="6" t="s">
        <v>572</v>
      </c>
      <c r="K197">
        <v>0.25802919708029098</v>
      </c>
      <c r="L197">
        <v>5.1094890510950397E-3</v>
      </c>
      <c r="M197">
        <f>K198-K197</f>
        <v>7.2992700729930249E-3</v>
      </c>
      <c r="N197">
        <f>SQRT(L197^2 +L198^2)</f>
        <v>7.2259087128554019E-3</v>
      </c>
    </row>
    <row r="198" spans="1:14">
      <c r="A198" s="6"/>
      <c r="B198" s="6" t="s">
        <v>573</v>
      </c>
      <c r="C198" s="6">
        <v>138.85906040268401</v>
      </c>
      <c r="D198" s="6">
        <v>140.73825503355701</v>
      </c>
      <c r="E198">
        <f>D198-C198</f>
        <v>1.8791946308730019</v>
      </c>
      <c r="F198">
        <v>43.69127516778471</v>
      </c>
      <c r="G198">
        <v>2.6575825333189496</v>
      </c>
      <c r="I198" s="6"/>
      <c r="J198" s="6" t="s">
        <v>573</v>
      </c>
      <c r="K198">
        <v>0.26532846715328401</v>
      </c>
      <c r="L198">
        <v>5.1094890510949842E-3</v>
      </c>
    </row>
    <row r="199" spans="1:14">
      <c r="A199" s="6"/>
      <c r="B199" s="6"/>
      <c r="C199" s="6"/>
      <c r="D199" s="6"/>
      <c r="E199" s="6"/>
      <c r="F199" s="6"/>
      <c r="G199" s="6"/>
      <c r="I199" s="6"/>
      <c r="J199" s="6"/>
      <c r="K199" s="6"/>
      <c r="L199" s="6"/>
      <c r="M199" s="6"/>
      <c r="N199" s="6"/>
    </row>
    <row r="200" spans="1:14">
      <c r="A200" s="6"/>
      <c r="B200" s="6"/>
      <c r="C200" s="6"/>
      <c r="D200" s="6"/>
      <c r="E200" s="6"/>
      <c r="F200" s="6"/>
      <c r="G200" s="6"/>
      <c r="I200" s="6"/>
      <c r="J200" s="6"/>
      <c r="K200" s="6"/>
      <c r="L200" s="6"/>
      <c r="M200" s="6"/>
      <c r="N200" s="6"/>
    </row>
    <row r="201" spans="1:14">
      <c r="A201" s="6" t="s">
        <v>1296</v>
      </c>
      <c r="B201" s="6"/>
      <c r="C201" s="6" t="s">
        <v>623</v>
      </c>
      <c r="D201" s="6" t="s">
        <v>665</v>
      </c>
      <c r="E201" s="6" t="s">
        <v>624</v>
      </c>
      <c r="F201" s="6" t="s">
        <v>666</v>
      </c>
      <c r="G201" s="6" t="s">
        <v>667</v>
      </c>
      <c r="I201" s="6" t="s">
        <v>1296</v>
      </c>
      <c r="J201" s="6"/>
      <c r="K201" s="6" t="s">
        <v>623</v>
      </c>
      <c r="L201" s="6" t="s">
        <v>624</v>
      </c>
      <c r="M201" s="6" t="s">
        <v>666</v>
      </c>
      <c r="N201" s="6" t="s">
        <v>667</v>
      </c>
    </row>
    <row r="202" spans="1:14">
      <c r="A202" s="6"/>
      <c r="B202" s="6" t="s">
        <v>572</v>
      </c>
      <c r="C202" s="6">
        <v>94.697986577181197</v>
      </c>
      <c r="D202" s="6">
        <v>98.456375838926107</v>
      </c>
      <c r="E202">
        <f>D202-C202</f>
        <v>3.7583892617449095</v>
      </c>
      <c r="F202">
        <f>C203-C202</f>
        <v>32.885906040267798</v>
      </c>
      <c r="G202">
        <f>SQRT(E202^2 +E203^2)</f>
        <v>5.6571249699023145</v>
      </c>
      <c r="I202" s="6"/>
      <c r="J202" s="6" t="s">
        <v>572</v>
      </c>
      <c r="K202">
        <v>0.23394160583941601</v>
      </c>
      <c r="L202">
        <v>5.839416058393998E-3</v>
      </c>
      <c r="M202">
        <f>K203-K202</f>
        <v>7.2992700729898607E-4</v>
      </c>
      <c r="N202">
        <f>SQRT(L202^2 +L203^2)</f>
        <v>7.2992700729921974E-3</v>
      </c>
    </row>
    <row r="203" spans="1:14">
      <c r="A203" s="6"/>
      <c r="B203" s="6" t="s">
        <v>573</v>
      </c>
      <c r="C203" s="6">
        <v>127.583892617449</v>
      </c>
      <c r="D203" s="6">
        <v>131.81208053691199</v>
      </c>
      <c r="E203">
        <f>D203-C203</f>
        <v>4.2281879194629965</v>
      </c>
      <c r="F203">
        <v>32.885906040267798</v>
      </c>
      <c r="G203">
        <v>5.6571249699023145</v>
      </c>
      <c r="I203" s="6"/>
      <c r="J203" s="6" t="s">
        <v>573</v>
      </c>
      <c r="K203">
        <v>0.23467153284671499</v>
      </c>
      <c r="L203">
        <v>4.3795620437949989E-3</v>
      </c>
    </row>
    <row r="206" spans="1:14">
      <c r="A206" s="6" t="s">
        <v>1300</v>
      </c>
      <c r="B206" s="6"/>
      <c r="C206" s="6" t="s">
        <v>623</v>
      </c>
      <c r="D206" s="6" t="s">
        <v>665</v>
      </c>
      <c r="E206" s="6" t="s">
        <v>624</v>
      </c>
      <c r="F206" s="6" t="s">
        <v>666</v>
      </c>
      <c r="G206" s="6" t="s">
        <v>667</v>
      </c>
      <c r="I206" s="6" t="s">
        <v>1300</v>
      </c>
      <c r="J206" s="6"/>
      <c r="K206" s="6" t="s">
        <v>623</v>
      </c>
      <c r="L206" s="6" t="s">
        <v>624</v>
      </c>
      <c r="M206" s="6" t="s">
        <v>666</v>
      </c>
      <c r="N206" s="6" t="s">
        <v>667</v>
      </c>
    </row>
    <row r="207" spans="1:14">
      <c r="A207" s="6" t="s">
        <v>1295</v>
      </c>
      <c r="B207" s="6" t="s">
        <v>572</v>
      </c>
      <c r="C207" s="6">
        <v>100.805369127516</v>
      </c>
      <c r="D207" s="6">
        <v>102.684563758389</v>
      </c>
      <c r="E207">
        <f>D207-C207</f>
        <v>1.8791946308730019</v>
      </c>
      <c r="F207">
        <f>C208-C207</f>
        <v>42.75167785234899</v>
      </c>
      <c r="G207">
        <f>SQRT(E207^2 +E208^2)</f>
        <v>2.6575825333193013</v>
      </c>
      <c r="I207" s="6" t="s">
        <v>1295</v>
      </c>
      <c r="J207" s="6" t="s">
        <v>572</v>
      </c>
      <c r="K207">
        <v>0.23912466843501301</v>
      </c>
      <c r="L207">
        <v>3.9787798408489894E-3</v>
      </c>
      <c r="M207">
        <f>K208-K207</f>
        <v>5.9681697612729845E-3</v>
      </c>
      <c r="N207">
        <f>SQRT(L207^2 +L208^2)</f>
        <v>4.8567197410081565E-3</v>
      </c>
    </row>
    <row r="208" spans="1:14">
      <c r="A208" s="6"/>
      <c r="B208" s="6" t="s">
        <v>573</v>
      </c>
      <c r="C208" s="6">
        <v>143.55704697986499</v>
      </c>
      <c r="D208" s="6">
        <v>145.43624161073799</v>
      </c>
      <c r="E208">
        <f>D208-C208</f>
        <v>1.8791946308730019</v>
      </c>
      <c r="F208">
        <v>42.75167785234899</v>
      </c>
      <c r="G208">
        <v>2.6575825333193013</v>
      </c>
      <c r="I208" s="6"/>
      <c r="J208" s="6" t="s">
        <v>573</v>
      </c>
      <c r="K208">
        <v>0.24509283819628599</v>
      </c>
      <c r="L208">
        <v>2.7851458885939928E-3</v>
      </c>
    </row>
    <row r="209" spans="1:14">
      <c r="A209" s="6"/>
      <c r="B209" s="6"/>
      <c r="C209" s="6"/>
      <c r="D209" s="6"/>
      <c r="E209" s="6"/>
      <c r="F209" s="6"/>
      <c r="G209" s="6"/>
      <c r="I209" s="6"/>
      <c r="J209" s="6"/>
      <c r="K209" s="6"/>
      <c r="L209" s="6"/>
      <c r="M209" s="6"/>
      <c r="N209" s="6"/>
    </row>
    <row r="210" spans="1:14">
      <c r="A210" s="6"/>
      <c r="B210" s="6"/>
      <c r="C210" s="6"/>
      <c r="D210" s="6"/>
      <c r="E210" s="6"/>
      <c r="F210" s="6"/>
      <c r="G210" s="6"/>
      <c r="I210" s="6"/>
      <c r="J210" s="6"/>
      <c r="K210" s="6"/>
      <c r="L210" s="6"/>
      <c r="M210" s="6"/>
      <c r="N210" s="6"/>
    </row>
    <row r="211" spans="1:14">
      <c r="A211" s="6" t="s">
        <v>1296</v>
      </c>
      <c r="B211" s="6"/>
      <c r="C211" s="6" t="s">
        <v>623</v>
      </c>
      <c r="D211" s="6" t="s">
        <v>665</v>
      </c>
      <c r="E211" s="6" t="s">
        <v>624</v>
      </c>
      <c r="F211" s="6" t="s">
        <v>666</v>
      </c>
      <c r="G211" s="6" t="s">
        <v>667</v>
      </c>
      <c r="I211" s="6" t="s">
        <v>1296</v>
      </c>
      <c r="J211" s="6"/>
      <c r="K211" s="6" t="s">
        <v>623</v>
      </c>
      <c r="L211" s="6" t="s">
        <v>624</v>
      </c>
      <c r="M211" s="6" t="s">
        <v>666</v>
      </c>
      <c r="N211" s="6" t="s">
        <v>667</v>
      </c>
    </row>
    <row r="212" spans="1:14">
      <c r="A212" s="6"/>
      <c r="B212" s="6" t="s">
        <v>572</v>
      </c>
      <c r="C212" s="6">
        <v>98.926174496644293</v>
      </c>
      <c r="D212" s="6">
        <v>100.805369127516</v>
      </c>
      <c r="E212">
        <f>D212-C212</f>
        <v>1.8791946308717087</v>
      </c>
      <c r="F212">
        <f>C213-C212</f>
        <v>32.885906040267699</v>
      </c>
      <c r="G212">
        <f>SQRT(E212^2 +E213^2)</f>
        <v>2.6575825333183869</v>
      </c>
      <c r="I212" s="6"/>
      <c r="J212" s="6" t="s">
        <v>572</v>
      </c>
      <c r="K212">
        <v>0.21883289124668401</v>
      </c>
      <c r="L212">
        <v>5.9681697612729845E-3</v>
      </c>
      <c r="M212">
        <f>K213-K212</f>
        <v>-7.9575596816980065E-3</v>
      </c>
      <c r="N212">
        <f>SQRT(L212^2 +L213^2)</f>
        <v>7.1728473649813251E-3</v>
      </c>
    </row>
    <row r="213" spans="1:14">
      <c r="A213" s="6"/>
      <c r="B213" s="6" t="s">
        <v>573</v>
      </c>
      <c r="C213" s="6">
        <v>131.81208053691199</v>
      </c>
      <c r="D213" s="6">
        <v>133.69127516778499</v>
      </c>
      <c r="E213">
        <f>D213-C213</f>
        <v>1.8791946308730019</v>
      </c>
      <c r="F213">
        <v>32.885906040267699</v>
      </c>
      <c r="G213">
        <v>2.6575825333183869</v>
      </c>
      <c r="I213" s="6"/>
      <c r="J213" s="6" t="s">
        <v>573</v>
      </c>
      <c r="K213">
        <v>0.210875331564986</v>
      </c>
      <c r="L213">
        <v>3.9787798408489894E-3</v>
      </c>
    </row>
    <row r="216" spans="1:14">
      <c r="A216" s="6" t="s">
        <v>1301</v>
      </c>
      <c r="B216" s="6"/>
      <c r="C216" s="6" t="s">
        <v>623</v>
      </c>
      <c r="D216" s="6" t="s">
        <v>665</v>
      </c>
      <c r="E216" s="6" t="s">
        <v>624</v>
      </c>
      <c r="F216" s="6" t="s">
        <v>666</v>
      </c>
      <c r="G216" s="6" t="s">
        <v>667</v>
      </c>
    </row>
    <row r="217" spans="1:14">
      <c r="A217" s="6" t="s">
        <v>1295</v>
      </c>
      <c r="B217" s="6" t="s">
        <v>572</v>
      </c>
      <c r="C217" s="6">
        <v>103.15436241610701</v>
      </c>
      <c r="D217" s="6">
        <v>105.973154362416</v>
      </c>
      <c r="E217">
        <f>D217-C217</f>
        <v>2.8187919463089912</v>
      </c>
      <c r="F217">
        <f>C218-C217</f>
        <v>14.09395973154399</v>
      </c>
      <c r="G217">
        <f>SQRT(E217^2 +E218^2)</f>
        <v>3.3877662990936388</v>
      </c>
    </row>
    <row r="218" spans="1:14">
      <c r="A218" s="6"/>
      <c r="B218" s="6" t="s">
        <v>573</v>
      </c>
      <c r="C218" s="6">
        <v>117.248322147651</v>
      </c>
      <c r="D218" s="6">
        <v>119.127516778523</v>
      </c>
      <c r="E218">
        <f>D218-C218</f>
        <v>1.8791946308720071</v>
      </c>
      <c r="F218">
        <v>14.09395973154399</v>
      </c>
      <c r="G218">
        <v>3.3877662990936388</v>
      </c>
    </row>
    <row r="219" spans="1:14">
      <c r="A219" s="6"/>
      <c r="B219" s="6"/>
      <c r="C219" s="6"/>
      <c r="D219" s="6"/>
      <c r="E219" s="6"/>
      <c r="F219" s="6"/>
      <c r="G219" s="6"/>
    </row>
    <row r="220" spans="1:14">
      <c r="A220" s="6"/>
      <c r="B220" s="6"/>
      <c r="C220" s="6"/>
      <c r="D220" s="6"/>
      <c r="E220" s="6"/>
      <c r="F220" s="6"/>
      <c r="G220" s="6"/>
    </row>
    <row r="221" spans="1:14">
      <c r="A221" s="6" t="s">
        <v>1296</v>
      </c>
      <c r="B221" s="6"/>
      <c r="C221" s="6" t="s">
        <v>623</v>
      </c>
      <c r="D221" s="6" t="s">
        <v>665</v>
      </c>
      <c r="E221" s="6" t="s">
        <v>624</v>
      </c>
      <c r="F221" s="6" t="s">
        <v>666</v>
      </c>
      <c r="G221" s="6" t="s">
        <v>667</v>
      </c>
    </row>
    <row r="222" spans="1:14">
      <c r="A222" s="6"/>
      <c r="B222" s="6" t="s">
        <v>572</v>
      </c>
      <c r="C222" s="6">
        <v>99.865771812080496</v>
      </c>
      <c r="D222" s="6">
        <v>102.214765100671</v>
      </c>
      <c r="E222">
        <f>D222-C222</f>
        <v>2.3489932885905063</v>
      </c>
      <c r="F222">
        <f>C223-C222</f>
        <v>15.973154362415499</v>
      </c>
      <c r="G222">
        <f>SQRT(E222^2 +E223^2)</f>
        <v>3.0081791719485658</v>
      </c>
    </row>
    <row r="223" spans="1:14">
      <c r="A223" s="6"/>
      <c r="B223" s="6" t="s">
        <v>573</v>
      </c>
      <c r="C223" s="6">
        <v>115.838926174496</v>
      </c>
      <c r="D223" s="6">
        <v>117.718120805369</v>
      </c>
      <c r="E223">
        <f>D223-C223</f>
        <v>1.8791946308730019</v>
      </c>
      <c r="F223">
        <v>15.973154362415499</v>
      </c>
      <c r="G223">
        <v>3.0081791719485658</v>
      </c>
    </row>
    <row r="226" spans="1:7">
      <c r="A226" s="9" t="s">
        <v>971</v>
      </c>
    </row>
    <row r="228" spans="1:7">
      <c r="A228" s="6" t="s">
        <v>972</v>
      </c>
      <c r="B228" s="6"/>
      <c r="C228" s="6" t="s">
        <v>623</v>
      </c>
      <c r="D228" s="6" t="s">
        <v>665</v>
      </c>
      <c r="E228" s="6" t="s">
        <v>624</v>
      </c>
      <c r="F228" s="6" t="s">
        <v>666</v>
      </c>
      <c r="G228" s="6" t="s">
        <v>667</v>
      </c>
    </row>
    <row r="229" spans="1:7">
      <c r="A229" s="6"/>
      <c r="B229" s="6" t="s">
        <v>572</v>
      </c>
      <c r="C229" s="6">
        <v>71.299734748010593</v>
      </c>
      <c r="D229" s="6">
        <v>72.9973474801061</v>
      </c>
      <c r="E229">
        <f>D229-C229</f>
        <v>1.6976127320955072</v>
      </c>
      <c r="F229">
        <f>C230-C229</f>
        <v>-9.5490716180371962</v>
      </c>
      <c r="G229">
        <f>SQRT(E229^2 +E230^2)</f>
        <v>18.328125522919279</v>
      </c>
    </row>
    <row r="230" spans="1:7">
      <c r="A230" s="6"/>
      <c r="B230" s="6" t="s">
        <v>573</v>
      </c>
      <c r="C230" s="6">
        <v>61.750663129973397</v>
      </c>
      <c r="D230" s="6">
        <v>80</v>
      </c>
      <c r="E230">
        <f>D230-C230</f>
        <v>18.249336870026603</v>
      </c>
      <c r="F230" s="6">
        <v>-9.5490716180371962</v>
      </c>
      <c r="G230" s="6">
        <v>18.328125522919279</v>
      </c>
    </row>
    <row r="231" spans="1:7">
      <c r="A231" s="6"/>
      <c r="B231" s="6"/>
      <c r="C231" s="6"/>
      <c r="D231" s="6"/>
      <c r="E231" s="6"/>
      <c r="F231" s="6"/>
      <c r="G231" s="6"/>
    </row>
    <row r="232" spans="1:7">
      <c r="A232" s="6"/>
      <c r="B232" s="6"/>
      <c r="C232" s="6"/>
      <c r="D232" s="6"/>
      <c r="E232" s="6"/>
      <c r="F232" s="6"/>
      <c r="G232" s="6"/>
    </row>
    <row r="233" spans="1:7">
      <c r="A233" s="6" t="s">
        <v>973</v>
      </c>
      <c r="B233" s="6"/>
      <c r="C233" s="6" t="s">
        <v>623</v>
      </c>
      <c r="D233" s="6" t="s">
        <v>665</v>
      </c>
      <c r="E233" s="6" t="s">
        <v>624</v>
      </c>
      <c r="F233" s="6" t="s">
        <v>666</v>
      </c>
      <c r="G233" s="6" t="s">
        <v>667</v>
      </c>
    </row>
    <row r="234" spans="1:7">
      <c r="A234" s="6"/>
      <c r="B234" s="6" t="s">
        <v>572</v>
      </c>
      <c r="C234" s="6">
        <v>74.058355437665796</v>
      </c>
      <c r="D234" s="6">
        <v>78.726790450928306</v>
      </c>
      <c r="E234">
        <f>D234-C234</f>
        <v>4.6684350132625099</v>
      </c>
      <c r="F234">
        <f>C235-C234</f>
        <v>2.1220159151193059</v>
      </c>
      <c r="G234">
        <f>SQRT(E234^2 +E235^2)</f>
        <v>7.0666634717651116</v>
      </c>
    </row>
    <row r="235" spans="1:7">
      <c r="A235" s="6"/>
      <c r="B235" s="6" t="s">
        <v>573</v>
      </c>
      <c r="C235" s="6">
        <v>76.180371352785102</v>
      </c>
      <c r="D235" s="6">
        <v>81.485411140583494</v>
      </c>
      <c r="E235">
        <f>D235-C235</f>
        <v>5.3050397877983926</v>
      </c>
      <c r="F235" s="6">
        <v>2.1220159151193059</v>
      </c>
      <c r="G235" s="6">
        <v>7.0666634717651116</v>
      </c>
    </row>
    <row r="238" spans="1:7">
      <c r="A238" s="9" t="s">
        <v>1350</v>
      </c>
    </row>
    <row r="240" spans="1:7">
      <c r="A240" t="s">
        <v>675</v>
      </c>
      <c r="C240" s="6" t="s">
        <v>623</v>
      </c>
      <c r="D240" s="6" t="s">
        <v>665</v>
      </c>
      <c r="E240" s="6" t="s">
        <v>624</v>
      </c>
      <c r="F240" s="6" t="s">
        <v>666</v>
      </c>
      <c r="G240" s="6" t="s">
        <v>667</v>
      </c>
    </row>
    <row r="241" spans="1:16">
      <c r="B241" t="s">
        <v>572</v>
      </c>
      <c r="C241">
        <v>23.895348837209301</v>
      </c>
      <c r="D241">
        <v>24.9418604651162</v>
      </c>
      <c r="E241">
        <f>D241-C241</f>
        <v>1.0465116279068987</v>
      </c>
      <c r="F241">
        <f>C242-C241</f>
        <v>25.290697674418599</v>
      </c>
      <c r="G241">
        <f>SQRT(E241^2 +E242^2)</f>
        <v>5.6786583474766159</v>
      </c>
      <c r="J241" t="s">
        <v>1858</v>
      </c>
    </row>
    <row r="242" spans="1:16">
      <c r="B242" t="s">
        <v>573</v>
      </c>
      <c r="C242">
        <v>49.1860465116279</v>
      </c>
      <c r="D242">
        <v>54.767441860465098</v>
      </c>
      <c r="E242">
        <f>D242-C242</f>
        <v>5.5813953488371979</v>
      </c>
      <c r="J242" t="s">
        <v>701</v>
      </c>
      <c r="L242" s="6" t="s">
        <v>623</v>
      </c>
      <c r="M242" s="6" t="s">
        <v>665</v>
      </c>
      <c r="N242" s="6" t="s">
        <v>624</v>
      </c>
      <c r="O242" s="6" t="s">
        <v>666</v>
      </c>
      <c r="P242" s="6" t="s">
        <v>667</v>
      </c>
    </row>
    <row r="243" spans="1:16">
      <c r="K243" t="s">
        <v>572</v>
      </c>
      <c r="L243">
        <v>538028.16901408404</v>
      </c>
      <c r="M243">
        <v>577464.78873239399</v>
      </c>
      <c r="N243">
        <f>M243-L243</f>
        <v>39436.619718309958</v>
      </c>
      <c r="O243">
        <f>L244-L243</f>
        <v>100579.83098591596</v>
      </c>
      <c r="P243">
        <f>SQRT(N243^2 +N244^2)</f>
        <v>569608.62900946883</v>
      </c>
    </row>
    <row r="244" spans="1:16">
      <c r="A244" t="s">
        <v>750</v>
      </c>
      <c r="C244" s="6" t="s">
        <v>623</v>
      </c>
      <c r="D244" s="6" t="s">
        <v>665</v>
      </c>
      <c r="E244" s="6" t="s">
        <v>624</v>
      </c>
      <c r="F244" s="6" t="s">
        <v>666</v>
      </c>
      <c r="G244" s="6" t="s">
        <v>667</v>
      </c>
      <c r="K244" t="s">
        <v>573</v>
      </c>
      <c r="L244">
        <v>638608</v>
      </c>
      <c r="M244">
        <v>70366.2</v>
      </c>
      <c r="N244">
        <f>M244-L244</f>
        <v>-568241.80000000005</v>
      </c>
      <c r="O244">
        <v>100579.83098591596</v>
      </c>
      <c r="P244">
        <v>569608.62900946883</v>
      </c>
    </row>
    <row r="245" spans="1:16">
      <c r="B245" t="s">
        <v>572</v>
      </c>
      <c r="C245">
        <v>21.976744186046499</v>
      </c>
      <c r="D245">
        <v>23.197674418604599</v>
      </c>
      <c r="E245">
        <f>D245-C245</f>
        <v>1.2209302325581</v>
      </c>
      <c r="F245">
        <f>C246-C245</f>
        <v>7.151162790697601</v>
      </c>
      <c r="G245">
        <f>SQRT(E245^2 +E246^2)</f>
        <v>3.3685827760165545</v>
      </c>
      <c r="L245">
        <v>638608</v>
      </c>
      <c r="M245">
        <v>70366.2</v>
      </c>
    </row>
    <row r="246" spans="1:16">
      <c r="B246" t="s">
        <v>573</v>
      </c>
      <c r="C246">
        <v>29.1279069767441</v>
      </c>
      <c r="D246">
        <v>32.267441860465098</v>
      </c>
      <c r="E246">
        <f>D246-C246</f>
        <v>3.139534883720998</v>
      </c>
      <c r="J246" t="s">
        <v>750</v>
      </c>
      <c r="L246" s="6" t="s">
        <v>623</v>
      </c>
      <c r="M246" s="6" t="s">
        <v>665</v>
      </c>
      <c r="N246" s="6" t="s">
        <v>624</v>
      </c>
      <c r="O246" s="6" t="s">
        <v>666</v>
      </c>
      <c r="P246" s="6" t="s">
        <v>667</v>
      </c>
    </row>
    <row r="247" spans="1:16">
      <c r="K247" t="s">
        <v>572</v>
      </c>
      <c r="L247">
        <v>538028.16901408404</v>
      </c>
      <c r="M247">
        <v>577464.78873239399</v>
      </c>
      <c r="N247">
        <f>M247-L247</f>
        <v>39436.619718309958</v>
      </c>
      <c r="O247">
        <f>L248-L247</f>
        <v>-38959.469014084025</v>
      </c>
      <c r="P247">
        <f>SQRT(N247^2 +N248^2)</f>
        <v>488547.15749651956</v>
      </c>
    </row>
    <row r="248" spans="1:16">
      <c r="K248" t="s">
        <v>573</v>
      </c>
      <c r="L248">
        <v>499068.7</v>
      </c>
      <c r="M248">
        <v>12115.85</v>
      </c>
      <c r="N248">
        <f>M248-L248</f>
        <v>-486952.85000000003</v>
      </c>
    </row>
    <row r="249" spans="1:16">
      <c r="A249" s="9" t="s">
        <v>1857</v>
      </c>
    </row>
    <row r="251" spans="1:16">
      <c r="A251" t="s">
        <v>701</v>
      </c>
      <c r="C251" s="6" t="s">
        <v>623</v>
      </c>
      <c r="D251" s="6" t="s">
        <v>665</v>
      </c>
      <c r="E251" s="6" t="s">
        <v>624</v>
      </c>
      <c r="F251" s="6" t="s">
        <v>666</v>
      </c>
      <c r="G251" s="6" t="s">
        <v>667</v>
      </c>
    </row>
    <row r="252" spans="1:16">
      <c r="B252" t="s">
        <v>572</v>
      </c>
      <c r="C252">
        <v>536734.69387755101</v>
      </c>
      <c r="D252">
        <v>573469.38775510201</v>
      </c>
      <c r="E252">
        <f>D252-C252</f>
        <v>36734.693877551006</v>
      </c>
      <c r="F252">
        <f>C253-C252</f>
        <v>97959.183673469</v>
      </c>
      <c r="G252">
        <f>SQRT(E252^2 +E253^2)</f>
        <v>42527.889763621628</v>
      </c>
    </row>
    <row r="253" spans="1:16">
      <c r="B253" t="s">
        <v>573</v>
      </c>
      <c r="C253">
        <v>634693.87755102001</v>
      </c>
      <c r="D253">
        <v>656122.44897959102</v>
      </c>
      <c r="E253">
        <f>D253-C253</f>
        <v>21428.571428571013</v>
      </c>
    </row>
    <row r="255" spans="1:16">
      <c r="A255" t="s">
        <v>750</v>
      </c>
      <c r="C255" s="6" t="s">
        <v>623</v>
      </c>
      <c r="D255" s="6" t="s">
        <v>665</v>
      </c>
      <c r="E255" s="6" t="s">
        <v>624</v>
      </c>
      <c r="F255" s="6" t="s">
        <v>666</v>
      </c>
      <c r="G255" s="6" t="s">
        <v>667</v>
      </c>
    </row>
    <row r="256" spans="1:16">
      <c r="B256" t="s">
        <v>572</v>
      </c>
      <c r="C256">
        <v>536734.69387755101</v>
      </c>
      <c r="D256">
        <v>573469.38775510201</v>
      </c>
      <c r="E256">
        <f>D256-C256</f>
        <v>36734.693877551006</v>
      </c>
      <c r="F256">
        <f>C257-C256</f>
        <v>-39795.918367346982</v>
      </c>
      <c r="G256">
        <f>SQRT(E256^2 +E257^2)</f>
        <v>44149.60745466088</v>
      </c>
    </row>
    <row r="257" spans="1:7">
      <c r="B257" t="s">
        <v>573</v>
      </c>
      <c r="C257">
        <v>496938.77551020402</v>
      </c>
      <c r="D257">
        <v>521428.57142857101</v>
      </c>
      <c r="E257">
        <f>D257-C257</f>
        <v>24489.795918366988</v>
      </c>
    </row>
    <row r="261" spans="1:7">
      <c r="A261" s="9" t="s">
        <v>1579</v>
      </c>
    </row>
    <row r="263" spans="1:7">
      <c r="A263" t="s">
        <v>1580</v>
      </c>
      <c r="C263" s="6" t="s">
        <v>623</v>
      </c>
      <c r="D263" s="6" t="s">
        <v>665</v>
      </c>
      <c r="E263" s="6" t="s">
        <v>624</v>
      </c>
      <c r="F263" s="6" t="s">
        <v>666</v>
      </c>
      <c r="G263" s="6" t="s">
        <v>667</v>
      </c>
    </row>
    <row r="264" spans="1:7">
      <c r="B264" t="s">
        <v>572</v>
      </c>
      <c r="C264">
        <v>7.7876106194690403E-2</v>
      </c>
      <c r="D264">
        <v>8.1415929203539905E-2</v>
      </c>
      <c r="E264">
        <f>D264-C264</f>
        <v>3.539823008849502E-3</v>
      </c>
      <c r="F264">
        <f>C265-C264</f>
        <v>0.55752212389380462</v>
      </c>
      <c r="G264">
        <f>SQRT(E264^2 +E265^2)</f>
        <v>6.3815066822376608E-3</v>
      </c>
    </row>
    <row r="265" spans="1:7">
      <c r="B265" t="s">
        <v>573</v>
      </c>
      <c r="C265">
        <v>0.63539823008849505</v>
      </c>
      <c r="D265">
        <v>0.64070796460177004</v>
      </c>
      <c r="E265">
        <f>D265-C265</f>
        <v>5.3097345132749885E-3</v>
      </c>
      <c r="F265">
        <v>0.55752212389380462</v>
      </c>
      <c r="G265">
        <v>6.3815066822376608E-3</v>
      </c>
    </row>
    <row r="267" spans="1:7">
      <c r="A267" t="s">
        <v>750</v>
      </c>
      <c r="C267" s="6"/>
      <c r="D267" s="6"/>
      <c r="E267" s="6" t="s">
        <v>624</v>
      </c>
      <c r="F267" s="6" t="s">
        <v>666</v>
      </c>
      <c r="G267" s="6" t="s">
        <v>667</v>
      </c>
    </row>
    <row r="268" spans="1:7">
      <c r="B268" t="s">
        <v>572</v>
      </c>
      <c r="C268">
        <v>9.3805309734513398E-2</v>
      </c>
      <c r="D268">
        <v>9.9115044247787595E-2</v>
      </c>
      <c r="E268">
        <f>D268-C268</f>
        <v>5.3097345132741974E-3</v>
      </c>
      <c r="F268">
        <f>C269-C268</f>
        <v>0.44778761061946859</v>
      </c>
      <c r="G268">
        <f>SQRT(E268^2 +E269^2)</f>
        <v>2.0180096019453184E-2</v>
      </c>
    </row>
    <row r="269" spans="1:7">
      <c r="B269" t="s">
        <v>573</v>
      </c>
      <c r="C269">
        <v>0.54159292035398199</v>
      </c>
      <c r="D269">
        <v>0.56106194690265399</v>
      </c>
      <c r="E269">
        <f>D269-C269</f>
        <v>1.9469026548671997E-2</v>
      </c>
      <c r="F269">
        <v>0.44778761061946859</v>
      </c>
      <c r="G269">
        <v>2.0180096019453184E-2</v>
      </c>
    </row>
    <row r="272" spans="1:7">
      <c r="A272" s="9" t="s">
        <v>1765</v>
      </c>
    </row>
    <row r="274" spans="1:7">
      <c r="A274" t="s">
        <v>1766</v>
      </c>
      <c r="C274" s="6" t="s">
        <v>623</v>
      </c>
      <c r="D274" s="6" t="s">
        <v>665</v>
      </c>
      <c r="E274" s="6" t="s">
        <v>624</v>
      </c>
      <c r="F274" s="6" t="s">
        <v>666</v>
      </c>
      <c r="G274" s="6" t="s">
        <v>667</v>
      </c>
    </row>
    <row r="275" spans="1:7">
      <c r="B275" t="s">
        <v>572</v>
      </c>
      <c r="C275">
        <v>4.9087390000000002E-2</v>
      </c>
      <c r="E275">
        <v>0</v>
      </c>
      <c r="F275">
        <f>C276-C275</f>
        <v>4.1020320129850694</v>
      </c>
      <c r="G275">
        <f>SQRT(E275^2 +E276^2)</f>
        <v>0.48507462686567049</v>
      </c>
    </row>
    <row r="276" spans="1:7">
      <c r="B276" t="s">
        <v>573</v>
      </c>
      <c r="C276">
        <v>4.1511194029850698</v>
      </c>
      <c r="D276">
        <v>4.6361940298507403</v>
      </c>
      <c r="E276">
        <f>D276-C276</f>
        <v>0.48507462686567049</v>
      </c>
      <c r="F276">
        <v>4.1020320129850694</v>
      </c>
      <c r="G276">
        <v>0.48507462686567049</v>
      </c>
    </row>
    <row r="278" spans="1:7">
      <c r="A278" t="s">
        <v>1766</v>
      </c>
      <c r="C278" s="6"/>
      <c r="D278" s="6"/>
      <c r="E278" s="6" t="s">
        <v>624</v>
      </c>
      <c r="F278" s="6" t="s">
        <v>666</v>
      </c>
      <c r="G278" s="6" t="s">
        <v>667</v>
      </c>
    </row>
    <row r="279" spans="1:7">
      <c r="B279" t="s">
        <v>572</v>
      </c>
      <c r="C279">
        <v>4.9087390000000002E-2</v>
      </c>
      <c r="E279">
        <v>0</v>
      </c>
      <c r="F279">
        <f>C280-C279</f>
        <v>2.84270365477611</v>
      </c>
      <c r="G279">
        <f>SQRT(E279^2 +E280^2)</f>
        <v>0.36380597014926019</v>
      </c>
    </row>
    <row r="280" spans="1:7">
      <c r="B280" t="s">
        <v>573</v>
      </c>
      <c r="C280">
        <v>2.8917910447761099</v>
      </c>
      <c r="D280">
        <v>3.2555970149253701</v>
      </c>
      <c r="E280">
        <f>D280-C280</f>
        <v>0.36380597014926019</v>
      </c>
      <c r="F280">
        <v>2.84270365477611</v>
      </c>
      <c r="G280">
        <v>0.36380597014926019</v>
      </c>
    </row>
    <row r="283" spans="1:7">
      <c r="A283" s="9" t="s">
        <v>1785</v>
      </c>
    </row>
    <row r="284" spans="1:7">
      <c r="A284" t="s">
        <v>814</v>
      </c>
    </row>
    <row r="285" spans="1:7">
      <c r="A285" t="s">
        <v>1788</v>
      </c>
      <c r="C285" s="6" t="s">
        <v>623</v>
      </c>
      <c r="D285" s="6" t="s">
        <v>665</v>
      </c>
      <c r="E285" s="6" t="s">
        <v>624</v>
      </c>
      <c r="F285" s="6" t="s">
        <v>666</v>
      </c>
      <c r="G285" s="6" t="s">
        <v>667</v>
      </c>
    </row>
    <row r="286" spans="1:7">
      <c r="B286" t="s">
        <v>572</v>
      </c>
      <c r="C286">
        <v>3.2606635071089998</v>
      </c>
      <c r="E286" s="6">
        <v>0.11647588</v>
      </c>
      <c r="F286">
        <f>C287-C286</f>
        <v>-3.5206499661466495E-3</v>
      </c>
      <c r="G286">
        <f>SQRT(E286^2 +E287^2)</f>
        <v>0.54781132049883052</v>
      </c>
    </row>
    <row r="287" spans="1:7">
      <c r="B287" t="s">
        <v>573</v>
      </c>
      <c r="C287">
        <v>3.2571428571428531</v>
      </c>
      <c r="E287">
        <v>0.53528554271986273</v>
      </c>
      <c r="F287">
        <v>-3.5206499661466495E-3</v>
      </c>
      <c r="G287">
        <v>0.54781132049883052</v>
      </c>
    </row>
    <row r="289" spans="1:7">
      <c r="A289" t="s">
        <v>750</v>
      </c>
      <c r="C289" s="6"/>
      <c r="D289" s="6"/>
      <c r="E289" s="6" t="s">
        <v>624</v>
      </c>
      <c r="F289" s="6" t="s">
        <v>666</v>
      </c>
      <c r="G289" s="6" t="s">
        <v>667</v>
      </c>
    </row>
    <row r="290" spans="1:7">
      <c r="B290" t="s">
        <v>572</v>
      </c>
      <c r="C290">
        <v>2.7488151658767737</v>
      </c>
      <c r="E290">
        <v>0.10931338952294622</v>
      </c>
      <c r="F290">
        <f>C291-C290</f>
        <v>3.3086011041232264</v>
      </c>
      <c r="G290">
        <f>SQRT(E290^2 +E291^2)</f>
        <v>0.87764764513267501</v>
      </c>
    </row>
    <row r="291" spans="1:7">
      <c r="B291" t="s">
        <v>573</v>
      </c>
      <c r="C291">
        <v>6.05741627</v>
      </c>
      <c r="E291">
        <v>0.87081339670329738</v>
      </c>
      <c r="F291">
        <v>3.3086011041232264</v>
      </c>
      <c r="G291">
        <v>0.87764764513267501</v>
      </c>
    </row>
    <row r="294" spans="1:7">
      <c r="A294" t="s">
        <v>1791</v>
      </c>
    </row>
    <row r="295" spans="1:7">
      <c r="A295" t="s">
        <v>1788</v>
      </c>
      <c r="C295" s="6" t="s">
        <v>623</v>
      </c>
      <c r="D295" s="6" t="s">
        <v>665</v>
      </c>
      <c r="E295" s="6" t="s">
        <v>624</v>
      </c>
      <c r="F295" s="6" t="s">
        <v>666</v>
      </c>
      <c r="G295" s="6" t="s">
        <v>667</v>
      </c>
    </row>
    <row r="296" spans="1:7">
      <c r="B296" t="s">
        <v>572</v>
      </c>
      <c r="C296">
        <v>167771.63904235666</v>
      </c>
      <c r="E296">
        <v>6196.1708439264703</v>
      </c>
      <c r="F296">
        <f>C297-C296</f>
        <v>46040.515653775656</v>
      </c>
      <c r="G296">
        <f>SQRT(E296^2 +E297^2)</f>
        <v>35389.796388845112</v>
      </c>
    </row>
    <row r="297" spans="1:7">
      <c r="B297" t="s">
        <v>573</v>
      </c>
      <c r="C297">
        <v>213812.15469613232</v>
      </c>
      <c r="E297">
        <v>34843.150766209277</v>
      </c>
      <c r="F297">
        <v>46040.515653775656</v>
      </c>
      <c r="G297">
        <v>35389.796388845112</v>
      </c>
    </row>
    <row r="299" spans="1:7">
      <c r="A299" t="s">
        <v>750</v>
      </c>
      <c r="C299" s="6"/>
      <c r="D299" s="6"/>
      <c r="E299" s="6" t="s">
        <v>624</v>
      </c>
      <c r="F299" s="6" t="s">
        <v>666</v>
      </c>
      <c r="G299" s="6" t="s">
        <v>667</v>
      </c>
    </row>
    <row r="300" spans="1:7">
      <c r="B300" t="s">
        <v>572</v>
      </c>
      <c r="C300">
        <v>153631.284916201</v>
      </c>
      <c r="E300">
        <v>15169.766744444234</v>
      </c>
      <c r="F300">
        <f>C301-C300</f>
        <v>42458.100558658654</v>
      </c>
      <c r="G300">
        <f>SQRT(E300^2 +E301^2)</f>
        <v>32568.762339842357</v>
      </c>
    </row>
    <row r="301" spans="1:7">
      <c r="B301" t="s">
        <v>573</v>
      </c>
      <c r="C301">
        <v>196089.38547485965</v>
      </c>
      <c r="E301">
        <v>28820.17448365446</v>
      </c>
      <c r="F301">
        <v>42458.100558658654</v>
      </c>
      <c r="G301">
        <v>32568.762339842357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FE19-C577-864C-85A7-6A92D61B2A52}">
  <dimension ref="A2:J68"/>
  <sheetViews>
    <sheetView topLeftCell="A49" workbookViewId="0">
      <selection activeCell="H67" sqref="H67:H68"/>
    </sheetView>
  </sheetViews>
  <sheetFormatPr baseColWidth="10" defaultRowHeight="16"/>
  <sheetData>
    <row r="2" spans="1:9">
      <c r="A2" t="s">
        <v>744</v>
      </c>
    </row>
    <row r="3" spans="1:9" ht="18">
      <c r="C3" s="11" t="s">
        <v>743</v>
      </c>
    </row>
    <row r="6" spans="1:9">
      <c r="A6" t="s">
        <v>811</v>
      </c>
    </row>
    <row r="7" spans="1:9">
      <c r="D7" t="s">
        <v>623</v>
      </c>
      <c r="E7" t="s">
        <v>745</v>
      </c>
      <c r="F7" t="s">
        <v>746</v>
      </c>
      <c r="G7" t="s">
        <v>747</v>
      </c>
      <c r="H7" t="s">
        <v>633</v>
      </c>
    </row>
    <row r="8" spans="1:9">
      <c r="A8" t="s">
        <v>721</v>
      </c>
      <c r="C8" t="s">
        <v>748</v>
      </c>
      <c r="D8">
        <v>2108.1081081081002</v>
      </c>
      <c r="E8">
        <v>3531.5315315315302</v>
      </c>
      <c r="F8">
        <f>E8-D8</f>
        <v>1423.42342342343</v>
      </c>
      <c r="G8">
        <f>F8*2</f>
        <v>2846.84684684686</v>
      </c>
      <c r="H8">
        <f>G8/3.92</f>
        <v>726.2364405221582</v>
      </c>
      <c r="I8">
        <v>726.2364405221582</v>
      </c>
    </row>
    <row r="9" spans="1:9">
      <c r="C9" t="s">
        <v>749</v>
      </c>
      <c r="D9">
        <v>1513.5135135135099</v>
      </c>
      <c r="E9">
        <v>2216.2162162162099</v>
      </c>
      <c r="F9">
        <f t="shared" ref="F9:F10" si="0">E9-D9</f>
        <v>702.70270270269998</v>
      </c>
      <c r="G9">
        <f t="shared" ref="G9:G10" si="1">F9*2</f>
        <v>1405.4054054054</v>
      </c>
      <c r="H9">
        <f t="shared" ref="H9:H10" si="2">G9/3.92</f>
        <v>358.5217870932143</v>
      </c>
      <c r="I9">
        <v>358.5217870932143</v>
      </c>
    </row>
    <row r="10" spans="1:9">
      <c r="C10" t="s">
        <v>750</v>
      </c>
      <c r="D10">
        <v>1765.7657657657601</v>
      </c>
      <c r="E10">
        <v>2063.0630630630599</v>
      </c>
      <c r="F10">
        <f t="shared" si="0"/>
        <v>297.29729729729979</v>
      </c>
      <c r="G10">
        <f t="shared" si="1"/>
        <v>594.59459459459958</v>
      </c>
      <c r="H10">
        <f t="shared" si="2"/>
        <v>151.68229453943869</v>
      </c>
      <c r="I10">
        <v>151.68229453943869</v>
      </c>
    </row>
    <row r="12" spans="1:9">
      <c r="A12" t="s">
        <v>722</v>
      </c>
      <c r="B12" t="s">
        <v>723</v>
      </c>
      <c r="C12" t="s">
        <v>748</v>
      </c>
      <c r="D12">
        <v>182.584269662921</v>
      </c>
      <c r="E12">
        <v>228.08988764044901</v>
      </c>
      <c r="F12">
        <f>E12-D12</f>
        <v>45.505617977528004</v>
      </c>
      <c r="G12">
        <f>F12*2</f>
        <v>91.011235955056009</v>
      </c>
      <c r="H12">
        <f>G12/3.92</f>
        <v>23.217152029351023</v>
      </c>
      <c r="I12">
        <v>23.217152029351023</v>
      </c>
    </row>
    <row r="13" spans="1:9">
      <c r="C13" t="s">
        <v>749</v>
      </c>
      <c r="D13">
        <v>185.955056179775</v>
      </c>
      <c r="E13">
        <v>223.033707865168</v>
      </c>
      <c r="F13">
        <f t="shared" ref="F13:F14" si="3">E13-D13</f>
        <v>37.078651685392998</v>
      </c>
      <c r="G13">
        <f t="shared" ref="G13:G14" si="4">F13*2</f>
        <v>74.157303370785996</v>
      </c>
      <c r="H13">
        <f t="shared" ref="H13" si="5">G13/3.92</f>
        <v>18.917679431322959</v>
      </c>
      <c r="I13">
        <v>18.917679431322959</v>
      </c>
    </row>
    <row r="14" spans="1:9">
      <c r="C14" t="s">
        <v>750</v>
      </c>
      <c r="D14">
        <v>164.60674157303299</v>
      </c>
      <c r="E14">
        <v>203.370786516853</v>
      </c>
      <c r="F14">
        <f t="shared" si="3"/>
        <v>38.764044943820011</v>
      </c>
      <c r="G14">
        <f t="shared" si="4"/>
        <v>77.528089887640022</v>
      </c>
      <c r="H14">
        <f t="shared" ref="H14" si="6">G14/3.92</f>
        <v>19.777573950928577</v>
      </c>
      <c r="I14">
        <v>19.777573950928577</v>
      </c>
    </row>
    <row r="16" spans="1:9">
      <c r="A16" t="s">
        <v>724</v>
      </c>
      <c r="B16" t="s">
        <v>725</v>
      </c>
      <c r="C16" t="s">
        <v>748</v>
      </c>
      <c r="D16">
        <v>157.71513353115699</v>
      </c>
      <c r="E16">
        <v>193.76854599406499</v>
      </c>
      <c r="F16">
        <f>E16-D16</f>
        <v>36.053412462908</v>
      </c>
      <c r="G16">
        <f>F16*2</f>
        <v>72.106824925815999</v>
      </c>
      <c r="H16">
        <f>G16/3.92</f>
        <v>18.394598195361226</v>
      </c>
      <c r="I16">
        <v>18.394598195361226</v>
      </c>
    </row>
    <row r="17" spans="1:9">
      <c r="C17" t="s">
        <v>749</v>
      </c>
      <c r="D17">
        <v>86.943620178041499</v>
      </c>
      <c r="E17">
        <v>112.75964391691301</v>
      </c>
      <c r="F17">
        <f t="shared" ref="F17:F18" si="7">E17-D17</f>
        <v>25.816023738871507</v>
      </c>
      <c r="G17">
        <f t="shared" ref="G17:G18" si="8">F17*2</f>
        <v>51.632047477743015</v>
      </c>
      <c r="H17">
        <f t="shared" ref="H17" si="9">G17/3.92</f>
        <v>13.171440683097709</v>
      </c>
      <c r="I17">
        <v>13.171440683097709</v>
      </c>
    </row>
    <row r="18" spans="1:9">
      <c r="C18" t="s">
        <v>750</v>
      </c>
      <c r="D18">
        <v>3.2640949554895902</v>
      </c>
      <c r="E18">
        <v>4.5994065281898999</v>
      </c>
      <c r="F18">
        <f t="shared" si="7"/>
        <v>1.3353115727003098</v>
      </c>
      <c r="G18">
        <f t="shared" si="8"/>
        <v>2.6706231454006195</v>
      </c>
      <c r="H18">
        <f t="shared" ref="H18" si="10">G18/3.92</f>
        <v>0.68128141464301517</v>
      </c>
      <c r="I18">
        <v>0.68128141464301517</v>
      </c>
    </row>
    <row r="20" spans="1:9">
      <c r="A20" t="s">
        <v>726</v>
      </c>
      <c r="B20" t="s">
        <v>727</v>
      </c>
      <c r="C20" t="s">
        <v>748</v>
      </c>
      <c r="D20">
        <v>752.10084033613396</v>
      </c>
      <c r="E20">
        <v>924.36974789915905</v>
      </c>
      <c r="F20">
        <f>E20-D20</f>
        <v>172.2689075630251</v>
      </c>
      <c r="G20">
        <f>F20*2</f>
        <v>344.53781512605019</v>
      </c>
      <c r="H20">
        <f>G20/3.92</f>
        <v>87.892299777053623</v>
      </c>
      <c r="I20">
        <v>87.892299777053623</v>
      </c>
    </row>
    <row r="21" spans="1:9">
      <c r="C21" t="s">
        <v>749</v>
      </c>
      <c r="D21">
        <v>693.27731092436898</v>
      </c>
      <c r="E21">
        <v>810.92436974789905</v>
      </c>
      <c r="F21">
        <f t="shared" ref="F21:F22" si="11">E21-D21</f>
        <v>117.64705882353007</v>
      </c>
      <c r="G21">
        <f t="shared" ref="G21:G22" si="12">F21*2</f>
        <v>235.29411764706015</v>
      </c>
      <c r="H21">
        <f t="shared" ref="H21" si="13">G21/3.92</f>
        <v>60.024009603841876</v>
      </c>
      <c r="I21">
        <v>60.024009603841876</v>
      </c>
    </row>
    <row r="22" spans="1:9">
      <c r="C22" t="s">
        <v>750</v>
      </c>
      <c r="D22">
        <v>659.66386554621795</v>
      </c>
      <c r="E22">
        <v>752.10084033613396</v>
      </c>
      <c r="F22">
        <f t="shared" si="11"/>
        <v>92.436974789916007</v>
      </c>
      <c r="G22">
        <f t="shared" si="12"/>
        <v>184.87394957983201</v>
      </c>
      <c r="H22">
        <f t="shared" ref="H22" si="14">G22/3.92</f>
        <v>47.161721831589801</v>
      </c>
      <c r="I22">
        <v>47.161721831589801</v>
      </c>
    </row>
    <row r="24" spans="1:9">
      <c r="A24" t="s">
        <v>726</v>
      </c>
      <c r="B24" t="s">
        <v>728</v>
      </c>
      <c r="C24" t="s">
        <v>748</v>
      </c>
      <c r="D24">
        <v>325</v>
      </c>
      <c r="E24">
        <v>328.515625</v>
      </c>
      <c r="F24">
        <f>E24-D24</f>
        <v>3.515625</v>
      </c>
      <c r="G24">
        <f>F24*2</f>
        <v>7.03125</v>
      </c>
      <c r="H24">
        <f>G24/3.92</f>
        <v>1.793686224489796</v>
      </c>
      <c r="I24">
        <v>1.793686224489796</v>
      </c>
    </row>
    <row r="25" spans="1:9">
      <c r="C25" t="s">
        <v>749</v>
      </c>
      <c r="D25">
        <v>330.859375</v>
      </c>
      <c r="E25">
        <v>396.48437499999898</v>
      </c>
      <c r="F25">
        <f t="shared" ref="F25:F26" si="15">E25-D25</f>
        <v>65.624999999998977</v>
      </c>
      <c r="G25">
        <f t="shared" ref="G25:G26" si="16">F25*2</f>
        <v>131.24999999999795</v>
      </c>
      <c r="H25">
        <f t="shared" ref="H25" si="17">G25/3.92</f>
        <v>33.482142857142335</v>
      </c>
      <c r="I25">
        <v>33.482142857142335</v>
      </c>
    </row>
    <row r="26" spans="1:9">
      <c r="C26" t="s">
        <v>750</v>
      </c>
      <c r="D26">
        <v>265.234375</v>
      </c>
      <c r="E26">
        <v>281.640625</v>
      </c>
      <c r="F26">
        <f t="shared" si="15"/>
        <v>16.40625</v>
      </c>
      <c r="G26">
        <f t="shared" si="16"/>
        <v>32.8125</v>
      </c>
      <c r="H26">
        <f t="shared" ref="H26" si="18">G26/3.92</f>
        <v>8.3705357142857153</v>
      </c>
      <c r="I26">
        <v>8.3705357142857153</v>
      </c>
    </row>
    <row r="28" spans="1:9">
      <c r="A28" t="s">
        <v>729</v>
      </c>
      <c r="B28" t="s">
        <v>730</v>
      </c>
      <c r="C28" t="s">
        <v>748</v>
      </c>
      <c r="D28">
        <v>1910.65830721003</v>
      </c>
      <c r="E28">
        <v>2600.3134796238201</v>
      </c>
      <c r="F28">
        <f>E28-D28</f>
        <v>689.65517241379007</v>
      </c>
      <c r="G28">
        <f>F28*2</f>
        <v>1379.3103448275801</v>
      </c>
      <c r="H28">
        <f>G28/3.92</f>
        <v>351.86488388458679</v>
      </c>
      <c r="I28">
        <v>351.86488388458679</v>
      </c>
    </row>
    <row r="29" spans="1:9">
      <c r="C29" t="s">
        <v>749</v>
      </c>
      <c r="D29">
        <v>800.94043887147302</v>
      </c>
      <c r="E29">
        <v>1208.46394984326</v>
      </c>
      <c r="F29">
        <f t="shared" ref="F29:F30" si="19">E29-D29</f>
        <v>407.523510971787</v>
      </c>
      <c r="G29">
        <f t="shared" ref="G29:G30" si="20">F29*2</f>
        <v>815.04702194357401</v>
      </c>
      <c r="H29">
        <f t="shared" ref="H29" si="21">G29/3.92</f>
        <v>207.92015865907501</v>
      </c>
      <c r="I29">
        <v>207.92015865907501</v>
      </c>
    </row>
    <row r="30" spans="1:9">
      <c r="C30" t="s">
        <v>750</v>
      </c>
      <c r="D30">
        <v>550.15673981191196</v>
      </c>
      <c r="E30">
        <v>713.16614420062604</v>
      </c>
      <c r="F30">
        <f t="shared" si="19"/>
        <v>163.00940438871407</v>
      </c>
      <c r="G30">
        <f t="shared" si="20"/>
        <v>326.01880877742815</v>
      </c>
      <c r="H30">
        <f t="shared" ref="H30" si="22">G30/3.92</f>
        <v>83.168063463629636</v>
      </c>
      <c r="I30">
        <v>83.168063463629636</v>
      </c>
    </row>
    <row r="32" spans="1:9">
      <c r="A32" t="s">
        <v>726</v>
      </c>
      <c r="B32" t="s">
        <v>731</v>
      </c>
      <c r="C32" t="s">
        <v>748</v>
      </c>
      <c r="D32">
        <v>224.731182795698</v>
      </c>
      <c r="E32">
        <v>258.06451612903197</v>
      </c>
      <c r="F32">
        <f>E32-D32</f>
        <v>33.333333333333968</v>
      </c>
      <c r="G32">
        <f>F32*2</f>
        <v>66.666666666667936</v>
      </c>
      <c r="H32">
        <f>G32/3.92</f>
        <v>17.006802721088761</v>
      </c>
      <c r="I32">
        <v>17.006802721088761</v>
      </c>
    </row>
    <row r="33" spans="1:9">
      <c r="C33" t="s">
        <v>749</v>
      </c>
      <c r="D33">
        <v>245.16129032257999</v>
      </c>
      <c r="E33">
        <v>289.24731182795699</v>
      </c>
      <c r="F33">
        <f t="shared" ref="F33:F34" si="23">E33-D33</f>
        <v>44.086021505377005</v>
      </c>
      <c r="G33">
        <f t="shared" ref="G33:G34" si="24">F33*2</f>
        <v>88.17204301075401</v>
      </c>
      <c r="H33">
        <f t="shared" ref="H33" si="25">G33/3.92</f>
        <v>22.492868114988269</v>
      </c>
      <c r="I33">
        <v>22.492868114988269</v>
      </c>
    </row>
    <row r="34" spans="1:9">
      <c r="C34" t="s">
        <v>750</v>
      </c>
      <c r="D34">
        <v>218.27956989247301</v>
      </c>
      <c r="E34">
        <v>272.04301075268802</v>
      </c>
      <c r="F34">
        <f t="shared" si="23"/>
        <v>53.763440860215013</v>
      </c>
      <c r="G34">
        <f t="shared" si="24"/>
        <v>107.52688172043003</v>
      </c>
      <c r="H34">
        <f t="shared" ref="H34" si="26">G34/3.92</f>
        <v>27.430326969497457</v>
      </c>
      <c r="I34">
        <v>27.430326969497457</v>
      </c>
    </row>
    <row r="36" spans="1:9">
      <c r="A36" t="s">
        <v>732</v>
      </c>
      <c r="B36" t="s">
        <v>733</v>
      </c>
      <c r="C36" t="s">
        <v>748</v>
      </c>
      <c r="D36">
        <v>1255.3648068669499</v>
      </c>
      <c r="E36">
        <v>1530.04291845493</v>
      </c>
      <c r="F36">
        <f>E36-D36</f>
        <v>274.67811158798008</v>
      </c>
      <c r="G36">
        <f>F36*2</f>
        <v>549.35622317596017</v>
      </c>
      <c r="H36">
        <f>G36/3.92</f>
        <v>140.14189366733677</v>
      </c>
      <c r="I36">
        <v>140.14189366733677</v>
      </c>
    </row>
    <row r="37" spans="1:9">
      <c r="C37" t="s">
        <v>749</v>
      </c>
      <c r="D37">
        <v>1341.20171673819</v>
      </c>
      <c r="E37">
        <v>2006.4377682403399</v>
      </c>
      <c r="F37">
        <f t="shared" ref="F37:F38" si="27">E37-D37</f>
        <v>665.23605150214985</v>
      </c>
      <c r="G37">
        <f t="shared" ref="G37:G38" si="28">F37*2</f>
        <v>1330.4721030042997</v>
      </c>
      <c r="H37">
        <f t="shared" ref="H37" si="29">G37/3.92</f>
        <v>339.40614872558666</v>
      </c>
      <c r="I37">
        <v>339.40614872558666</v>
      </c>
    </row>
    <row r="38" spans="1:9">
      <c r="C38" t="s">
        <v>750</v>
      </c>
      <c r="D38">
        <v>1023.60515021459</v>
      </c>
      <c r="E38">
        <v>1448.4978540772499</v>
      </c>
      <c r="F38">
        <f t="shared" si="27"/>
        <v>424.89270386265991</v>
      </c>
      <c r="G38">
        <f t="shared" si="28"/>
        <v>849.78540772531983</v>
      </c>
      <c r="H38">
        <f t="shared" ref="H38" si="30">G38/3.92</f>
        <v>216.78199176666323</v>
      </c>
      <c r="I38">
        <v>216.78199176666323</v>
      </c>
    </row>
    <row r="40" spans="1:9">
      <c r="A40" t="s">
        <v>734</v>
      </c>
      <c r="B40" t="s">
        <v>735</v>
      </c>
      <c r="C40" t="s">
        <v>748</v>
      </c>
      <c r="D40">
        <v>1050.5319148936101</v>
      </c>
      <c r="E40">
        <v>1087.7659574468</v>
      </c>
      <c r="F40">
        <f>E40-D40</f>
        <v>37.234042553189965</v>
      </c>
      <c r="G40">
        <f>F40*2</f>
        <v>74.468085106379931</v>
      </c>
      <c r="H40">
        <f>G40/3.92</f>
        <v>18.996960486321413</v>
      </c>
      <c r="I40">
        <v>18.996960486321413</v>
      </c>
    </row>
    <row r="41" spans="1:9">
      <c r="C41" t="s">
        <v>749</v>
      </c>
      <c r="D41">
        <v>1031.91489361702</v>
      </c>
      <c r="E41">
        <v>1183.5106382978699</v>
      </c>
      <c r="F41">
        <f t="shared" ref="F41:F42" si="31">E41-D41</f>
        <v>151.59574468084998</v>
      </c>
      <c r="G41">
        <f t="shared" ref="G41:G42" si="32">F41*2</f>
        <v>303.19148936169995</v>
      </c>
      <c r="H41">
        <f t="shared" ref="H41" si="33">G41/3.92</f>
        <v>77.344767694311216</v>
      </c>
      <c r="I41">
        <v>77.344767694311216</v>
      </c>
    </row>
    <row r="42" spans="1:9">
      <c r="C42" t="s">
        <v>750</v>
      </c>
      <c r="D42">
        <v>827.127659574468</v>
      </c>
      <c r="E42">
        <v>928.191489361702</v>
      </c>
      <c r="F42">
        <f t="shared" si="31"/>
        <v>101.063829787234</v>
      </c>
      <c r="G42">
        <f t="shared" si="32"/>
        <v>202.127659574468</v>
      </c>
      <c r="H42">
        <f t="shared" ref="H42" si="34">G42/3.92</f>
        <v>51.56317846287449</v>
      </c>
      <c r="I42">
        <v>51.56317846287449</v>
      </c>
    </row>
    <row r="45" spans="1:9">
      <c r="A45" t="s">
        <v>812</v>
      </c>
    </row>
    <row r="46" spans="1:9">
      <c r="D46" t="s">
        <v>623</v>
      </c>
      <c r="E46" t="s">
        <v>745</v>
      </c>
      <c r="F46" t="s">
        <v>746</v>
      </c>
      <c r="G46" t="s">
        <v>747</v>
      </c>
      <c r="H46" t="s">
        <v>633</v>
      </c>
    </row>
    <row r="47" spans="1:9">
      <c r="A47" t="s">
        <v>721</v>
      </c>
      <c r="C47" t="s">
        <v>785</v>
      </c>
      <c r="D47">
        <v>0.734375</v>
      </c>
      <c r="E47">
        <v>0.910156249999999</v>
      </c>
      <c r="F47">
        <f>E47-D47</f>
        <v>0.175781249999999</v>
      </c>
      <c r="G47">
        <f>F47*2</f>
        <v>0.351562499999998</v>
      </c>
      <c r="H47">
        <f>G47/3.92</f>
        <v>8.9684311224489291E-2</v>
      </c>
      <c r="I47">
        <v>8.9684311224489305E-2</v>
      </c>
    </row>
    <row r="48" spans="1:9">
      <c r="C48" t="s">
        <v>787</v>
      </c>
      <c r="D48">
        <v>0.921875</v>
      </c>
      <c r="E48">
        <v>1.17968749999999</v>
      </c>
      <c r="F48">
        <f>E48-D48</f>
        <v>0.25781249999999001</v>
      </c>
      <c r="G48">
        <f>F48*2</f>
        <v>0.51562499999998002</v>
      </c>
      <c r="H48">
        <f>G48/3.92</f>
        <v>0.13153698979591327</v>
      </c>
      <c r="I48">
        <v>0.13153698979591327</v>
      </c>
    </row>
    <row r="49" spans="1:10">
      <c r="C49" t="s">
        <v>786</v>
      </c>
      <c r="D49">
        <v>0.59375</v>
      </c>
      <c r="E49">
        <v>0.76953125</v>
      </c>
      <c r="F49">
        <f>E49-D49</f>
        <v>0.17578125</v>
      </c>
      <c r="G49">
        <f>F49*2</f>
        <v>0.3515625</v>
      </c>
      <c r="H49">
        <f>G49/3.92</f>
        <v>8.9684311224489804E-2</v>
      </c>
      <c r="I49">
        <v>8.9684311224489804E-2</v>
      </c>
    </row>
    <row r="52" spans="1:10">
      <c r="A52" t="s">
        <v>926</v>
      </c>
    </row>
    <row r="53" spans="1:10">
      <c r="D53" t="s">
        <v>936</v>
      </c>
      <c r="E53" t="s">
        <v>935</v>
      </c>
      <c r="F53" t="s">
        <v>938</v>
      </c>
      <c r="H53" t="s">
        <v>937</v>
      </c>
      <c r="I53" t="s">
        <v>935</v>
      </c>
      <c r="J53" t="s">
        <v>939</v>
      </c>
    </row>
    <row r="54" spans="1:10">
      <c r="A54" t="s">
        <v>927</v>
      </c>
      <c r="C54" t="s">
        <v>928</v>
      </c>
      <c r="D54">
        <v>0.35</v>
      </c>
      <c r="E54">
        <v>7.0000000000000007E-2</v>
      </c>
      <c r="F54">
        <f>( (D54+E54) - (D54-E54) )/3.29</f>
        <v>4.2553191489361708E-2</v>
      </c>
      <c r="H54">
        <v>0.31</v>
      </c>
      <c r="I54">
        <v>0.05</v>
      </c>
      <c r="J54">
        <f t="shared" ref="J54:J67" si="35">( (H54+I54) - (H54-I54) )/3.29</f>
        <v>3.0395136778115495E-2</v>
      </c>
    </row>
    <row r="55" spans="1:10">
      <c r="C55" t="s">
        <v>930</v>
      </c>
      <c r="D55">
        <v>0.49</v>
      </c>
      <c r="E55">
        <v>0.04</v>
      </c>
      <c r="F55">
        <f t="shared" ref="F55:F57" si="36">( (D55+E55) - (D55-E55) )/3.29</f>
        <v>2.4316109422492405E-2</v>
      </c>
      <c r="H55">
        <v>0.42</v>
      </c>
      <c r="I55">
        <v>0.05</v>
      </c>
      <c r="J55">
        <f t="shared" si="35"/>
        <v>3.0395136778115495E-2</v>
      </c>
    </row>
    <row r="56" spans="1:10">
      <c r="C56" t="s">
        <v>931</v>
      </c>
      <c r="D56">
        <v>0.46</v>
      </c>
      <c r="E56">
        <v>0.03</v>
      </c>
      <c r="F56">
        <f t="shared" si="36"/>
        <v>1.8237082066869283E-2</v>
      </c>
      <c r="H56">
        <v>0.43</v>
      </c>
      <c r="I56">
        <v>0.04</v>
      </c>
      <c r="J56">
        <f t="shared" si="35"/>
        <v>2.4316109422492387E-2</v>
      </c>
    </row>
    <row r="57" spans="1:10">
      <c r="C57" t="s">
        <v>932</v>
      </c>
      <c r="D57">
        <v>0.96</v>
      </c>
      <c r="E57">
        <v>0.11</v>
      </c>
      <c r="F57">
        <f t="shared" si="36"/>
        <v>6.6869300911854127E-2</v>
      </c>
      <c r="H57">
        <v>0.7</v>
      </c>
      <c r="I57">
        <v>7.0000000000000007E-2</v>
      </c>
      <c r="J57">
        <f t="shared" si="35"/>
        <v>4.2553191489361743E-2</v>
      </c>
    </row>
    <row r="59" spans="1:10">
      <c r="A59" t="s">
        <v>675</v>
      </c>
      <c r="C59" t="s">
        <v>929</v>
      </c>
      <c r="D59">
        <v>0.43</v>
      </c>
      <c r="E59">
        <v>0.08</v>
      </c>
      <c r="F59">
        <f t="shared" ref="F59:F60" si="37">( (D59+E59) - (D59-E59) )/3.29</f>
        <v>4.8632218844984809E-2</v>
      </c>
      <c r="H59">
        <v>0.39</v>
      </c>
      <c r="I59">
        <v>7.0000000000000007E-2</v>
      </c>
      <c r="J59">
        <f t="shared" si="35"/>
        <v>4.2553191489361708E-2</v>
      </c>
    </row>
    <row r="60" spans="1:10">
      <c r="C60" t="s">
        <v>931</v>
      </c>
      <c r="D60">
        <v>1.63</v>
      </c>
      <c r="E60">
        <v>0.35</v>
      </c>
      <c r="F60">
        <f t="shared" si="37"/>
        <v>0.21276595744680857</v>
      </c>
      <c r="H60">
        <v>0.8</v>
      </c>
      <c r="I60">
        <v>0.09</v>
      </c>
      <c r="J60">
        <f t="shared" si="35"/>
        <v>5.4711246200607883E-2</v>
      </c>
    </row>
    <row r="62" spans="1:10">
      <c r="A62" s="6" t="s">
        <v>933</v>
      </c>
      <c r="B62" s="6"/>
      <c r="C62" s="6" t="s">
        <v>928</v>
      </c>
      <c r="D62">
        <v>0.35</v>
      </c>
      <c r="E62">
        <v>0.04</v>
      </c>
      <c r="F62">
        <f t="shared" ref="F62:F65" si="38">( (D62+E62) - (D62-E62) )/3.29</f>
        <v>2.4316109422492387E-2</v>
      </c>
      <c r="H62">
        <v>0.27</v>
      </c>
      <c r="I62">
        <v>0.08</v>
      </c>
      <c r="J62">
        <f t="shared" si="35"/>
        <v>4.8632218844984809E-2</v>
      </c>
    </row>
    <row r="63" spans="1:10">
      <c r="A63" s="6"/>
      <c r="B63" s="6"/>
      <c r="C63" s="6" t="s">
        <v>930</v>
      </c>
      <c r="D63">
        <v>0.42</v>
      </c>
      <c r="E63">
        <v>7.0000000000000007E-2</v>
      </c>
      <c r="F63">
        <f t="shared" si="38"/>
        <v>4.2553191489361708E-2</v>
      </c>
      <c r="H63">
        <v>0.62</v>
      </c>
      <c r="I63">
        <v>0.04</v>
      </c>
      <c r="J63">
        <f t="shared" si="35"/>
        <v>2.4316109422492422E-2</v>
      </c>
    </row>
    <row r="64" spans="1:10">
      <c r="A64" s="6"/>
      <c r="B64" s="6"/>
      <c r="C64" s="6" t="s">
        <v>931</v>
      </c>
      <c r="D64">
        <v>0</v>
      </c>
      <c r="E64">
        <v>0</v>
      </c>
      <c r="F64">
        <f t="shared" si="38"/>
        <v>0</v>
      </c>
      <c r="H64">
        <v>0.51</v>
      </c>
      <c r="I64">
        <v>0.06</v>
      </c>
      <c r="J64">
        <f t="shared" si="35"/>
        <v>3.6474164133738614E-2</v>
      </c>
    </row>
    <row r="65" spans="1:10">
      <c r="A65" s="6"/>
      <c r="B65" s="6"/>
      <c r="C65" s="6" t="s">
        <v>932</v>
      </c>
      <c r="D65">
        <v>0.28999999999999998</v>
      </c>
      <c r="E65">
        <v>0.04</v>
      </c>
      <c r="F65">
        <f t="shared" si="38"/>
        <v>2.4316109422492398E-2</v>
      </c>
      <c r="H65">
        <v>0.57999999999999996</v>
      </c>
      <c r="I65">
        <v>0.08</v>
      </c>
      <c r="J65">
        <f t="shared" si="35"/>
        <v>4.8632218844984795E-2</v>
      </c>
    </row>
    <row r="67" spans="1:10">
      <c r="A67" s="6" t="s">
        <v>934</v>
      </c>
      <c r="B67" s="6"/>
      <c r="C67" t="s">
        <v>929</v>
      </c>
      <c r="D67">
        <v>0.28999999999999998</v>
      </c>
      <c r="E67">
        <v>0.05</v>
      </c>
      <c r="F67">
        <f t="shared" ref="F67" si="39">( (D67+E67) - (D67-E67) )/3.29</f>
        <v>3.0395136778115495E-2</v>
      </c>
      <c r="H67">
        <v>0.23</v>
      </c>
      <c r="I67">
        <v>0.04</v>
      </c>
      <c r="J67">
        <f t="shared" si="35"/>
        <v>2.4316109422492405E-2</v>
      </c>
    </row>
    <row r="68" spans="1:10">
      <c r="A68" s="6"/>
      <c r="B68" s="6"/>
      <c r="C68" t="s">
        <v>931</v>
      </c>
      <c r="D68">
        <v>0.15</v>
      </c>
      <c r="E68">
        <v>0.06</v>
      </c>
      <c r="F68">
        <f>( (D68+E68) - (D68-E68) )/3.29</f>
        <v>3.64741641337386E-2</v>
      </c>
      <c r="H68">
        <v>0.26</v>
      </c>
      <c r="I68">
        <v>7.0000000000000007E-2</v>
      </c>
      <c r="J68">
        <f>( (H68+I68) - (H68-I68) )/3.29</f>
        <v>4.2553191489361708E-2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B07A-A4AD-BA44-91E4-74735F0667E2}">
  <dimension ref="A1:T58"/>
  <sheetViews>
    <sheetView workbookViewId="0">
      <selection activeCell="C46" sqref="C46"/>
    </sheetView>
  </sheetViews>
  <sheetFormatPr baseColWidth="10" defaultRowHeight="16"/>
  <cols>
    <col min="8" max="8" width="12.1640625" bestFit="1" customWidth="1"/>
    <col min="14" max="14" width="12.1640625" bestFit="1" customWidth="1"/>
    <col min="15" max="15" width="12.1640625" customWidth="1"/>
  </cols>
  <sheetData>
    <row r="1" spans="1:20">
      <c r="D1" s="8" t="s">
        <v>881</v>
      </c>
    </row>
    <row r="2" spans="1:20">
      <c r="D2" s="8" t="s">
        <v>894</v>
      </c>
    </row>
    <row r="3" spans="1:20">
      <c r="A3" t="s">
        <v>1109</v>
      </c>
    </row>
    <row r="4" spans="1:20">
      <c r="A4" t="s">
        <v>637</v>
      </c>
    </row>
    <row r="5" spans="1:20">
      <c r="A5" t="s">
        <v>870</v>
      </c>
      <c r="B5" t="s">
        <v>878</v>
      </c>
      <c r="C5" t="s">
        <v>624</v>
      </c>
      <c r="D5" t="s">
        <v>888</v>
      </c>
      <c r="E5" t="s">
        <v>889</v>
      </c>
      <c r="F5" t="s">
        <v>887</v>
      </c>
      <c r="G5" t="s">
        <v>858</v>
      </c>
      <c r="H5" t="s">
        <v>884</v>
      </c>
      <c r="I5" t="s">
        <v>883</v>
      </c>
      <c r="J5" t="s">
        <v>882</v>
      </c>
      <c r="K5" t="s">
        <v>892</v>
      </c>
      <c r="L5" t="s">
        <v>893</v>
      </c>
      <c r="M5" t="s">
        <v>891</v>
      </c>
      <c r="N5" t="s">
        <v>884</v>
      </c>
      <c r="O5" t="s">
        <v>890</v>
      </c>
      <c r="P5" t="s">
        <v>885</v>
      </c>
      <c r="R5" t="s">
        <v>315</v>
      </c>
      <c r="S5" t="s">
        <v>886</v>
      </c>
      <c r="T5" t="s">
        <v>858</v>
      </c>
    </row>
    <row r="6" spans="1:20">
      <c r="A6" t="s">
        <v>871</v>
      </c>
      <c r="B6">
        <v>0.2</v>
      </c>
      <c r="C6">
        <v>7.0000000000000007E-2</v>
      </c>
      <c r="D6">
        <v>4</v>
      </c>
      <c r="E6">
        <f>D6^2-D6</f>
        <v>12</v>
      </c>
      <c r="F6">
        <f>SUM(D6:D7)^2 - SUM(D6:D7)</f>
        <v>56</v>
      </c>
      <c r="G6">
        <f>SUM(D6:D7)</f>
        <v>8</v>
      </c>
      <c r="H6">
        <f>(E6/F6)*C6^2</f>
        <v>1.0500000000000002E-3</v>
      </c>
      <c r="I6">
        <f>AVERAGE(B6:B7)</f>
        <v>0.12000000000000001</v>
      </c>
      <c r="J6">
        <f>SQRT(H6+H7 + ((D6*D7*(B6-B7)^2)/(G6*F6)))</f>
        <v>4.5276925690687087E-2</v>
      </c>
      <c r="K6">
        <f>SUM(D6:D7)</f>
        <v>8</v>
      </c>
      <c r="L6">
        <f>K6^2-K6</f>
        <v>56</v>
      </c>
      <c r="M6">
        <f>SUM(K6:K9)^2 - SUM(K6:K9)</f>
        <v>240</v>
      </c>
      <c r="N6">
        <f>(L6/M6)*J6^2</f>
        <v>4.7833333333333338E-4</v>
      </c>
      <c r="O6">
        <f>SUM(K6:K9)</f>
        <v>16</v>
      </c>
      <c r="P6">
        <f>SQRT(N6+N8+ ((O6*O8*(I6-I8)^2)/(O6*M6)))</f>
        <v>2.6739483914241875E-2</v>
      </c>
      <c r="R6">
        <f>AVERAGE(B6:B9)</f>
        <v>0.1</v>
      </c>
      <c r="S6">
        <v>2.6739483914241875E-2</v>
      </c>
      <c r="T6">
        <v>4</v>
      </c>
    </row>
    <row r="7" spans="1:20">
      <c r="A7" t="s">
        <v>872</v>
      </c>
      <c r="B7">
        <v>0.04</v>
      </c>
      <c r="C7">
        <v>0.02</v>
      </c>
      <c r="D7">
        <v>4</v>
      </c>
      <c r="E7">
        <f t="shared" ref="E7:E9" si="0">D7^2-D7</f>
        <v>12</v>
      </c>
      <c r="F7">
        <f>SUM(D6:D7)^2 - SUM(D6:D7)</f>
        <v>56</v>
      </c>
      <c r="G7">
        <f>SUM(D6:D7)</f>
        <v>8</v>
      </c>
      <c r="H7">
        <f t="shared" ref="H7:H9" si="1">(E7/F7)*C7^2</f>
        <v>8.5714285714285713E-5</v>
      </c>
    </row>
    <row r="8" spans="1:20">
      <c r="A8" t="s">
        <v>873</v>
      </c>
      <c r="B8">
        <v>0.05</v>
      </c>
      <c r="C8">
        <v>0.02</v>
      </c>
      <c r="D8">
        <v>4</v>
      </c>
      <c r="E8">
        <f t="shared" si="0"/>
        <v>12</v>
      </c>
      <c r="F8">
        <f>SUM(D8:D9)^2 - SUM(D8:D9)</f>
        <v>56</v>
      </c>
      <c r="G8">
        <f>SUM(D8:D9)</f>
        <v>8</v>
      </c>
      <c r="H8">
        <f t="shared" si="1"/>
        <v>8.5714285714285713E-5</v>
      </c>
      <c r="I8">
        <f>AVERAGE(B8:B9)</f>
        <v>0.08</v>
      </c>
      <c r="J8">
        <f>SQRT(H8+H9 + ((D8*D9*(B8-B9)^2)/(G8*F8)))</f>
        <v>2.3603873774083295E-2</v>
      </c>
      <c r="K8">
        <f>SUM(D8:D9)</f>
        <v>8</v>
      </c>
      <c r="L8">
        <f>K8^2-K8</f>
        <v>56</v>
      </c>
      <c r="M8">
        <f>SUM(K6:K9)^2 - SUM(K6:K9)</f>
        <v>240</v>
      </c>
      <c r="N8">
        <f>(L8/M8)*J8^2</f>
        <v>1.3000000000000002E-4</v>
      </c>
      <c r="O8">
        <f>SUM(K6:K9)</f>
        <v>16</v>
      </c>
    </row>
    <row r="9" spans="1:20">
      <c r="A9" t="s">
        <v>874</v>
      </c>
      <c r="B9">
        <v>0.11</v>
      </c>
      <c r="C9">
        <v>0.04</v>
      </c>
      <c r="D9">
        <v>4</v>
      </c>
      <c r="E9">
        <f t="shared" si="0"/>
        <v>12</v>
      </c>
      <c r="F9">
        <f>SUM(D8:D9)^2 - SUM(D8:D9)</f>
        <v>56</v>
      </c>
      <c r="G9">
        <f>SUM(D8:D9)</f>
        <v>8</v>
      </c>
      <c r="H9">
        <f t="shared" si="1"/>
        <v>3.4285714285714285E-4</v>
      </c>
    </row>
    <row r="11" spans="1:20">
      <c r="A11" t="s">
        <v>638</v>
      </c>
      <c r="B11" t="s">
        <v>879</v>
      </c>
      <c r="C11" t="s">
        <v>624</v>
      </c>
      <c r="D11" t="s">
        <v>888</v>
      </c>
      <c r="E11" t="s">
        <v>889</v>
      </c>
      <c r="R11" t="s">
        <v>316</v>
      </c>
      <c r="S11" t="s">
        <v>895</v>
      </c>
      <c r="T11" t="s">
        <v>858</v>
      </c>
    </row>
    <row r="12" spans="1:20">
      <c r="A12" t="s">
        <v>875</v>
      </c>
      <c r="B12">
        <v>0.14000000000000001</v>
      </c>
      <c r="C12">
        <v>0.02</v>
      </c>
      <c r="D12">
        <v>4</v>
      </c>
      <c r="E12">
        <f>D12^2-D12</f>
        <v>12</v>
      </c>
      <c r="F12">
        <f>SUM(D12:D13)^2 - SUM(D12:D13)</f>
        <v>56</v>
      </c>
      <c r="G12">
        <f>SUM(D12:D13)</f>
        <v>8</v>
      </c>
      <c r="H12">
        <f>(E12/F12)*C12^2</f>
        <v>8.5714285714285713E-5</v>
      </c>
      <c r="I12">
        <f>AVERAGE(B12:B13)</f>
        <v>8.900000000000001E-2</v>
      </c>
      <c r="J12">
        <f>SQRT(H12+H13 + ((D12*D13*(B12-B13)^2)/(G12*F12)))</f>
        <v>2.1404271936761997E-2</v>
      </c>
      <c r="K12">
        <f>SUM(D12:D13)</f>
        <v>8</v>
      </c>
      <c r="L12">
        <f>K12^2-K12</f>
        <v>56</v>
      </c>
      <c r="M12">
        <f>SUM(K12:K15)^2 - SUM(K12:K15)</f>
        <v>132</v>
      </c>
      <c r="N12">
        <f>(L12/M12)*J12^2</f>
        <v>1.9436363636363637E-4</v>
      </c>
      <c r="O12">
        <f>SUM(K12:K15)</f>
        <v>12</v>
      </c>
      <c r="P12">
        <f>SQRT(N12+N14+ ((O12*O14*(I12-I14)^2)/(O12*M12)))</f>
        <v>3.0598573941815119E-2</v>
      </c>
      <c r="R12">
        <f>AVERAGE(B12:B15)</f>
        <v>0.11600000000000001</v>
      </c>
      <c r="S12">
        <v>5.211285829812063E-2</v>
      </c>
      <c r="T12">
        <v>3</v>
      </c>
    </row>
    <row r="13" spans="1:20">
      <c r="A13" t="s">
        <v>876</v>
      </c>
      <c r="B13">
        <v>3.7999999999999999E-2</v>
      </c>
      <c r="C13">
        <v>2E-3</v>
      </c>
      <c r="D13">
        <v>4</v>
      </c>
      <c r="E13">
        <f t="shared" ref="E13:E14" si="2">D13^2-D13</f>
        <v>12</v>
      </c>
      <c r="F13">
        <f>SUM(D12:D13)^2 - SUM(D12:D13)</f>
        <v>56</v>
      </c>
      <c r="G13">
        <f>SUM(D12:D13)</f>
        <v>8</v>
      </c>
      <c r="H13">
        <f t="shared" ref="H13:H14" si="3">(E13/F13)*C13^2</f>
        <v>8.5714285714285703E-7</v>
      </c>
    </row>
    <row r="14" spans="1:20">
      <c r="A14" t="s">
        <v>877</v>
      </c>
      <c r="B14">
        <v>0.17</v>
      </c>
      <c r="C14">
        <v>0.04</v>
      </c>
      <c r="D14">
        <v>4</v>
      </c>
      <c r="E14">
        <f t="shared" si="2"/>
        <v>12</v>
      </c>
      <c r="F14">
        <f>SUM(D14:D15)^2 - SUM(D14:D15)</f>
        <v>12</v>
      </c>
      <c r="G14">
        <f>SUM(D14:D15)</f>
        <v>4</v>
      </c>
      <c r="H14">
        <f t="shared" si="3"/>
        <v>1.6000000000000001E-3</v>
      </c>
      <c r="I14">
        <f>AVERAGE(B14:B15)</f>
        <v>0.17</v>
      </c>
      <c r="J14">
        <f>SQRT(H14+H15 + ((D14*D15*(B14-B15)^2)/(G14*F14)))</f>
        <v>0.04</v>
      </c>
      <c r="K14">
        <f>SUM(D14:D15)</f>
        <v>4</v>
      </c>
      <c r="L14">
        <f>K14^2-K14</f>
        <v>12</v>
      </c>
      <c r="M14">
        <f>SUM(K12:K15)^2 - SUM(K12:K15)</f>
        <v>132</v>
      </c>
      <c r="N14">
        <f>(L14/M14)*J14^2</f>
        <v>1.4545454545454546E-4</v>
      </c>
      <c r="O14">
        <f>SUM(K12:K15)</f>
        <v>12</v>
      </c>
    </row>
    <row r="19" spans="1:20">
      <c r="A19" t="s">
        <v>870</v>
      </c>
      <c r="B19" t="s">
        <v>635</v>
      </c>
      <c r="C19" t="s">
        <v>624</v>
      </c>
      <c r="D19" t="s">
        <v>888</v>
      </c>
      <c r="E19" t="s">
        <v>889</v>
      </c>
      <c r="F19" t="s">
        <v>887</v>
      </c>
      <c r="R19" t="s">
        <v>315</v>
      </c>
      <c r="S19" t="s">
        <v>886</v>
      </c>
      <c r="T19" t="s">
        <v>858</v>
      </c>
    </row>
    <row r="20" spans="1:20">
      <c r="A20" t="s">
        <v>871</v>
      </c>
      <c r="B20">
        <v>0.76</v>
      </c>
      <c r="C20">
        <v>0.11</v>
      </c>
      <c r="D20">
        <v>4</v>
      </c>
      <c r="E20">
        <f>D20^2-D20</f>
        <v>12</v>
      </c>
      <c r="F20">
        <f>SUM(D20:D21)^2 - SUM(D20:D21)</f>
        <v>56</v>
      </c>
      <c r="G20">
        <f>SUM(D20:D21)</f>
        <v>8</v>
      </c>
      <c r="H20">
        <f>(E20/F20)*C20^2</f>
        <v>2.5928571428571428E-3</v>
      </c>
      <c r="I20">
        <f>AVERAGE(B20:B21)</f>
        <v>0.52500000000000002</v>
      </c>
      <c r="J20">
        <f>SQRT(H20+H21 + ((D20*D21*(B20-B21)^2)/(G20*F20)))</f>
        <v>0.10887410816429877</v>
      </c>
      <c r="K20">
        <f>SUM(D20:D21)</f>
        <v>8</v>
      </c>
      <c r="L20">
        <f>K20^2-K20</f>
        <v>56</v>
      </c>
      <c r="M20">
        <f>SUM(K20:K23)^2 - SUM(K20:K23)</f>
        <v>240</v>
      </c>
      <c r="N20">
        <f>(L20/M20)*J20^2</f>
        <v>2.7658333333333328E-3</v>
      </c>
      <c r="O20">
        <f>SUM(K20:K23)</f>
        <v>16</v>
      </c>
      <c r="P20">
        <f>SQRT(N20+N22+ ((O20*O22*(I20-I22)^2)/(O20*M20)))</f>
        <v>5.7893580530717449E-2</v>
      </c>
      <c r="R20">
        <f>AVERAGE(B20:B23)</f>
        <v>0.495</v>
      </c>
      <c r="S20">
        <v>5.7893580530717449E-2</v>
      </c>
      <c r="T20">
        <v>4</v>
      </c>
    </row>
    <row r="21" spans="1:20">
      <c r="A21" t="s">
        <v>872</v>
      </c>
      <c r="B21">
        <v>0.28999999999999998</v>
      </c>
      <c r="C21">
        <v>0.08</v>
      </c>
      <c r="D21">
        <v>4</v>
      </c>
      <c r="E21">
        <f t="shared" ref="E21:E23" si="4">D21^2-D21</f>
        <v>12</v>
      </c>
      <c r="F21">
        <f>SUM(D20:D21)^2 - SUM(D20:D21)</f>
        <v>56</v>
      </c>
      <c r="G21">
        <f>SUM(D20:D21)</f>
        <v>8</v>
      </c>
      <c r="H21">
        <f t="shared" ref="H21:H23" si="5">(E21/F21)*C21^2</f>
        <v>1.3714285714285714E-3</v>
      </c>
    </row>
    <row r="22" spans="1:20">
      <c r="A22" t="s">
        <v>873</v>
      </c>
      <c r="B22">
        <v>0.44</v>
      </c>
      <c r="C22">
        <v>0.04</v>
      </c>
      <c r="D22">
        <v>4</v>
      </c>
      <c r="E22">
        <f t="shared" si="4"/>
        <v>12</v>
      </c>
      <c r="F22">
        <f>SUM(D22:D23)^2 - SUM(D22:D23)</f>
        <v>56</v>
      </c>
      <c r="G22">
        <f>SUM(D22:D23)</f>
        <v>8</v>
      </c>
      <c r="H22">
        <f t="shared" si="5"/>
        <v>3.4285714285714285E-4</v>
      </c>
      <c r="I22">
        <f>AVERAGE(B22:B23)</f>
        <v>0.46499999999999997</v>
      </c>
      <c r="J22">
        <f>SQRT(H22+H23 + ((D22*D23*(B22-B23)^2)/(G22*F22)))</f>
        <v>3.849860850917676E-2</v>
      </c>
      <c r="K22">
        <f>SUM(D22:D23)</f>
        <v>8</v>
      </c>
      <c r="L22">
        <f>K22^2-K22</f>
        <v>56</v>
      </c>
      <c r="M22">
        <f>SUM(K20:K23)^2 - SUM(K20:K23)</f>
        <v>240</v>
      </c>
      <c r="N22">
        <f>(L22/M22)*J22^2</f>
        <v>3.4583333333333335E-4</v>
      </c>
      <c r="O22">
        <f>SUM(K20:K23)</f>
        <v>16</v>
      </c>
    </row>
    <row r="23" spans="1:20">
      <c r="A23" t="s">
        <v>874</v>
      </c>
      <c r="B23">
        <v>0.49</v>
      </c>
      <c r="C23">
        <v>7.0000000000000007E-2</v>
      </c>
      <c r="D23">
        <v>4</v>
      </c>
      <c r="E23">
        <f t="shared" si="4"/>
        <v>12</v>
      </c>
      <c r="F23">
        <f>SUM(D22:D23)^2 - SUM(D22:D23)</f>
        <v>56</v>
      </c>
      <c r="G23">
        <f>SUM(D22:D23)</f>
        <v>8</v>
      </c>
      <c r="H23">
        <f t="shared" si="5"/>
        <v>1.0500000000000002E-3</v>
      </c>
    </row>
    <row r="25" spans="1:20">
      <c r="A25" t="s">
        <v>638</v>
      </c>
      <c r="B25" t="s">
        <v>880</v>
      </c>
      <c r="C25" t="s">
        <v>624</v>
      </c>
      <c r="D25" t="s">
        <v>888</v>
      </c>
      <c r="E25" t="s">
        <v>889</v>
      </c>
      <c r="F25" t="s">
        <v>887</v>
      </c>
      <c r="R25" t="s">
        <v>316</v>
      </c>
      <c r="S25" t="s">
        <v>895</v>
      </c>
      <c r="T25" t="s">
        <v>858</v>
      </c>
    </row>
    <row r="26" spans="1:20">
      <c r="A26" t="s">
        <v>875</v>
      </c>
      <c r="B26">
        <v>0.82</v>
      </c>
      <c r="C26">
        <v>0.1</v>
      </c>
      <c r="D26">
        <v>4</v>
      </c>
      <c r="E26">
        <f>D26^2-D26</f>
        <v>12</v>
      </c>
      <c r="F26">
        <f>SUM(D26:D27)^2 - SUM(D26:D27)</f>
        <v>56</v>
      </c>
      <c r="G26">
        <f>SUM(D26:D27)</f>
        <v>8</v>
      </c>
      <c r="H26">
        <f>(E26/F26)*C26^2</f>
        <v>2.142857142857143E-3</v>
      </c>
      <c r="I26">
        <f>AVERAGE(B26:B27)</f>
        <v>0.61</v>
      </c>
      <c r="J26">
        <f>SQRT(H26+H27 + ((D26*D27*(B26-B27)^2)/(G26*F26)))</f>
        <v>0.10088890637018237</v>
      </c>
      <c r="K26">
        <f>SUM(D26:D27)</f>
        <v>8</v>
      </c>
      <c r="L26">
        <f>K26^2-K26</f>
        <v>56</v>
      </c>
      <c r="M26">
        <f>SUM(K26:K29)^2 - SUM(K26:K29)</f>
        <v>132</v>
      </c>
      <c r="N26">
        <f>(L26/M26)*J26^2</f>
        <v>4.3181818181818174E-3</v>
      </c>
      <c r="O26">
        <f>SUM(K26:K29)</f>
        <v>12</v>
      </c>
      <c r="P26">
        <f>SQRT(N26+N28+ ((O26*O28*(I26-I28)^2)/(O26*M26)))</f>
        <v>9.4146887169127169E-2</v>
      </c>
      <c r="R26">
        <f>AVERAGE(B26:B29)</f>
        <v>0.53666666666666663</v>
      </c>
      <c r="S26">
        <v>9.4146887169127169E-2</v>
      </c>
      <c r="T26">
        <v>3</v>
      </c>
    </row>
    <row r="27" spans="1:20">
      <c r="A27" t="s">
        <v>876</v>
      </c>
      <c r="B27">
        <v>0.4</v>
      </c>
      <c r="C27">
        <v>0.09</v>
      </c>
      <c r="D27">
        <v>4</v>
      </c>
      <c r="E27">
        <f t="shared" ref="E27:E28" si="6">D27^2-D27</f>
        <v>12</v>
      </c>
      <c r="F27">
        <f>SUM(D26:D27)^2 - SUM(D26:D27)</f>
        <v>56</v>
      </c>
      <c r="G27">
        <f>SUM(D26:D27)</f>
        <v>8</v>
      </c>
      <c r="H27">
        <f t="shared" ref="H27:H28" si="7">(E27/F27)*C27^2</f>
        <v>1.7357142857142855E-3</v>
      </c>
    </row>
    <row r="28" spans="1:20">
      <c r="A28" t="s">
        <v>877</v>
      </c>
      <c r="B28">
        <v>0.39</v>
      </c>
      <c r="C28">
        <v>0.04</v>
      </c>
      <c r="D28">
        <v>4</v>
      </c>
      <c r="E28">
        <f t="shared" si="6"/>
        <v>12</v>
      </c>
      <c r="F28">
        <f>SUM(D28:D29)^2 - SUM(D28:D29)</f>
        <v>12</v>
      </c>
      <c r="G28">
        <f>SUM(D28:D29)</f>
        <v>4</v>
      </c>
      <c r="H28">
        <f t="shared" si="7"/>
        <v>1.6000000000000001E-3</v>
      </c>
      <c r="I28">
        <f>AVERAGE(B28:B29)</f>
        <v>0.39</v>
      </c>
      <c r="J28">
        <f>SQRT(H28+H29 + ((D28*D29*(B28-B29)^2)/(G28*F28)))</f>
        <v>0.04</v>
      </c>
      <c r="K28">
        <f>SUM(D28:D29)</f>
        <v>4</v>
      </c>
      <c r="L28">
        <f>K28^2-K28</f>
        <v>12</v>
      </c>
      <c r="M28">
        <f>SUM(K26:K29)^2 - SUM(K26:K29)</f>
        <v>132</v>
      </c>
      <c r="N28">
        <f>(L28/M28)*J28^2</f>
        <v>1.4545454545454546E-4</v>
      </c>
      <c r="O28">
        <f>SUM(K26:K29)</f>
        <v>12</v>
      </c>
    </row>
    <row r="30" spans="1:20">
      <c r="A30" t="s">
        <v>637</v>
      </c>
    </row>
    <row r="31" spans="1:20">
      <c r="A31" t="s">
        <v>870</v>
      </c>
      <c r="B31" t="s">
        <v>1119</v>
      </c>
      <c r="C31" t="s">
        <v>624</v>
      </c>
      <c r="D31" t="s">
        <v>888</v>
      </c>
      <c r="E31" t="s">
        <v>889</v>
      </c>
      <c r="F31" t="s">
        <v>887</v>
      </c>
      <c r="G31" t="s">
        <v>858</v>
      </c>
      <c r="H31" t="s">
        <v>884</v>
      </c>
      <c r="I31" t="s">
        <v>883</v>
      </c>
      <c r="J31" t="s">
        <v>882</v>
      </c>
      <c r="K31" t="s">
        <v>892</v>
      </c>
      <c r="L31" t="s">
        <v>893</v>
      </c>
      <c r="M31" t="s">
        <v>891</v>
      </c>
      <c r="N31" t="s">
        <v>884</v>
      </c>
      <c r="O31" t="s">
        <v>890</v>
      </c>
      <c r="P31" t="s">
        <v>885</v>
      </c>
      <c r="R31" t="s">
        <v>315</v>
      </c>
      <c r="S31" t="s">
        <v>886</v>
      </c>
      <c r="T31" t="s">
        <v>858</v>
      </c>
    </row>
    <row r="32" spans="1:20">
      <c r="A32" t="s">
        <v>871</v>
      </c>
      <c r="B32">
        <v>13.58</v>
      </c>
      <c r="C32">
        <v>0.39</v>
      </c>
      <c r="D32">
        <v>4</v>
      </c>
      <c r="E32">
        <f>D32^2-D32</f>
        <v>12</v>
      </c>
      <c r="F32">
        <f>SUM(D32:D33)^2 - SUM(D32:D33)</f>
        <v>56</v>
      </c>
      <c r="G32">
        <f>SUM(D32:D33)</f>
        <v>8</v>
      </c>
      <c r="H32">
        <f>(E32/F32)*C32^2</f>
        <v>3.2592857142857146E-2</v>
      </c>
      <c r="I32">
        <f>AVERAGE(B32:B33)</f>
        <v>13.425000000000001</v>
      </c>
      <c r="J32">
        <f>SQRT(H32+H33 + ((D32*D33*(B32-B33)^2)/(G32*F32)))</f>
        <v>1.0632547739303662</v>
      </c>
      <c r="K32">
        <f>SUM(D32:D33)</f>
        <v>8</v>
      </c>
      <c r="L32">
        <f>K32^2-K32</f>
        <v>56</v>
      </c>
      <c r="M32">
        <f>SUM(K32:K35)^2 - SUM(K32:K35)</f>
        <v>240</v>
      </c>
      <c r="N32">
        <f>(L32/M32)*J32^2</f>
        <v>0.26378583333333327</v>
      </c>
      <c r="O32">
        <f>SUM(K32:K35)</f>
        <v>16</v>
      </c>
      <c r="P32">
        <f>SQRT(N32+N34+ ((O32*O34*(I32-I34)^2)/(O32*M32)))</f>
        <v>1.1076544286614547</v>
      </c>
      <c r="R32">
        <f>AVERAGE(B32:B35)</f>
        <v>11.555000000000001</v>
      </c>
      <c r="S32">
        <v>1.1076544286614547</v>
      </c>
      <c r="T32">
        <v>4</v>
      </c>
    </row>
    <row r="33" spans="1:20">
      <c r="A33" t="s">
        <v>872</v>
      </c>
      <c r="B33">
        <v>13.27</v>
      </c>
      <c r="C33">
        <v>2.2599999999999998</v>
      </c>
      <c r="D33">
        <v>4</v>
      </c>
      <c r="E33">
        <f t="shared" ref="E33:E35" si="8">D33^2-D33</f>
        <v>12</v>
      </c>
      <c r="F33">
        <f>SUM(D32:D33)^2 - SUM(D32:D33)</f>
        <v>56</v>
      </c>
      <c r="G33">
        <f>SUM(D32:D33)</f>
        <v>8</v>
      </c>
      <c r="H33">
        <f t="shared" ref="H33:H35" si="9">(E33/F33)*C33^2</f>
        <v>1.0944857142857141</v>
      </c>
      <c r="R33">
        <v>11.555000000000001</v>
      </c>
      <c r="S33">
        <v>1.1076544286614547</v>
      </c>
    </row>
    <row r="34" spans="1:20">
      <c r="A34" t="s">
        <v>873</v>
      </c>
      <c r="B34">
        <v>10.41</v>
      </c>
      <c r="C34">
        <v>0.04</v>
      </c>
      <c r="D34">
        <v>4</v>
      </c>
      <c r="E34">
        <f t="shared" si="8"/>
        <v>12</v>
      </c>
      <c r="F34">
        <f>SUM(D34:D35)^2 - SUM(D34:D35)</f>
        <v>56</v>
      </c>
      <c r="G34">
        <f>SUM(D34:D35)</f>
        <v>8</v>
      </c>
      <c r="H34">
        <f t="shared" si="9"/>
        <v>3.4285714285714285E-4</v>
      </c>
      <c r="I34">
        <f>AVERAGE(B34:B35)</f>
        <v>9.6850000000000005</v>
      </c>
      <c r="J34">
        <f>SQRT(H34+H35 + ((D34*D35*(B34-B35)^2)/(G34*F34)))</f>
        <v>0.36217103299802578</v>
      </c>
      <c r="K34">
        <f>SUM(D34:D35)</f>
        <v>8</v>
      </c>
      <c r="L34">
        <f>K34^2-K34</f>
        <v>56</v>
      </c>
      <c r="M34">
        <f>SUM(K32:K35)^2 - SUM(K32:K35)</f>
        <v>240</v>
      </c>
      <c r="N34">
        <f>(L34/M34)*J34^2</f>
        <v>3.0605833333333322E-2</v>
      </c>
      <c r="O34">
        <f>SUM(K32:K35)</f>
        <v>16</v>
      </c>
    </row>
    <row r="35" spans="1:20">
      <c r="A35" t="s">
        <v>874</v>
      </c>
      <c r="B35">
        <v>8.9600000000000009</v>
      </c>
      <c r="C35">
        <v>0.51</v>
      </c>
      <c r="D35">
        <v>4</v>
      </c>
      <c r="E35">
        <f t="shared" si="8"/>
        <v>12</v>
      </c>
      <c r="F35">
        <f>SUM(D34:D35)^2 - SUM(D34:D35)</f>
        <v>56</v>
      </c>
      <c r="G35">
        <f>SUM(D34:D35)</f>
        <v>8</v>
      </c>
      <c r="H35">
        <f t="shared" si="9"/>
        <v>5.5735714285714284E-2</v>
      </c>
    </row>
    <row r="37" spans="1:20">
      <c r="A37" t="s">
        <v>638</v>
      </c>
      <c r="B37" t="s">
        <v>1119</v>
      </c>
      <c r="C37" t="s">
        <v>624</v>
      </c>
      <c r="D37" t="s">
        <v>888</v>
      </c>
      <c r="E37" t="s">
        <v>889</v>
      </c>
      <c r="R37" t="s">
        <v>316</v>
      </c>
      <c r="S37" t="s">
        <v>895</v>
      </c>
      <c r="T37" t="s">
        <v>858</v>
      </c>
    </row>
    <row r="38" spans="1:20">
      <c r="A38" t="s">
        <v>875</v>
      </c>
      <c r="B38">
        <v>8.4600000000000009</v>
      </c>
      <c r="C38">
        <v>4.2699999999999996</v>
      </c>
      <c r="D38">
        <v>4</v>
      </c>
      <c r="E38">
        <f>D38^2-D38</f>
        <v>12</v>
      </c>
      <c r="F38">
        <f>SUM(D38:D39)^2 - SUM(D38:D39)</f>
        <v>56</v>
      </c>
      <c r="G38">
        <f>SUM(D38:D39)</f>
        <v>8</v>
      </c>
      <c r="H38">
        <f>(E38/F38)*C38^2</f>
        <v>3.907049999999999</v>
      </c>
      <c r="I38">
        <f>AVERAGE(B38:B39)</f>
        <v>10.81</v>
      </c>
      <c r="J38">
        <f>SQRT(H38+H39 + ((D38*D39*(B38-B39)^2)/(G38*F38)))</f>
        <v>2.179842720407664</v>
      </c>
      <c r="K38">
        <f>SUM(D38:D39)</f>
        <v>8</v>
      </c>
      <c r="L38">
        <f>K38^2-K38</f>
        <v>56</v>
      </c>
      <c r="M38">
        <f>SUM(K38:K41)^2 - SUM(K38:K41)</f>
        <v>132</v>
      </c>
      <c r="N38">
        <f>(L38/M38)*J38^2</f>
        <v>2.0158787878787874</v>
      </c>
      <c r="O38">
        <f>SUM(K38:K41)</f>
        <v>12</v>
      </c>
      <c r="P38">
        <f>SQRT(N38+N40+ ((O38*O40*(I38-I40)^2)/(O38*M38)))</f>
        <v>1.4404755107150196</v>
      </c>
      <c r="R38">
        <f>AVERAGE(B38:B41)</f>
        <v>10.616666666666667</v>
      </c>
      <c r="S38">
        <v>1.4404755107150196</v>
      </c>
      <c r="T38">
        <v>3</v>
      </c>
    </row>
    <row r="39" spans="1:20">
      <c r="A39" t="s">
        <v>876</v>
      </c>
      <c r="B39">
        <v>13.16</v>
      </c>
      <c r="C39">
        <v>0.51</v>
      </c>
      <c r="D39">
        <v>4</v>
      </c>
      <c r="E39">
        <f t="shared" ref="E39:E40" si="10">D39^2-D39</f>
        <v>12</v>
      </c>
      <c r="F39">
        <f>SUM(D38:D39)^2 - SUM(D38:D39)</f>
        <v>56</v>
      </c>
      <c r="G39">
        <f>SUM(D38:D39)</f>
        <v>8</v>
      </c>
      <c r="H39">
        <f t="shared" ref="H39:H40" si="11">(E39/F39)*C39^2</f>
        <v>5.5735714285714284E-2</v>
      </c>
      <c r="R39">
        <v>10.616666666666667</v>
      </c>
      <c r="S39">
        <v>1.4404755107150196</v>
      </c>
    </row>
    <row r="40" spans="1:20">
      <c r="A40" t="s">
        <v>877</v>
      </c>
      <c r="B40">
        <v>10.23</v>
      </c>
      <c r="C40">
        <v>0.56000000000000005</v>
      </c>
      <c r="D40">
        <v>4</v>
      </c>
      <c r="E40">
        <f t="shared" si="10"/>
        <v>12</v>
      </c>
      <c r="F40">
        <f>SUM(D40:D41)^2 - SUM(D40:D41)</f>
        <v>12</v>
      </c>
      <c r="G40">
        <f>SUM(D40:D41)</f>
        <v>4</v>
      </c>
      <c r="H40">
        <f t="shared" si="11"/>
        <v>0.31360000000000005</v>
      </c>
      <c r="I40">
        <f>AVERAGE(B40:B41)</f>
        <v>10.23</v>
      </c>
      <c r="J40">
        <f>SQRT(H40+H41 + ((D40*D41*(B40-B41)^2)/(G40*F40)))</f>
        <v>0.56000000000000005</v>
      </c>
      <c r="K40">
        <f>SUM(D40:D41)</f>
        <v>4</v>
      </c>
      <c r="L40">
        <f>K40^2-K40</f>
        <v>12</v>
      </c>
      <c r="M40">
        <f>SUM(K38:K41)^2 - SUM(K38:K41)</f>
        <v>132</v>
      </c>
      <c r="N40">
        <f>(L40/M40)*J40^2</f>
        <v>2.8509090909090914E-2</v>
      </c>
      <c r="O40">
        <f>SUM(K38:K41)</f>
        <v>12</v>
      </c>
    </row>
    <row r="44" spans="1:20">
      <c r="A44" t="s">
        <v>1110</v>
      </c>
    </row>
    <row r="45" spans="1:20">
      <c r="A45" t="s">
        <v>1111</v>
      </c>
      <c r="B45" t="s">
        <v>623</v>
      </c>
      <c r="C45" t="s">
        <v>624</v>
      </c>
      <c r="D45" t="s">
        <v>858</v>
      </c>
      <c r="E45" t="s">
        <v>889</v>
      </c>
      <c r="F45" t="s">
        <v>887</v>
      </c>
      <c r="G45" t="s">
        <v>858</v>
      </c>
      <c r="H45" t="s">
        <v>884</v>
      </c>
      <c r="I45" t="s">
        <v>883</v>
      </c>
      <c r="J45" t="s">
        <v>882</v>
      </c>
      <c r="K45" t="s">
        <v>892</v>
      </c>
      <c r="L45" t="s">
        <v>893</v>
      </c>
      <c r="M45" t="s">
        <v>891</v>
      </c>
      <c r="N45" t="s">
        <v>884</v>
      </c>
      <c r="O45" t="s">
        <v>890</v>
      </c>
      <c r="P45" t="s">
        <v>885</v>
      </c>
      <c r="R45" t="s">
        <v>623</v>
      </c>
    </row>
    <row r="46" spans="1:20">
      <c r="B46">
        <v>1.202</v>
      </c>
      <c r="C46">
        <v>0.25600000000000001</v>
      </c>
      <c r="D46">
        <v>5</v>
      </c>
      <c r="E46">
        <f>D46^2-D46</f>
        <v>20</v>
      </c>
      <c r="F46">
        <f>SUM(D46:D47)^2 - SUM(D46:D47)</f>
        <v>90</v>
      </c>
      <c r="G46">
        <f>SUM(D46:D47)</f>
        <v>10</v>
      </c>
      <c r="H46">
        <f>(E46/F46)*C46^2</f>
        <v>1.4563555555555554E-2</v>
      </c>
      <c r="I46">
        <f>AVERAGE(B46:B47)</f>
        <v>1.1869999999999998</v>
      </c>
      <c r="J46">
        <f>SQRT(H46+H47 + ((D46*D47*(B46-B47)^2)/(G46*F46)))</f>
        <v>0.23031596654258346</v>
      </c>
      <c r="K46">
        <f>SUM(D46:D47)</f>
        <v>10</v>
      </c>
      <c r="L46">
        <f>K46^2-K46</f>
        <v>90</v>
      </c>
      <c r="M46">
        <f>SUM(K46:K49)^2 - SUM(K46:K49)</f>
        <v>380</v>
      </c>
      <c r="N46">
        <f>(L46/M46)*J46^2</f>
        <v>1.25633947368421E-2</v>
      </c>
      <c r="O46">
        <f>SUM(K46:K49)</f>
        <v>20</v>
      </c>
      <c r="P46">
        <f>SQRT(N46+N48+ ((O46*O48*(I46-I48)^2)/(O46*M46)))</f>
        <v>0.11208655020492914</v>
      </c>
      <c r="R46">
        <f>AVERAGE(B46:B47)</f>
        <v>1.1869999999999998</v>
      </c>
    </row>
    <row r="47" spans="1:20">
      <c r="B47">
        <v>1.1719999999999999</v>
      </c>
      <c r="C47">
        <v>0.41599999999999998</v>
      </c>
      <c r="D47">
        <v>5</v>
      </c>
      <c r="E47">
        <f t="shared" ref="E47" si="12">D47^2-D47</f>
        <v>20</v>
      </c>
      <c r="F47">
        <f>SUM(D46:D47)^2 - SUM(D46:D47)</f>
        <v>90</v>
      </c>
      <c r="G47">
        <f>SUM(D46:D47)</f>
        <v>10</v>
      </c>
      <c r="H47">
        <f t="shared" ref="H47" si="13">(E47/F47)*C47^2</f>
        <v>3.8456888888888881E-2</v>
      </c>
    </row>
    <row r="48" spans="1:20">
      <c r="R48" t="s">
        <v>623</v>
      </c>
    </row>
    <row r="49" spans="1:18">
      <c r="A49" t="s">
        <v>1112</v>
      </c>
      <c r="B49">
        <v>0.33</v>
      </c>
      <c r="C49">
        <v>0.11</v>
      </c>
      <c r="D49">
        <v>5</v>
      </c>
      <c r="E49">
        <f>D49^2-D49</f>
        <v>20</v>
      </c>
      <c r="F49">
        <f>SUM(D49:D50)^2 - SUM(D49:D50)</f>
        <v>90</v>
      </c>
      <c r="G49">
        <f>SUM(D49:D50)</f>
        <v>10</v>
      </c>
      <c r="H49">
        <f>(E49/F49)*C49^2</f>
        <v>2.6888888888888887E-3</v>
      </c>
      <c r="I49">
        <f>AVERAGE(B49:B50)</f>
        <v>0.69500000000000006</v>
      </c>
      <c r="J49">
        <f>SQRT(H49+H50 + ((D49*D50*(B49-B50)^2)/(G49*F49)))</f>
        <v>0.20061710351368905</v>
      </c>
      <c r="K49">
        <f>SUM(D49:D50)</f>
        <v>10</v>
      </c>
      <c r="L49">
        <f>K49^2-K49</f>
        <v>90</v>
      </c>
      <c r="M49">
        <f>SUM(K49:K52)^2 - SUM(K49:K52)</f>
        <v>90</v>
      </c>
      <c r="N49">
        <f>(L49/M49)*J49^2</f>
        <v>4.0247222222222226E-2</v>
      </c>
      <c r="O49">
        <f>SUM(K49:K52)</f>
        <v>10</v>
      </c>
      <c r="P49">
        <f>SQRT(N49+N51+ ((O49*O51*(I49-I51)^2)/(O49*M49)))</f>
        <v>0.20061710351368905</v>
      </c>
      <c r="R49">
        <f>AVERAGE(B49:B50)</f>
        <v>0.69500000000000006</v>
      </c>
    </row>
    <row r="50" spans="1:18">
      <c r="B50">
        <v>1.06</v>
      </c>
      <c r="C50">
        <v>0.32</v>
      </c>
      <c r="D50">
        <v>5</v>
      </c>
      <c r="E50">
        <f t="shared" ref="E50" si="14">D50^2-D50</f>
        <v>20</v>
      </c>
      <c r="F50">
        <f>SUM(D49:D50)^2 - SUM(D49:D50)</f>
        <v>90</v>
      </c>
      <c r="G50">
        <f>SUM(D49:D50)</f>
        <v>10</v>
      </c>
      <c r="H50">
        <f t="shared" ref="H50" si="15">(E50/F50)*C50^2</f>
        <v>2.2755555555555557E-2</v>
      </c>
    </row>
    <row r="53" spans="1:18">
      <c r="A53" t="s">
        <v>1117</v>
      </c>
      <c r="B53" t="s">
        <v>623</v>
      </c>
      <c r="C53" t="s">
        <v>624</v>
      </c>
      <c r="D53" t="s">
        <v>858</v>
      </c>
      <c r="E53" t="s">
        <v>889</v>
      </c>
      <c r="F53" t="s">
        <v>887</v>
      </c>
      <c r="G53" t="s">
        <v>858</v>
      </c>
      <c r="H53" t="s">
        <v>884</v>
      </c>
      <c r="I53" t="s">
        <v>883</v>
      </c>
      <c r="J53" t="s">
        <v>882</v>
      </c>
      <c r="K53" t="s">
        <v>892</v>
      </c>
      <c r="L53" t="s">
        <v>893</v>
      </c>
      <c r="M53" t="s">
        <v>891</v>
      </c>
      <c r="N53" t="s">
        <v>884</v>
      </c>
      <c r="O53" t="s">
        <v>890</v>
      </c>
      <c r="P53" t="s">
        <v>885</v>
      </c>
      <c r="R53" t="s">
        <v>623</v>
      </c>
    </row>
    <row r="54" spans="1:18">
      <c r="B54">
        <v>0.52900000000000003</v>
      </c>
      <c r="C54">
        <v>0.28899999999999998</v>
      </c>
      <c r="D54">
        <v>5</v>
      </c>
      <c r="E54">
        <f>D54^2-D54</f>
        <v>20</v>
      </c>
      <c r="F54">
        <f>SUM(D54:D55)^2 - SUM(D54:D55)</f>
        <v>90</v>
      </c>
      <c r="G54">
        <f>SUM(D54:D55)</f>
        <v>10</v>
      </c>
      <c r="H54">
        <f>(E54/F54)*C54^2</f>
        <v>1.8560222222222218E-2</v>
      </c>
      <c r="I54">
        <f>AVERAGE(B54:B55)</f>
        <v>6.0359999999999996</v>
      </c>
      <c r="J54">
        <f>SQRT(H54+H55 + ((D54*D55*(B54-B55)^2)/(G54*F54)))</f>
        <v>1.8511318759673019</v>
      </c>
      <c r="K54">
        <f>SUM(D54:D55)</f>
        <v>10</v>
      </c>
      <c r="L54">
        <f>K54^2-K54</f>
        <v>90</v>
      </c>
      <c r="M54">
        <f>SUM(K54:K57)^2 - SUM(K54:K57)</f>
        <v>380</v>
      </c>
      <c r="N54">
        <f>(L54/M54)*J54^2</f>
        <v>0.81158428947368422</v>
      </c>
      <c r="O54">
        <f>SUM(K54:K57)</f>
        <v>20</v>
      </c>
      <c r="P54">
        <f>SQRT(N54+N56+ ((O54*O56*(I54-I56)^2)/(O54*M54)))</f>
        <v>0.90087973085961048</v>
      </c>
      <c r="R54">
        <f>AVERAGE(B54:B55)</f>
        <v>6.0359999999999996</v>
      </c>
    </row>
    <row r="55" spans="1:18">
      <c r="B55">
        <v>11.542999999999999</v>
      </c>
      <c r="C55">
        <v>0.41599999999999998</v>
      </c>
      <c r="D55">
        <v>5</v>
      </c>
      <c r="E55">
        <f t="shared" ref="E55" si="16">D55^2-D55</f>
        <v>20</v>
      </c>
      <c r="F55">
        <f>SUM(D54:D55)^2 - SUM(D54:D55)</f>
        <v>90</v>
      </c>
      <c r="G55">
        <f>SUM(D54:D55)</f>
        <v>10</v>
      </c>
      <c r="H55">
        <f t="shared" ref="H55" si="17">(E55/F55)*C55^2</f>
        <v>3.8456888888888881E-2</v>
      </c>
    </row>
    <row r="56" spans="1:18">
      <c r="R56" t="s">
        <v>623</v>
      </c>
    </row>
    <row r="57" spans="1:18">
      <c r="A57" t="s">
        <v>1118</v>
      </c>
      <c r="B57">
        <v>0.01</v>
      </c>
      <c r="C57">
        <v>0</v>
      </c>
      <c r="D57">
        <v>5</v>
      </c>
      <c r="E57">
        <f>D57^2-D57</f>
        <v>20</v>
      </c>
      <c r="F57">
        <f>SUM(D57:D58)^2 - SUM(D57:D58)</f>
        <v>90</v>
      </c>
      <c r="G57">
        <f>SUM(D57:D58)</f>
        <v>10</v>
      </c>
      <c r="H57">
        <f>(E57/F57)*C57^2</f>
        <v>0</v>
      </c>
      <c r="I57">
        <f>AVERAGE(B57:B58)</f>
        <v>0.37</v>
      </c>
      <c r="J57">
        <f>SQRT(H57+H58 + ((D57*D58*(B57-B58)^2)/(G57*F57)))</f>
        <v>0.13695092389449426</v>
      </c>
      <c r="K57">
        <f>SUM(D57:D58)</f>
        <v>10</v>
      </c>
      <c r="L57">
        <f>K57^2-K57</f>
        <v>90</v>
      </c>
      <c r="M57">
        <f>SUM(K57:K60)^2 - SUM(K57:K60)</f>
        <v>90</v>
      </c>
      <c r="N57">
        <f>(L57/M57)*J57^2</f>
        <v>1.875555555555556E-2</v>
      </c>
      <c r="O57">
        <f>SUM(K57:K60)</f>
        <v>10</v>
      </c>
      <c r="P57">
        <f>SQRT(N57+N59+ ((O57*O59*(I57-I59)^2)/(O57*M57)))</f>
        <v>0.13695092389449426</v>
      </c>
      <c r="R57">
        <f>AVERAGE(B57:B58)</f>
        <v>0.37</v>
      </c>
    </row>
    <row r="58" spans="1:18">
      <c r="B58">
        <v>0.73</v>
      </c>
      <c r="C58">
        <v>0.14000000000000001</v>
      </c>
      <c r="D58">
        <v>5</v>
      </c>
      <c r="E58">
        <f t="shared" ref="E58" si="18">D58^2-D58</f>
        <v>20</v>
      </c>
      <c r="F58">
        <f>SUM(D57:D58)^2 - SUM(D57:D58)</f>
        <v>90</v>
      </c>
      <c r="G58">
        <f>SUM(D57:D58)</f>
        <v>10</v>
      </c>
      <c r="H58">
        <f t="shared" ref="H58" si="19">(E58/F58)*C58^2</f>
        <v>4.3555555555555561E-3</v>
      </c>
    </row>
  </sheetData>
  <hyperlinks>
    <hyperlink ref="D1" r:id="rId1" xr:uid="{4FA898B5-AB0B-5C4D-9BE2-54689489F3E6}"/>
    <hyperlink ref="D2" r:id="rId2" xr:uid="{0AF15CF6-FF31-D049-97FA-AE577CA94FD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E440-F4C1-474E-AB13-236CA61E2C65}">
  <dimension ref="A1:T22"/>
  <sheetViews>
    <sheetView workbookViewId="0">
      <selection activeCell="I28" sqref="I28"/>
    </sheetView>
  </sheetViews>
  <sheetFormatPr baseColWidth="10" defaultRowHeight="16"/>
  <sheetData>
    <row r="1" spans="1:20">
      <c r="A1" t="s">
        <v>853</v>
      </c>
      <c r="B1" t="s">
        <v>854</v>
      </c>
      <c r="R1" t="s">
        <v>858</v>
      </c>
      <c r="S1" t="s">
        <v>623</v>
      </c>
      <c r="T1" t="s">
        <v>851</v>
      </c>
    </row>
    <row r="2" spans="1:20">
      <c r="B2" t="s">
        <v>855</v>
      </c>
      <c r="C2">
        <v>0.42857142857142799</v>
      </c>
      <c r="D2">
        <v>0.30414746543778798</v>
      </c>
      <c r="E2">
        <v>0.27926267281105899</v>
      </c>
      <c r="F2">
        <v>0.268202764976958</v>
      </c>
      <c r="G2">
        <v>0.182488479262672</v>
      </c>
      <c r="R2">
        <f>COUNT(C2:Q2)</f>
        <v>5</v>
      </c>
      <c r="S2">
        <f>AVERAGE(C2:Q2)</f>
        <v>0.29253456221198099</v>
      </c>
      <c r="T2">
        <f>STDEV(C2:Q2)</f>
        <v>8.8768249261310772E-2</v>
      </c>
    </row>
    <row r="3" spans="1:20">
      <c r="B3" t="s">
        <v>537</v>
      </c>
      <c r="C3">
        <v>0.44516129032258001</v>
      </c>
      <c r="D3">
        <v>0.27649769585253398</v>
      </c>
      <c r="E3">
        <v>0.17695852534562201</v>
      </c>
      <c r="F3">
        <v>0.16313364055299501</v>
      </c>
      <c r="G3">
        <v>0.141013824884792</v>
      </c>
      <c r="H3">
        <v>0.107834101382488</v>
      </c>
      <c r="I3">
        <v>5.5299539170506798E-2</v>
      </c>
      <c r="J3">
        <v>1.6589861751151899E-2</v>
      </c>
      <c r="R3">
        <f t="shared" ref="R3:R6" si="0">COUNT(C3:Q3)</f>
        <v>8</v>
      </c>
      <c r="S3">
        <f t="shared" ref="S3:S12" si="1">AVERAGE(C3:Q3)</f>
        <v>0.17281105990783374</v>
      </c>
      <c r="T3">
        <f t="shared" ref="T3:T12" si="2">STDEV(C3:Q3)</f>
        <v>0.13547984032912938</v>
      </c>
    </row>
    <row r="4" spans="1:20">
      <c r="B4" t="s">
        <v>560</v>
      </c>
      <c r="C4">
        <v>0.17695852534562201</v>
      </c>
      <c r="D4">
        <v>0.141013824884792</v>
      </c>
      <c r="E4">
        <v>0.121658986175115</v>
      </c>
      <c r="R4">
        <f t="shared" si="0"/>
        <v>3</v>
      </c>
      <c r="S4">
        <f t="shared" si="1"/>
        <v>0.14654377880184302</v>
      </c>
      <c r="T4">
        <f t="shared" si="2"/>
        <v>2.8061451332052293E-2</v>
      </c>
    </row>
    <row r="5" spans="1:20">
      <c r="B5" t="s">
        <v>856</v>
      </c>
      <c r="C5">
        <v>0.22396313364055201</v>
      </c>
      <c r="D5">
        <v>0.182488479262672</v>
      </c>
      <c r="E5">
        <v>0.127188940092165</v>
      </c>
      <c r="F5">
        <v>1.3824884792626699E-2</v>
      </c>
      <c r="R5">
        <f t="shared" si="0"/>
        <v>4</v>
      </c>
      <c r="S5">
        <f t="shared" si="1"/>
        <v>0.13686635944700393</v>
      </c>
      <c r="T5">
        <f t="shared" si="2"/>
        <v>9.1104487306041884E-2</v>
      </c>
    </row>
    <row r="6" spans="1:20">
      <c r="B6" t="s">
        <v>760</v>
      </c>
      <c r="C6">
        <v>0.268202764976958</v>
      </c>
      <c r="D6">
        <v>0.23778801843317901</v>
      </c>
      <c r="E6">
        <v>0.21013824884792601</v>
      </c>
      <c r="F6">
        <v>0.14377880184331701</v>
      </c>
      <c r="R6">
        <f t="shared" si="0"/>
        <v>4</v>
      </c>
      <c r="S6">
        <f t="shared" si="1"/>
        <v>0.21497695852534501</v>
      </c>
      <c r="T6">
        <f t="shared" si="2"/>
        <v>5.3059468375287168E-2</v>
      </c>
    </row>
    <row r="8" spans="1:20">
      <c r="A8" t="s">
        <v>857</v>
      </c>
      <c r="B8" t="s">
        <v>855</v>
      </c>
      <c r="C8">
        <v>0.29308755760368599</v>
      </c>
      <c r="D8">
        <v>0.23225806451612799</v>
      </c>
      <c r="E8">
        <v>0.15760368663594401</v>
      </c>
      <c r="F8">
        <v>0.14654377880184299</v>
      </c>
      <c r="G8">
        <v>0.11612903225806399</v>
      </c>
      <c r="H8">
        <v>9.95391705069123E-2</v>
      </c>
      <c r="I8">
        <v>8.0184331797234998E-2</v>
      </c>
      <c r="J8">
        <v>6.08294930875573E-2</v>
      </c>
      <c r="R8">
        <f>COUNT(C8:Q8)</f>
        <v>8</v>
      </c>
      <c r="S8">
        <f t="shared" si="1"/>
        <v>0.1482718894009212</v>
      </c>
      <c r="T8">
        <f t="shared" si="2"/>
        <v>7.9107028316019817E-2</v>
      </c>
    </row>
    <row r="9" spans="1:20">
      <c r="B9" t="s">
        <v>537</v>
      </c>
      <c r="C9">
        <v>0.46728110599078299</v>
      </c>
      <c r="D9">
        <v>0.41474654377880099</v>
      </c>
      <c r="E9">
        <v>0.28755760368663502</v>
      </c>
      <c r="F9">
        <v>0.27373271889400902</v>
      </c>
      <c r="G9">
        <v>0.26543778801843299</v>
      </c>
      <c r="H9">
        <v>0.25161290322580598</v>
      </c>
      <c r="I9">
        <v>0.20184331797235</v>
      </c>
      <c r="J9">
        <v>0.19078341013824801</v>
      </c>
      <c r="K9">
        <v>0.17695852534562201</v>
      </c>
      <c r="L9">
        <v>0.12995391705069101</v>
      </c>
      <c r="M9">
        <v>0.113364055299538</v>
      </c>
      <c r="N9">
        <v>9.4009216589861597E-2</v>
      </c>
      <c r="O9">
        <v>6.9124423963133494E-2</v>
      </c>
      <c r="P9">
        <v>5.2534562211981502E-2</v>
      </c>
      <c r="Q9">
        <v>4.1474654377879998E-2</v>
      </c>
      <c r="R9">
        <f t="shared" ref="R9:R12" si="3">COUNT(C9:Q9)</f>
        <v>15</v>
      </c>
      <c r="S9">
        <f t="shared" si="1"/>
        <v>0.20202764976958482</v>
      </c>
      <c r="T9">
        <f t="shared" si="2"/>
        <v>0.1270018946939728</v>
      </c>
    </row>
    <row r="10" spans="1:20">
      <c r="B10" t="s">
        <v>560</v>
      </c>
      <c r="C10">
        <v>0.4036866359447</v>
      </c>
      <c r="D10">
        <v>0.33456221198156599</v>
      </c>
      <c r="E10">
        <v>0.323502304147465</v>
      </c>
      <c r="F10">
        <v>0.28479262672811001</v>
      </c>
      <c r="G10">
        <v>0.25990783410138202</v>
      </c>
      <c r="H10">
        <v>0.23778801843317901</v>
      </c>
      <c r="I10">
        <v>0.215668202764976</v>
      </c>
      <c r="J10">
        <v>0.19631336405529901</v>
      </c>
      <c r="K10">
        <v>0.16589861751151999</v>
      </c>
      <c r="R10">
        <f t="shared" si="3"/>
        <v>9</v>
      </c>
      <c r="S10">
        <f t="shared" si="1"/>
        <v>0.26912442396313302</v>
      </c>
      <c r="T10">
        <f t="shared" si="2"/>
        <v>7.539316979411595E-2</v>
      </c>
    </row>
    <row r="11" spans="1:20">
      <c r="B11" t="s">
        <v>856</v>
      </c>
      <c r="C11">
        <v>0.31244239631336301</v>
      </c>
      <c r="D11">
        <v>0.25714285714285701</v>
      </c>
      <c r="E11">
        <v>0.23225806451612799</v>
      </c>
      <c r="F11">
        <v>0.19907834101382399</v>
      </c>
      <c r="G11">
        <v>0.135483870967741</v>
      </c>
      <c r="H11">
        <v>0.113364055299538</v>
      </c>
      <c r="I11">
        <v>9.6774193548386997E-2</v>
      </c>
      <c r="J11">
        <v>7.4654377880184294E-2</v>
      </c>
      <c r="K11">
        <v>6.9124423963133494E-2</v>
      </c>
      <c r="R11">
        <f t="shared" si="3"/>
        <v>9</v>
      </c>
      <c r="S11">
        <f t="shared" si="1"/>
        <v>0.16559139784946175</v>
      </c>
      <c r="T11">
        <f t="shared" si="2"/>
        <v>8.7648509684839587E-2</v>
      </c>
    </row>
    <row r="12" spans="1:20">
      <c r="B12" t="s">
        <v>760</v>
      </c>
      <c r="C12">
        <v>0.54470046082949297</v>
      </c>
      <c r="D12">
        <v>0.45898617511520701</v>
      </c>
      <c r="E12">
        <v>0.28755760368663502</v>
      </c>
      <c r="F12">
        <v>0.24608294930875499</v>
      </c>
      <c r="G12">
        <v>0.22396313364055201</v>
      </c>
      <c r="H12">
        <v>0.19078341013824801</v>
      </c>
      <c r="I12">
        <v>0.14930875576036801</v>
      </c>
      <c r="J12">
        <v>0.13824884792626699</v>
      </c>
      <c r="K12">
        <v>1.38248847926265E-2</v>
      </c>
      <c r="R12">
        <f t="shared" si="3"/>
        <v>9</v>
      </c>
      <c r="S12">
        <f t="shared" si="1"/>
        <v>0.25038402457757236</v>
      </c>
      <c r="T12">
        <f t="shared" si="2"/>
        <v>0.1637598955916621</v>
      </c>
    </row>
    <row r="17" spans="3:10">
      <c r="C17" t="s">
        <v>315</v>
      </c>
      <c r="D17" t="s">
        <v>318</v>
      </c>
      <c r="E17" t="s">
        <v>543</v>
      </c>
      <c r="F17" t="s">
        <v>848</v>
      </c>
      <c r="G17" t="s">
        <v>316</v>
      </c>
      <c r="H17" t="s">
        <v>319</v>
      </c>
      <c r="I17" t="s">
        <v>544</v>
      </c>
      <c r="J17" t="s">
        <v>354</v>
      </c>
    </row>
    <row r="18" spans="3:10">
      <c r="C18">
        <v>0.1482718894009212</v>
      </c>
      <c r="D18" t="s">
        <v>311</v>
      </c>
      <c r="E18">
        <v>7.9107028316019817E-2</v>
      </c>
      <c r="F18">
        <v>8</v>
      </c>
      <c r="G18">
        <v>0.29253456221198099</v>
      </c>
      <c r="H18" t="s">
        <v>311</v>
      </c>
      <c r="I18">
        <v>8.8768249261310772E-2</v>
      </c>
      <c r="J18">
        <v>5</v>
      </c>
    </row>
    <row r="19" spans="3:10">
      <c r="C19">
        <v>0.20202764976958482</v>
      </c>
      <c r="D19" t="s">
        <v>311</v>
      </c>
      <c r="E19">
        <v>0.1270018946939728</v>
      </c>
      <c r="F19">
        <v>15</v>
      </c>
      <c r="G19">
        <v>0.17281105990783374</v>
      </c>
      <c r="H19" t="s">
        <v>311</v>
      </c>
      <c r="I19">
        <v>0.13547984032912938</v>
      </c>
      <c r="J19">
        <v>8</v>
      </c>
    </row>
    <row r="20" spans="3:10">
      <c r="C20">
        <v>0.26912442396313302</v>
      </c>
      <c r="D20" t="s">
        <v>311</v>
      </c>
      <c r="E20">
        <v>7.539316979411595E-2</v>
      </c>
      <c r="F20">
        <v>9</v>
      </c>
      <c r="G20">
        <v>0.14654377880184302</v>
      </c>
      <c r="H20" t="s">
        <v>311</v>
      </c>
      <c r="I20">
        <v>2.8061451332052293E-2</v>
      </c>
      <c r="J20">
        <v>3</v>
      </c>
    </row>
    <row r="21" spans="3:10">
      <c r="C21">
        <v>0.16559139784946175</v>
      </c>
      <c r="D21" t="s">
        <v>311</v>
      </c>
      <c r="E21">
        <v>8.7648509684839587E-2</v>
      </c>
      <c r="F21">
        <v>9</v>
      </c>
      <c r="G21">
        <v>0.13686635944700393</v>
      </c>
      <c r="H21" t="s">
        <v>311</v>
      </c>
      <c r="I21">
        <v>9.1104487306041884E-2</v>
      </c>
      <c r="J21">
        <v>4</v>
      </c>
    </row>
    <row r="22" spans="3:10">
      <c r="C22">
        <v>0.25038402457757236</v>
      </c>
      <c r="D22" t="s">
        <v>311</v>
      </c>
      <c r="E22">
        <v>0.1637598955916621</v>
      </c>
      <c r="F22">
        <v>9</v>
      </c>
      <c r="G22">
        <v>0.21497695852534501</v>
      </c>
      <c r="H22" t="s">
        <v>311</v>
      </c>
      <c r="I22">
        <v>5.3059468375287168E-2</v>
      </c>
      <c r="J22">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7217-41BD-8043-8D38-6C5EE47593B9}">
  <dimension ref="A1:H13"/>
  <sheetViews>
    <sheetView workbookViewId="0">
      <selection activeCell="H13" sqref="H13"/>
    </sheetView>
  </sheetViews>
  <sheetFormatPr baseColWidth="10" defaultRowHeight="16"/>
  <sheetData>
    <row r="1" spans="1:8">
      <c r="A1" t="s">
        <v>701</v>
      </c>
      <c r="B1" t="s">
        <v>314</v>
      </c>
      <c r="D1" t="s">
        <v>1071</v>
      </c>
      <c r="E1" t="s">
        <v>1072</v>
      </c>
      <c r="G1" t="s">
        <v>1073</v>
      </c>
      <c r="H1" t="s">
        <v>1074</v>
      </c>
    </row>
    <row r="2" spans="1:8">
      <c r="A2">
        <v>0</v>
      </c>
      <c r="B2">
        <v>1.40684410646387E-2</v>
      </c>
      <c r="D2">
        <f>AVERAGE(A2)</f>
        <v>0</v>
      </c>
      <c r="F2" t="s">
        <v>808</v>
      </c>
      <c r="G2">
        <f>AVERAGE(B2:B3)</f>
        <v>1.334600760456265E-2</v>
      </c>
      <c r="H2">
        <f>_xlfn.STDEV.S(B2:B3)</f>
        <v>1.0216751971516718E-3</v>
      </c>
    </row>
    <row r="3" spans="1:8">
      <c r="A3">
        <v>3.5475285171102602</v>
      </c>
      <c r="B3">
        <v>1.26235741444866E-2</v>
      </c>
      <c r="D3">
        <f>AVERAGE(A2:A3)</f>
        <v>1.7737642585551301</v>
      </c>
    </row>
    <row r="4" spans="1:8">
      <c r="A4">
        <v>15.5896070975918</v>
      </c>
      <c r="B4">
        <v>1.7186311787072198E-2</v>
      </c>
      <c r="D4">
        <f>AVERAGE(A2:A4)</f>
        <v>6.3790452049006872</v>
      </c>
      <c r="E4">
        <f>AVERAGE(A4:A13)</f>
        <v>25.185652724968282</v>
      </c>
    </row>
    <row r="5" spans="1:8">
      <c r="A5">
        <v>18.605069708491701</v>
      </c>
      <c r="B5">
        <v>1.3079847908745199E-2</v>
      </c>
      <c r="D5">
        <f>AVERAGE(A2:A5)</f>
        <v>9.4355513307984396</v>
      </c>
      <c r="E5">
        <f>AVERAGE(A5:A13)</f>
        <v>26.251880016899001</v>
      </c>
    </row>
    <row r="6" spans="1:8">
      <c r="A6">
        <v>19.670215462610901</v>
      </c>
      <c r="B6">
        <v>1.31558935361216E-2</v>
      </c>
      <c r="D6">
        <f>AVERAGE(A2:A6)</f>
        <v>11.482484157160931</v>
      </c>
      <c r="E6">
        <f>AVERAGE(A6:A13)</f>
        <v>27.207731305449911</v>
      </c>
    </row>
    <row r="7" spans="1:8">
      <c r="A7">
        <v>19.6078580481622</v>
      </c>
      <c r="B7">
        <v>1.6273764258555101E-2</v>
      </c>
      <c r="D7">
        <f>AVERAGE(A2:A7)</f>
        <v>12.836713138994476</v>
      </c>
      <c r="E7">
        <f>AVERAGE(A7:A13)</f>
        <v>28.284519282998343</v>
      </c>
    </row>
    <row r="8" spans="1:8">
      <c r="A8">
        <v>19.575918884664102</v>
      </c>
      <c r="B8">
        <v>1.7870722433459999E-2</v>
      </c>
      <c r="E8">
        <f>AVERAGE(A8:A13)</f>
        <v>29.730629488804368</v>
      </c>
    </row>
    <row r="9" spans="1:8">
      <c r="A9">
        <v>22.480354879594401</v>
      </c>
      <c r="B9">
        <v>1.9315589353612099E-2</v>
      </c>
      <c r="E9">
        <f>AVERAGE(A9:A13)</f>
        <v>31.761571609632419</v>
      </c>
    </row>
    <row r="10" spans="1:8">
      <c r="A10">
        <v>29.474017743979701</v>
      </c>
      <c r="B10">
        <v>2.2965779467680601E-2</v>
      </c>
      <c r="E10">
        <f>AVERAGE(A10:A13)</f>
        <v>34.081875792141929</v>
      </c>
    </row>
    <row r="11" spans="1:8">
      <c r="A11">
        <v>31.637769328263602</v>
      </c>
      <c r="B11">
        <v>2.1444866920152E-2</v>
      </c>
      <c r="E11">
        <f>AVERAGE(A11:A13)</f>
        <v>35.617828474862669</v>
      </c>
    </row>
    <row r="12" spans="1:8">
      <c r="A12">
        <v>31.582002534854201</v>
      </c>
      <c r="B12">
        <v>1.7566539923954301E-2</v>
      </c>
      <c r="E12">
        <f>AVERAGE(A12:A13)</f>
        <v>37.6078580481622</v>
      </c>
    </row>
    <row r="13" spans="1:8">
      <c r="A13">
        <v>43.633713561470202</v>
      </c>
      <c r="B13">
        <v>1.4980988593155799E-2</v>
      </c>
      <c r="E13">
        <f>AVERAGE(A12:A13)</f>
        <v>37.6078580481622</v>
      </c>
      <c r="F13" t="s">
        <v>701</v>
      </c>
      <c r="G13">
        <f>AVERAGE(B4:B13)</f>
        <v>1.738403041825089E-2</v>
      </c>
      <c r="H13">
        <f>_xlfn.STDEV.S(B4:B13)</f>
        <v>3.2505886046289099E-3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6CF1-8F7E-BB4C-9290-E116B1AD0242}">
  <dimension ref="A1:H18"/>
  <sheetViews>
    <sheetView workbookViewId="0">
      <selection activeCell="B13" sqref="B13:C18"/>
    </sheetView>
  </sheetViews>
  <sheetFormatPr baseColWidth="10" defaultRowHeight="16"/>
  <sheetData>
    <row r="1" spans="1:8">
      <c r="A1" t="s">
        <v>622</v>
      </c>
    </row>
    <row r="3" spans="1:8">
      <c r="B3" t="s">
        <v>623</v>
      </c>
      <c r="C3" t="s">
        <v>624</v>
      </c>
      <c r="D3" t="s">
        <v>626</v>
      </c>
      <c r="E3" t="s">
        <v>627</v>
      </c>
      <c r="G3" t="s">
        <v>626</v>
      </c>
      <c r="H3" t="s">
        <v>627</v>
      </c>
    </row>
    <row r="4" spans="1:8">
      <c r="B4">
        <v>204.356435643564</v>
      </c>
      <c r="C4">
        <v>5.6435643564360021</v>
      </c>
      <c r="D4">
        <f>SUM(B4:B9)</f>
        <v>1071.6831683168291</v>
      </c>
      <c r="E4">
        <f>SQRT(C4^2 + C5^2 + C6^2 + C7^2 + C8^2 + C9^2)</f>
        <v>33.717777808437795</v>
      </c>
      <c r="G4">
        <v>1071.6831683168291</v>
      </c>
      <c r="H4">
        <v>33.717777808437795</v>
      </c>
    </row>
    <row r="5" spans="1:8">
      <c r="B5">
        <v>216.23762376237599</v>
      </c>
      <c r="C5">
        <v>7.7227722772270226</v>
      </c>
    </row>
    <row r="6" spans="1:8">
      <c r="B6">
        <v>213.56435643564299</v>
      </c>
      <c r="C6">
        <v>9.5049504950499966</v>
      </c>
    </row>
    <row r="7" spans="1:8">
      <c r="B7">
        <v>152.07920792079199</v>
      </c>
      <c r="C7">
        <v>20.198019801980024</v>
      </c>
    </row>
    <row r="8" spans="1:8">
      <c r="B8">
        <v>164.55445544554399</v>
      </c>
      <c r="C8">
        <v>15.148514851485004</v>
      </c>
    </row>
    <row r="9" spans="1:8">
      <c r="B9">
        <v>120.89108910890999</v>
      </c>
      <c r="C9">
        <v>17.821782178218001</v>
      </c>
    </row>
    <row r="12" spans="1:8">
      <c r="A12" t="s">
        <v>625</v>
      </c>
    </row>
    <row r="13" spans="1:8">
      <c r="B13">
        <v>147.62376237623701</v>
      </c>
      <c r="C13">
        <v>2.9702970297029765</v>
      </c>
      <c r="D13">
        <f>SUM(B13:B18)</f>
        <v>842.37623762375893</v>
      </c>
      <c r="E13">
        <f>SQRT(C13^2 + C14^2 + C15^2 + C16^2 + C17^2 + C18^2)</f>
        <v>30.260607110755569</v>
      </c>
      <c r="G13">
        <v>842.37623762375893</v>
      </c>
      <c r="H13">
        <v>30.260607110755569</v>
      </c>
    </row>
    <row r="14" spans="1:8">
      <c r="B14">
        <v>157.72277227722699</v>
      </c>
      <c r="C14">
        <v>9.8019801980200043</v>
      </c>
    </row>
    <row r="15" spans="1:8">
      <c r="B15">
        <v>156.831683168316</v>
      </c>
      <c r="C15">
        <v>14.851485148514996</v>
      </c>
    </row>
    <row r="16" spans="1:8">
      <c r="B16">
        <v>149.40594059405899</v>
      </c>
      <c r="C16">
        <v>16.336633663366001</v>
      </c>
    </row>
    <row r="17" spans="2:3">
      <c r="B17">
        <v>118.21782178217801</v>
      </c>
      <c r="C17">
        <v>6.8316831683169994</v>
      </c>
    </row>
    <row r="18" spans="2:3">
      <c r="B18">
        <v>112.574257425742</v>
      </c>
      <c r="C18">
        <v>16.633663366336989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CFEE-2C06-124A-B1F6-6A1157758C3F}">
  <dimension ref="A1:E13"/>
  <sheetViews>
    <sheetView workbookViewId="0">
      <selection activeCell="H19" sqref="H19"/>
    </sheetView>
  </sheetViews>
  <sheetFormatPr baseColWidth="10" defaultRowHeight="16"/>
  <sheetData>
    <row r="1" spans="1:5">
      <c r="A1" t="s">
        <v>850</v>
      </c>
      <c r="B1" t="s">
        <v>849</v>
      </c>
      <c r="C1" t="s">
        <v>314</v>
      </c>
      <c r="D1" t="s">
        <v>623</v>
      </c>
      <c r="E1" t="s">
        <v>851</v>
      </c>
    </row>
    <row r="2" spans="1:5">
      <c r="A2" t="s">
        <v>534</v>
      </c>
      <c r="B2">
        <v>7.6310375157749704</v>
      </c>
      <c r="C2">
        <v>0.53670886075949298</v>
      </c>
      <c r="D2">
        <f>AVERAGE(C2:C4)</f>
        <v>0.45873417721518933</v>
      </c>
      <c r="E2">
        <f>STDEV(C2:C4)</f>
        <v>0.13505611360283881</v>
      </c>
    </row>
    <row r="3" spans="1:5">
      <c r="A3" t="s">
        <v>534</v>
      </c>
      <c r="B3">
        <v>12.1627595701556</v>
      </c>
      <c r="C3">
        <v>0.53670886075949298</v>
      </c>
    </row>
    <row r="4" spans="1:5">
      <c r="A4" t="s">
        <v>534</v>
      </c>
      <c r="B4">
        <v>28.778920800030502</v>
      </c>
      <c r="C4">
        <v>0.30278481012658198</v>
      </c>
    </row>
    <row r="5" spans="1:5">
      <c r="B5">
        <v>51.6165054112967</v>
      </c>
      <c r="C5">
        <v>0.993924050632911</v>
      </c>
    </row>
    <row r="6" spans="1:5">
      <c r="B6">
        <v>55.769168993078097</v>
      </c>
      <c r="C6">
        <v>0.93012658227848</v>
      </c>
    </row>
    <row r="7" spans="1:5">
      <c r="B7">
        <v>58.454242992083799</v>
      </c>
      <c r="C7">
        <v>0.79898734177215103</v>
      </c>
    </row>
    <row r="8" spans="1:5">
      <c r="B8">
        <v>62.079620635588299</v>
      </c>
      <c r="C8">
        <v>0.79898734177215103</v>
      </c>
    </row>
    <row r="9" spans="1:5">
      <c r="B9">
        <v>63.053883513709899</v>
      </c>
      <c r="C9">
        <v>1.06126582278481</v>
      </c>
    </row>
    <row r="10" spans="1:5">
      <c r="B10">
        <v>66.929366323759993</v>
      </c>
      <c r="C10">
        <v>1.32708860759493</v>
      </c>
    </row>
    <row r="11" spans="1:5">
      <c r="A11" t="s">
        <v>754</v>
      </c>
      <c r="B11">
        <v>70.590538835137096</v>
      </c>
      <c r="C11">
        <v>1.4653164556961999</v>
      </c>
      <c r="D11">
        <f>AVERAGE(C11:C13)</f>
        <v>1.6425316455696131</v>
      </c>
      <c r="E11">
        <f>STDEV(C11:C13)</f>
        <v>0.15347285636685873</v>
      </c>
    </row>
    <row r="12" spans="1:5">
      <c r="A12" t="s">
        <v>754</v>
      </c>
      <c r="B12">
        <v>74.647290527362401</v>
      </c>
      <c r="C12">
        <v>1.73113924050632</v>
      </c>
    </row>
    <row r="13" spans="1:5">
      <c r="A13" t="s">
        <v>754</v>
      </c>
      <c r="B13">
        <v>85.342154575700803</v>
      </c>
      <c r="C13">
        <v>1.73113924050632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A91F-0BAB-0546-9BAF-56538CA8BC58}">
  <dimension ref="A1:K13"/>
  <sheetViews>
    <sheetView workbookViewId="0">
      <selection activeCell="E4" sqref="E4"/>
    </sheetView>
  </sheetViews>
  <sheetFormatPr baseColWidth="10" defaultRowHeight="16"/>
  <sheetData>
    <row r="1" spans="1:11">
      <c r="C1" t="s">
        <v>636</v>
      </c>
      <c r="G1" t="s">
        <v>635</v>
      </c>
    </row>
    <row r="3" spans="1:11">
      <c r="C3" t="s">
        <v>632</v>
      </c>
      <c r="D3" t="s">
        <v>633</v>
      </c>
      <c r="E3" t="s">
        <v>634</v>
      </c>
      <c r="G3" t="s">
        <v>623</v>
      </c>
      <c r="H3" t="s">
        <v>624</v>
      </c>
      <c r="I3" t="s">
        <v>634</v>
      </c>
    </row>
    <row r="4" spans="1:11">
      <c r="A4" t="s">
        <v>637</v>
      </c>
      <c r="C4">
        <v>0.2</v>
      </c>
      <c r="D4">
        <v>7.0000000000000007E-2</v>
      </c>
      <c r="E4">
        <f>AVERAGE(C4:C7)</f>
        <v>0.1</v>
      </c>
      <c r="G4">
        <v>0.76</v>
      </c>
      <c r="H4">
        <v>0.11</v>
      </c>
      <c r="I4">
        <f>AVERAGE(G4:G7)</f>
        <v>0.495</v>
      </c>
    </row>
    <row r="5" spans="1:11">
      <c r="C5">
        <v>0.04</v>
      </c>
      <c r="D5">
        <v>0.02</v>
      </c>
      <c r="G5">
        <v>0.28999999999999998</v>
      </c>
      <c r="H5">
        <v>0.08</v>
      </c>
      <c r="K5" s="10"/>
    </row>
    <row r="6" spans="1:11">
      <c r="C6">
        <v>0.05</v>
      </c>
      <c r="D6">
        <v>0.02</v>
      </c>
      <c r="G6">
        <v>0.44</v>
      </c>
      <c r="H6">
        <v>0.04</v>
      </c>
    </row>
    <row r="7" spans="1:11">
      <c r="C7">
        <v>0.11</v>
      </c>
      <c r="D7">
        <v>0.04</v>
      </c>
      <c r="G7">
        <v>0.49</v>
      </c>
      <c r="H7">
        <v>7.0000000000000007E-2</v>
      </c>
    </row>
    <row r="10" spans="1:11">
      <c r="C10" t="s">
        <v>623</v>
      </c>
      <c r="D10" t="s">
        <v>624</v>
      </c>
      <c r="G10" t="s">
        <v>623</v>
      </c>
      <c r="H10" t="s">
        <v>624</v>
      </c>
      <c r="I10" t="s">
        <v>634</v>
      </c>
    </row>
    <row r="11" spans="1:11">
      <c r="A11" t="s">
        <v>638</v>
      </c>
      <c r="C11">
        <v>0.14000000000000001</v>
      </c>
      <c r="D11">
        <v>0.02</v>
      </c>
      <c r="E11">
        <f>AVERAGE(C11:C20)</f>
        <v>0.11600000000000001</v>
      </c>
      <c r="G11">
        <v>0.82</v>
      </c>
      <c r="H11">
        <v>0.1</v>
      </c>
      <c r="I11">
        <f>AVERAGE(G11:G20)</f>
        <v>0.53666666666666663</v>
      </c>
    </row>
    <row r="12" spans="1:11">
      <c r="C12">
        <v>3.7999999999999999E-2</v>
      </c>
      <c r="D12">
        <v>2E-3</v>
      </c>
      <c r="G12">
        <v>0.4</v>
      </c>
      <c r="H12">
        <v>0.09</v>
      </c>
    </row>
    <row r="13" spans="1:11">
      <c r="C13">
        <v>0.17</v>
      </c>
      <c r="D13">
        <v>0.04</v>
      </c>
      <c r="G13">
        <v>0.39</v>
      </c>
      <c r="H13">
        <v>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90D5F-6C36-9F45-91AF-9FFB75180BD0}">
  <dimension ref="A1:K41"/>
  <sheetViews>
    <sheetView topLeftCell="A2" workbookViewId="0">
      <selection activeCell="K39" activeCellId="1" sqref="I39 K39"/>
    </sheetView>
  </sheetViews>
  <sheetFormatPr baseColWidth="10" defaultRowHeight="16"/>
  <sheetData>
    <row r="1" spans="1:11">
      <c r="A1" t="s">
        <v>1785</v>
      </c>
    </row>
    <row r="3" spans="1:11">
      <c r="A3" t="s">
        <v>1789</v>
      </c>
    </row>
    <row r="4" spans="1:11">
      <c r="A4" t="s">
        <v>1788</v>
      </c>
      <c r="G4" t="s">
        <v>1787</v>
      </c>
    </row>
    <row r="5" spans="1:11">
      <c r="A5" t="s">
        <v>1786</v>
      </c>
      <c r="B5" t="s">
        <v>814</v>
      </c>
      <c r="C5" t="s">
        <v>623</v>
      </c>
      <c r="D5" t="s">
        <v>1074</v>
      </c>
      <c r="E5" t="s">
        <v>624</v>
      </c>
      <c r="G5" t="s">
        <v>1786</v>
      </c>
      <c r="H5" t="s">
        <v>814</v>
      </c>
      <c r="I5" t="s">
        <v>623</v>
      </c>
      <c r="J5" t="s">
        <v>1074</v>
      </c>
      <c r="K5" t="s">
        <v>624</v>
      </c>
    </row>
    <row r="6" spans="1:11">
      <c r="A6">
        <v>0</v>
      </c>
      <c r="B6">
        <v>3.4786729857819898</v>
      </c>
      <c r="C6">
        <f>AVERAGE(B6:B8)</f>
        <v>3.2606635071089998</v>
      </c>
      <c r="D6">
        <f>STDEV(B6:B8)</f>
        <v>0.20174214837718596</v>
      </c>
      <c r="E6">
        <f>D6/SQRT(3)</f>
        <v>0.11647588367246174</v>
      </c>
      <c r="G6">
        <v>0</v>
      </c>
      <c r="H6">
        <v>2.9099526066350698</v>
      </c>
      <c r="I6">
        <f>AVERAGE(H6:H8)</f>
        <v>2.7488151658767737</v>
      </c>
      <c r="J6">
        <f>STDEV(H6:H8)</f>
        <v>0.18933634460131024</v>
      </c>
      <c r="K6">
        <f>J6/SQRT(3)</f>
        <v>0.10931338952294622</v>
      </c>
    </row>
    <row r="7" spans="1:11">
      <c r="A7">
        <v>0</v>
      </c>
      <c r="B7">
        <v>3.2227488151658701</v>
      </c>
      <c r="G7">
        <v>0</v>
      </c>
      <c r="H7">
        <v>2.7962085308056799</v>
      </c>
    </row>
    <row r="8" spans="1:11">
      <c r="A8">
        <v>0</v>
      </c>
      <c r="B8">
        <v>3.0805687203791399</v>
      </c>
      <c r="G8">
        <v>0</v>
      </c>
      <c r="H8">
        <v>2.5402843601895699</v>
      </c>
    </row>
    <row r="9" spans="1:11">
      <c r="A9">
        <v>1</v>
      </c>
      <c r="B9">
        <v>5.4285714285714199</v>
      </c>
      <c r="C9">
        <f>AVERAGE(B9:B11)</f>
        <v>4.7142857142857073</v>
      </c>
      <c r="D9">
        <f>STDEV(B9:B11)</f>
        <v>0.76077296889681534</v>
      </c>
      <c r="E9">
        <f>D9/SQRT(3)</f>
        <v>0.43923247838476714</v>
      </c>
      <c r="G9">
        <v>1</v>
      </c>
      <c r="H9" s="29">
        <v>7.5406698600000004</v>
      </c>
      <c r="I9">
        <f>AVERAGE(H9:H11)</f>
        <v>6.1148325366666674</v>
      </c>
      <c r="J9">
        <f>STDEV(H9:H11)</f>
        <v>1.3441825653544939</v>
      </c>
      <c r="K9">
        <f>J9/SQRT(3)</f>
        <v>0.77606416594741878</v>
      </c>
    </row>
    <row r="10" spans="1:11">
      <c r="A10">
        <v>1</v>
      </c>
      <c r="B10">
        <v>4.7999999999999901</v>
      </c>
      <c r="G10">
        <v>1</v>
      </c>
      <c r="H10" s="29">
        <v>5.9330143499999997</v>
      </c>
    </row>
    <row r="11" spans="1:11">
      <c r="A11">
        <v>1</v>
      </c>
      <c r="B11">
        <v>3.9142857142857101</v>
      </c>
      <c r="G11">
        <v>1</v>
      </c>
      <c r="H11" s="29">
        <v>4.8708134000000003</v>
      </c>
    </row>
    <row r="12" spans="1:11">
      <c r="A12">
        <v>2</v>
      </c>
      <c r="B12">
        <v>7.0285714285714302</v>
      </c>
      <c r="C12">
        <f>AVERAGE(B12:B14)</f>
        <v>6.4190476190476176</v>
      </c>
      <c r="D12">
        <f>STDEV(B12:B14)</f>
        <v>0.82081757814914658</v>
      </c>
      <c r="E12">
        <f>D12/SQRT(3)</f>
        <v>0.47389924969998648</v>
      </c>
      <c r="G12">
        <v>2</v>
      </c>
      <c r="H12" s="29">
        <v>8.4306220100000004</v>
      </c>
      <c r="I12">
        <f>AVERAGE(H12:H14)</f>
        <v>6.9665071766666671</v>
      </c>
      <c r="J12">
        <f>STDEV(H12:H14)</f>
        <v>1.3437737516643891</v>
      </c>
      <c r="K12">
        <f>J12/SQRT(3)</f>
        <v>0.77582813725338839</v>
      </c>
    </row>
    <row r="13" spans="1:11">
      <c r="A13">
        <v>2</v>
      </c>
      <c r="B13">
        <v>6.7428571428571402</v>
      </c>
      <c r="G13">
        <v>2</v>
      </c>
      <c r="H13" s="29">
        <v>6.6794258400000004</v>
      </c>
    </row>
    <row r="14" spans="1:11">
      <c r="A14">
        <v>2</v>
      </c>
      <c r="B14">
        <v>5.4857142857142804</v>
      </c>
      <c r="G14">
        <v>2</v>
      </c>
      <c r="H14" s="29">
        <v>5.7894736800000004</v>
      </c>
    </row>
    <row r="15" spans="1:11">
      <c r="A15">
        <v>3</v>
      </c>
      <c r="B15">
        <v>7.0571428571428498</v>
      </c>
      <c r="C15">
        <f>AVERAGE(B15:B17)</f>
        <v>6.3047619047619001</v>
      </c>
      <c r="D15">
        <f>STDEV(B15:B17)</f>
        <v>1.2540004014364241</v>
      </c>
      <c r="E15">
        <f>D15/SQRT(3)</f>
        <v>0.72399746933321829</v>
      </c>
      <c r="G15">
        <v>3</v>
      </c>
      <c r="H15" s="29">
        <v>5.1578947399999997</v>
      </c>
      <c r="I15">
        <f>AVERAGE(H15:H17)</f>
        <v>5.0239234433333335</v>
      </c>
      <c r="J15">
        <f>STDEV(H15:H17)</f>
        <v>0.16324136222917623</v>
      </c>
      <c r="K15">
        <f>J15/SQRT(3)</f>
        <v>9.424744442589611E-2</v>
      </c>
    </row>
    <row r="16" spans="1:11">
      <c r="A16">
        <v>3</v>
      </c>
      <c r="B16">
        <v>7</v>
      </c>
      <c r="G16">
        <v>3</v>
      </c>
      <c r="H16" s="29">
        <v>5.0717703299999997</v>
      </c>
    </row>
    <row r="17" spans="1:11">
      <c r="A17">
        <v>3</v>
      </c>
      <c r="B17">
        <v>4.8571428571428497</v>
      </c>
      <c r="G17">
        <v>3</v>
      </c>
      <c r="H17" s="29">
        <v>4.8421052600000003</v>
      </c>
    </row>
    <row r="18" spans="1:11">
      <c r="A18">
        <v>4</v>
      </c>
      <c r="B18">
        <v>4.2857142857142803</v>
      </c>
      <c r="C18">
        <f>AVERAGE(B18:B20)</f>
        <v>3.2571428571428531</v>
      </c>
      <c r="D18">
        <f>STDEV(B18:B20)</f>
        <v>0.927141756547883</v>
      </c>
      <c r="E18">
        <f>D18/SQRT(3)</f>
        <v>0.53528554271986273</v>
      </c>
      <c r="G18">
        <v>4</v>
      </c>
      <c r="H18" s="29">
        <v>7.7703349299999998</v>
      </c>
      <c r="I18">
        <f>AVERAGE(H18:H20)</f>
        <v>6.05741627</v>
      </c>
      <c r="J18">
        <f>STDEV(H18:H20)</f>
        <v>1.5082930470017433</v>
      </c>
      <c r="K18">
        <f>J18/SQRT(3)</f>
        <v>0.87081339670329738</v>
      </c>
    </row>
    <row r="19" spans="1:11">
      <c r="A19">
        <v>4</v>
      </c>
      <c r="B19">
        <v>3</v>
      </c>
      <c r="G19">
        <v>4</v>
      </c>
      <c r="H19" s="29">
        <v>5.47368421</v>
      </c>
    </row>
    <row r="20" spans="1:11">
      <c r="A20">
        <v>4</v>
      </c>
      <c r="B20">
        <v>2.48571428571428</v>
      </c>
      <c r="G20">
        <v>4</v>
      </c>
      <c r="H20" s="29">
        <v>4.9282296700000003</v>
      </c>
    </row>
    <row r="24" spans="1:11">
      <c r="A24" t="s">
        <v>1790</v>
      </c>
    </row>
    <row r="25" spans="1:11">
      <c r="A25" t="s">
        <v>1788</v>
      </c>
      <c r="G25" t="s">
        <v>1787</v>
      </c>
    </row>
    <row r="26" spans="1:11">
      <c r="A26" t="s">
        <v>1786</v>
      </c>
      <c r="B26" t="s">
        <v>814</v>
      </c>
      <c r="C26" t="s">
        <v>623</v>
      </c>
      <c r="D26" t="s">
        <v>1074</v>
      </c>
      <c r="E26" t="s">
        <v>624</v>
      </c>
      <c r="G26" t="s">
        <v>1786</v>
      </c>
      <c r="H26" t="s">
        <v>814</v>
      </c>
      <c r="I26" t="s">
        <v>623</v>
      </c>
      <c r="J26" t="s">
        <v>1074</v>
      </c>
      <c r="K26" t="s">
        <v>624</v>
      </c>
    </row>
    <row r="27" spans="1:11">
      <c r="A27">
        <v>0</v>
      </c>
      <c r="B27">
        <v>179558.01104972299</v>
      </c>
      <c r="C27">
        <f>AVERAGE(B27:B29)</f>
        <v>167771.63904235666</v>
      </c>
      <c r="D27">
        <f>STDEV(B27:B29)</f>
        <v>10732.082714057575</v>
      </c>
      <c r="E27">
        <f>D27/SQRT(3)</f>
        <v>6196.1708439264703</v>
      </c>
      <c r="G27">
        <v>0</v>
      </c>
      <c r="H27">
        <v>171508.37988826801</v>
      </c>
      <c r="I27">
        <f>AVERAGE(H27:H29)</f>
        <v>153631.284916201</v>
      </c>
      <c r="J27">
        <f>STDEV(H27:H29)</f>
        <v>26274.806740346132</v>
      </c>
      <c r="K27">
        <f>J27/SQRT(3)</f>
        <v>15169.766744444234</v>
      </c>
    </row>
    <row r="28" spans="1:11">
      <c r="A28">
        <v>0</v>
      </c>
      <c r="B28">
        <v>165193.370165745</v>
      </c>
      <c r="G28">
        <v>0</v>
      </c>
      <c r="H28">
        <v>165921.787709497</v>
      </c>
    </row>
    <row r="29" spans="1:11">
      <c r="A29">
        <v>0</v>
      </c>
      <c r="B29">
        <v>158563.535911602</v>
      </c>
      <c r="G29">
        <v>0</v>
      </c>
      <c r="H29">
        <v>123463.687150838</v>
      </c>
    </row>
    <row r="30" spans="1:11">
      <c r="A30">
        <v>1</v>
      </c>
      <c r="B30">
        <v>219337.016574585</v>
      </c>
      <c r="C30">
        <f>AVERAGE(B30:B32)</f>
        <v>249539.59484346164</v>
      </c>
      <c r="D30">
        <f>STDEV(B30:B32)</f>
        <v>26733.329372558514</v>
      </c>
      <c r="E30">
        <f>D30/SQRT(3)</f>
        <v>15434.494909581588</v>
      </c>
      <c r="G30">
        <v>1</v>
      </c>
      <c r="H30">
        <v>263128.49162011099</v>
      </c>
      <c r="I30">
        <f>AVERAGE(H30:H32)</f>
        <v>209124.76722532534</v>
      </c>
      <c r="J30">
        <f>STDEV(H30:H32)</f>
        <v>48217.609232095478</v>
      </c>
      <c r="K30">
        <f>J30/SQRT(3)</f>
        <v>27838.449669830508</v>
      </c>
    </row>
    <row r="31" spans="1:11">
      <c r="A31">
        <v>1</v>
      </c>
      <c r="B31">
        <v>259116.022099447</v>
      </c>
      <c r="G31">
        <v>1</v>
      </c>
      <c r="H31">
        <v>193854.74860335101</v>
      </c>
    </row>
    <row r="32" spans="1:11">
      <c r="A32">
        <v>1</v>
      </c>
      <c r="B32">
        <v>270165.74585635302</v>
      </c>
      <c r="G32">
        <v>1</v>
      </c>
      <c r="H32">
        <v>170391.061452514</v>
      </c>
    </row>
    <row r="33" spans="1:11">
      <c r="A33">
        <v>2</v>
      </c>
      <c r="B33">
        <v>272375.69060773402</v>
      </c>
      <c r="C33">
        <f>AVERAGE(B33:B35)</f>
        <v>242909.760589318</v>
      </c>
      <c r="D33">
        <f>STDEV(B33:B35)</f>
        <v>25898.189069976856</v>
      </c>
      <c r="E33">
        <f>D33/SQRT(3)</f>
        <v>14952.326431074962</v>
      </c>
      <c r="G33">
        <v>2</v>
      </c>
      <c r="H33">
        <v>316759.77653631201</v>
      </c>
      <c r="I33">
        <f>AVERAGE(H33:H35)</f>
        <v>270204.84171322099</v>
      </c>
      <c r="J33">
        <f>STDEV(H33:H35)</f>
        <v>40352.57573417286</v>
      </c>
      <c r="K33">
        <f>J33/SQRT(3)</f>
        <v>23297.570462619464</v>
      </c>
    </row>
    <row r="34" spans="1:11">
      <c r="A34">
        <v>2</v>
      </c>
      <c r="B34">
        <v>232596.68508287199</v>
      </c>
      <c r="G34">
        <v>2</v>
      </c>
      <c r="H34">
        <v>248603.35195530701</v>
      </c>
    </row>
    <row r="35" spans="1:11">
      <c r="A35">
        <v>2</v>
      </c>
      <c r="B35">
        <v>223756.90607734799</v>
      </c>
      <c r="G35">
        <v>2</v>
      </c>
      <c r="H35">
        <v>245251.396648044</v>
      </c>
    </row>
    <row r="36" spans="1:11">
      <c r="A36">
        <v>3</v>
      </c>
      <c r="B36">
        <v>338674.03314917098</v>
      </c>
      <c r="C36">
        <f>AVERAGE(B36:B38)</f>
        <v>249539.59484346199</v>
      </c>
      <c r="D36">
        <f>STDEV(B36:B38)</f>
        <v>106956.1510399064</v>
      </c>
      <c r="E36">
        <f>D36/SQRT(3)</f>
        <v>61751.162594376234</v>
      </c>
      <c r="G36">
        <v>3</v>
      </c>
      <c r="H36">
        <v>341340.78212290502</v>
      </c>
      <c r="I36">
        <f>AVERAGE(H36:H38)</f>
        <v>241154.56238361236</v>
      </c>
      <c r="J36">
        <f>STDEV(H36:H38)</f>
        <v>86851.896209591272</v>
      </c>
      <c r="K36">
        <f>J36/SQRT(3)</f>
        <v>50143.965656236964</v>
      </c>
    </row>
    <row r="37" spans="1:11">
      <c r="A37">
        <v>3</v>
      </c>
      <c r="B37">
        <v>279005.52486187802</v>
      </c>
      <c r="G37">
        <v>3</v>
      </c>
      <c r="H37">
        <v>194972.06703910601</v>
      </c>
    </row>
    <row r="38" spans="1:11">
      <c r="A38">
        <v>3</v>
      </c>
      <c r="B38">
        <v>130939.226519337</v>
      </c>
      <c r="G38">
        <v>3</v>
      </c>
      <c r="H38">
        <v>187150.83798882601</v>
      </c>
    </row>
    <row r="39" spans="1:11">
      <c r="A39">
        <v>4</v>
      </c>
      <c r="B39">
        <v>251381.215469613</v>
      </c>
      <c r="C39">
        <f>AVERAGE(B39:B41)</f>
        <v>213812.15469613232</v>
      </c>
      <c r="D39">
        <f>STDEV(B39:B41)</f>
        <v>60350.107422856927</v>
      </c>
      <c r="E39">
        <f>D39/SQRT(3)</f>
        <v>34843.150766209277</v>
      </c>
      <c r="G39">
        <v>4</v>
      </c>
      <c r="H39">
        <v>251955.307262569</v>
      </c>
      <c r="I39">
        <f>AVERAGE(H39:H41)</f>
        <v>196089.38547485965</v>
      </c>
      <c r="J39">
        <f>STDEV(H39:H41)</f>
        <v>49918.006488689658</v>
      </c>
      <c r="K39">
        <f>J39/SQRT(3)</f>
        <v>28820.17448365446</v>
      </c>
    </row>
    <row r="40" spans="1:11">
      <c r="A40">
        <v>4</v>
      </c>
      <c r="B40">
        <v>245856.35359116</v>
      </c>
      <c r="G40">
        <v>4</v>
      </c>
      <c r="H40">
        <v>180446.92737430101</v>
      </c>
    </row>
    <row r="41" spans="1:11">
      <c r="A41">
        <v>4</v>
      </c>
      <c r="B41">
        <v>144198.89502762401</v>
      </c>
      <c r="G41">
        <v>4</v>
      </c>
      <c r="H41">
        <v>155865.921787709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Include</vt:lpstr>
      <vt:lpstr>Graveyard rows</vt:lpstr>
      <vt:lpstr>Disturbance</vt:lpstr>
      <vt:lpstr>Can't use</vt:lpstr>
      <vt:lpstr>Reject</vt:lpstr>
      <vt:lpstr>Help</vt:lpstr>
      <vt:lpstr>Uthicke</vt:lpstr>
      <vt:lpstr>after - before</vt:lpstr>
      <vt:lpstr>SE from 95% CI</vt:lpstr>
      <vt:lpstr>AVG SE</vt:lpstr>
      <vt:lpstr>Chase</vt:lpstr>
      <vt:lpstr>Holbrook</vt:lpstr>
      <vt:lpstr>Sandoval</vt:lpstr>
      <vt:lpstr>Hepburn</vt:lpstr>
      <vt:lpstr>Bouchard</vt:lpstr>
      <vt:lpstr>Cherif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 Lim</dc:creator>
  <cp:lastModifiedBy>Em Lim</cp:lastModifiedBy>
  <dcterms:created xsi:type="dcterms:W3CDTF">2021-02-03T22:22:24Z</dcterms:created>
  <dcterms:modified xsi:type="dcterms:W3CDTF">2026-09-17T03:58:58Z</dcterms:modified>
</cp:coreProperties>
</file>