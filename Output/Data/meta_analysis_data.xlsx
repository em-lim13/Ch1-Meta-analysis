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Users/emilylim/Documents/MSc/Ch2-Meta-analysis/Output/Data/"/>
    </mc:Choice>
  </mc:AlternateContent>
  <xr:revisionPtr revIDLastSave="0" documentId="13_ncr:1_{46E8F86A-FAEF-804C-AA6E-D6028D63EFBF}" xr6:coauthVersionLast="45" xr6:coauthVersionMax="45" xr10:uidLastSave="{00000000-0000-0000-0000-000000000000}"/>
  <bookViews>
    <workbookView xWindow="9200" yWindow="460" windowWidth="19600" windowHeight="15840" xr2:uid="{40EEFA15-B542-CE42-935C-BBE1E5D9457F}"/>
  </bookViews>
  <sheets>
    <sheet name="Include" sheetId="1" r:id="rId1"/>
    <sheet name="Disturbance" sheetId="12" r:id="rId2"/>
    <sheet name="Can't use" sheetId="3" r:id="rId3"/>
    <sheet name="Reject" sheetId="18" r:id="rId4"/>
    <sheet name="Help" sheetId="2" r:id="rId5"/>
    <sheet name="Uthicke" sheetId="16" r:id="rId6"/>
    <sheet name="after - before" sheetId="4" r:id="rId7"/>
    <sheet name="SE from 95% CI" sheetId="9" r:id="rId8"/>
    <sheet name="Chase" sheetId="15" r:id="rId9"/>
    <sheet name="Sandoval" sheetId="5" r:id="rId10"/>
    <sheet name="Hepburn" sheetId="14" r:id="rId11"/>
    <sheet name="Marmen" sheetId="17" r:id="rId12"/>
    <sheet name="Bouchard" sheetId="6"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51" i="4" l="1"/>
  <c r="F150" i="4"/>
  <c r="E150" i="4"/>
  <c r="G150" i="4" s="1"/>
  <c r="E146" i="4"/>
  <c r="F145" i="4"/>
  <c r="E145" i="4"/>
  <c r="G145" i="4" l="1"/>
  <c r="E139" i="4"/>
  <c r="F138" i="4"/>
  <c r="E138" i="4"/>
  <c r="G138" i="4" s="1"/>
  <c r="E134" i="4"/>
  <c r="F133" i="4"/>
  <c r="E133" i="4"/>
  <c r="G133" i="4" l="1"/>
  <c r="J68" i="9"/>
  <c r="F68" i="9"/>
  <c r="J67" i="9"/>
  <c r="J65" i="9"/>
  <c r="J64" i="9"/>
  <c r="J63" i="9"/>
  <c r="J62" i="9"/>
  <c r="J60" i="9"/>
  <c r="J59" i="9"/>
  <c r="J57" i="9"/>
  <c r="J56" i="9"/>
  <c r="J55" i="9"/>
  <c r="J54" i="9"/>
  <c r="F67" i="9"/>
  <c r="F65" i="9"/>
  <c r="F64" i="9"/>
  <c r="F63" i="9"/>
  <c r="F62" i="9"/>
  <c r="F60" i="9"/>
  <c r="F59" i="9"/>
  <c r="F57" i="9"/>
  <c r="F56" i="9"/>
  <c r="F55" i="9"/>
  <c r="F54" i="9"/>
  <c r="M27" i="17" l="1"/>
  <c r="L27" i="17"/>
  <c r="K27" i="17"/>
  <c r="I27" i="17"/>
  <c r="H27" i="17"/>
  <c r="J27" i="17" s="1"/>
  <c r="G27" i="17"/>
  <c r="F27" i="17"/>
  <c r="E27" i="17"/>
  <c r="H26" i="17"/>
  <c r="G26" i="17"/>
  <c r="F26" i="17"/>
  <c r="E26" i="17"/>
  <c r="M25" i="17"/>
  <c r="L25" i="17"/>
  <c r="K25" i="17"/>
  <c r="O27" i="17" s="1"/>
  <c r="I25" i="17"/>
  <c r="H25" i="17"/>
  <c r="J25" i="17" s="1"/>
  <c r="G25" i="17"/>
  <c r="F25" i="17"/>
  <c r="E25" i="17"/>
  <c r="M13" i="17"/>
  <c r="L13" i="17"/>
  <c r="K13" i="17"/>
  <c r="I13" i="17"/>
  <c r="H13" i="17"/>
  <c r="J13" i="17" s="1"/>
  <c r="G13" i="17"/>
  <c r="F13" i="17"/>
  <c r="E13" i="17"/>
  <c r="H12" i="17"/>
  <c r="G12" i="17"/>
  <c r="F12" i="17"/>
  <c r="E12" i="17"/>
  <c r="M11" i="17"/>
  <c r="L11" i="17"/>
  <c r="K11" i="17"/>
  <c r="O13" i="17" s="1"/>
  <c r="I11" i="17"/>
  <c r="H11" i="17"/>
  <c r="J11" i="17" s="1"/>
  <c r="G11" i="17"/>
  <c r="F11" i="17"/>
  <c r="E11" i="17"/>
  <c r="G22" i="17"/>
  <c r="F22" i="17"/>
  <c r="E22" i="17"/>
  <c r="H22" i="17" s="1"/>
  <c r="M21" i="17"/>
  <c r="L21" i="17"/>
  <c r="K21" i="17"/>
  <c r="I21" i="17"/>
  <c r="H21" i="17"/>
  <c r="G21" i="17"/>
  <c r="F21" i="17"/>
  <c r="E21" i="17"/>
  <c r="H20" i="17"/>
  <c r="G20" i="17"/>
  <c r="F20" i="17"/>
  <c r="E20" i="17"/>
  <c r="M19" i="17"/>
  <c r="L19" i="17"/>
  <c r="K19" i="17"/>
  <c r="O21" i="17" s="1"/>
  <c r="I19" i="17"/>
  <c r="H19" i="17"/>
  <c r="J19" i="17" s="1"/>
  <c r="G19" i="17"/>
  <c r="F19" i="17"/>
  <c r="E19" i="17"/>
  <c r="P5" i="17"/>
  <c r="G8" i="17"/>
  <c r="G7" i="17"/>
  <c r="G6" i="17"/>
  <c r="G5" i="17"/>
  <c r="F8" i="17"/>
  <c r="F7" i="17"/>
  <c r="F6" i="17"/>
  <c r="F5" i="17"/>
  <c r="L5" i="17"/>
  <c r="E5" i="17"/>
  <c r="K7" i="17"/>
  <c r="L7" i="17" s="1"/>
  <c r="K5" i="17"/>
  <c r="O7" i="17" s="1"/>
  <c r="H5" i="17"/>
  <c r="E8" i="17"/>
  <c r="H8" i="17" s="1"/>
  <c r="E7" i="17"/>
  <c r="H7" i="17" s="1"/>
  <c r="E6" i="17"/>
  <c r="H6" i="17" s="1"/>
  <c r="R25" i="17"/>
  <c r="R19" i="17"/>
  <c r="R11" i="17"/>
  <c r="R5" i="17"/>
  <c r="I7" i="17"/>
  <c r="I5" i="17"/>
  <c r="I14" i="16"/>
  <c r="I13" i="16"/>
  <c r="I12" i="16"/>
  <c r="I11" i="16"/>
  <c r="I10" i="16"/>
  <c r="I9" i="16"/>
  <c r="I8" i="16"/>
  <c r="I7" i="16"/>
  <c r="I6" i="16"/>
  <c r="I5" i="16"/>
  <c r="I4" i="16"/>
  <c r="I3" i="16"/>
  <c r="D14" i="16"/>
  <c r="D13" i="16"/>
  <c r="D12" i="16"/>
  <c r="D11" i="16"/>
  <c r="D10" i="16"/>
  <c r="D9" i="16"/>
  <c r="D8" i="16"/>
  <c r="D7" i="16"/>
  <c r="D6" i="16"/>
  <c r="D5" i="16"/>
  <c r="D4" i="16"/>
  <c r="D3" i="16"/>
  <c r="R6" i="15"/>
  <c r="R5" i="15"/>
  <c r="R4" i="15"/>
  <c r="R3" i="15"/>
  <c r="R2" i="15"/>
  <c r="R12" i="15"/>
  <c r="R11" i="15"/>
  <c r="R10" i="15"/>
  <c r="R9" i="15"/>
  <c r="R8" i="15"/>
  <c r="T12" i="15"/>
  <c r="S12" i="15"/>
  <c r="T11" i="15"/>
  <c r="S11" i="15"/>
  <c r="T10" i="15"/>
  <c r="S10" i="15"/>
  <c r="T9" i="15"/>
  <c r="S9" i="15"/>
  <c r="T8" i="15"/>
  <c r="S8" i="15"/>
  <c r="T6" i="15"/>
  <c r="S6" i="15"/>
  <c r="T5" i="15"/>
  <c r="S5" i="15"/>
  <c r="T4" i="15"/>
  <c r="S4" i="15"/>
  <c r="T3" i="15"/>
  <c r="S3" i="15"/>
  <c r="T2" i="15"/>
  <c r="S2" i="15"/>
  <c r="E11" i="14"/>
  <c r="E2" i="14"/>
  <c r="D11" i="14"/>
  <c r="D2" i="14"/>
  <c r="N25" i="17" l="1"/>
  <c r="N27" i="17"/>
  <c r="O25" i="17"/>
  <c r="N11" i="17"/>
  <c r="N13" i="17"/>
  <c r="O11" i="17"/>
  <c r="J21" i="17"/>
  <c r="N19" i="17"/>
  <c r="N21" i="17"/>
  <c r="O19" i="17"/>
  <c r="J7" i="17"/>
  <c r="J5" i="17"/>
  <c r="M5" i="17"/>
  <c r="N5" i="17" s="1"/>
  <c r="O5" i="17"/>
  <c r="M7" i="17"/>
  <c r="N7" i="17" s="1"/>
  <c r="E127" i="4"/>
  <c r="F126" i="4"/>
  <c r="E126" i="4"/>
  <c r="G126" i="4" s="1"/>
  <c r="E122" i="4"/>
  <c r="F121" i="4"/>
  <c r="E121" i="4"/>
  <c r="N84" i="4"/>
  <c r="O83" i="4"/>
  <c r="N83" i="4"/>
  <c r="P83" i="4" s="1"/>
  <c r="N79" i="4"/>
  <c r="O78" i="4"/>
  <c r="N78" i="4"/>
  <c r="N74" i="4"/>
  <c r="O73" i="4"/>
  <c r="N73" i="4"/>
  <c r="N69" i="4"/>
  <c r="O68" i="4"/>
  <c r="N68" i="4"/>
  <c r="P68" i="4" s="1"/>
  <c r="N64" i="4"/>
  <c r="O63" i="4"/>
  <c r="N63" i="4"/>
  <c r="P63" i="4" s="1"/>
  <c r="N59" i="4"/>
  <c r="O58" i="4"/>
  <c r="N58" i="4"/>
  <c r="N54" i="4"/>
  <c r="O53" i="4"/>
  <c r="N53" i="4"/>
  <c r="N49" i="4"/>
  <c r="O48" i="4"/>
  <c r="N48" i="4"/>
  <c r="P48" i="4" s="1"/>
  <c r="F114" i="4"/>
  <c r="F109" i="4"/>
  <c r="E115" i="4"/>
  <c r="E114" i="4"/>
  <c r="G114" i="4" s="1"/>
  <c r="E110" i="4"/>
  <c r="E109" i="4"/>
  <c r="G109" i="4" s="1"/>
  <c r="E105" i="4"/>
  <c r="F104" i="4"/>
  <c r="E104" i="4"/>
  <c r="E100" i="4"/>
  <c r="F99" i="4"/>
  <c r="E99" i="4"/>
  <c r="E95" i="4"/>
  <c r="F94" i="4"/>
  <c r="E94" i="4"/>
  <c r="E90" i="4"/>
  <c r="F89" i="4"/>
  <c r="E89" i="4"/>
  <c r="G89" i="4" s="1"/>
  <c r="E84" i="4"/>
  <c r="F83" i="4"/>
  <c r="E83" i="4"/>
  <c r="G83" i="4" s="1"/>
  <c r="E79" i="4"/>
  <c r="F78" i="4"/>
  <c r="E78" i="4"/>
  <c r="E74" i="4"/>
  <c r="F73" i="4"/>
  <c r="E73" i="4"/>
  <c r="E69" i="4"/>
  <c r="F68" i="4"/>
  <c r="E68" i="4"/>
  <c r="E64" i="4"/>
  <c r="E63" i="4"/>
  <c r="E59" i="4"/>
  <c r="E58" i="4"/>
  <c r="E54" i="4"/>
  <c r="E53" i="4"/>
  <c r="G53" i="4" s="1"/>
  <c r="E42" i="4"/>
  <c r="F63" i="4"/>
  <c r="F58" i="4"/>
  <c r="F53" i="4"/>
  <c r="E49" i="4"/>
  <c r="F48" i="4"/>
  <c r="E48" i="4"/>
  <c r="E43" i="4"/>
  <c r="F42" i="4"/>
  <c r="E38" i="4"/>
  <c r="F37" i="4"/>
  <c r="E37" i="4"/>
  <c r="F47" i="9"/>
  <c r="G47" i="9" s="1"/>
  <c r="H47" i="9" s="1"/>
  <c r="F48" i="9"/>
  <c r="G48" i="9" s="1"/>
  <c r="H48" i="9" s="1"/>
  <c r="F49" i="9"/>
  <c r="G49" i="9" s="1"/>
  <c r="H49" i="9" s="1"/>
  <c r="P25" i="17" l="1"/>
  <c r="P11" i="17"/>
  <c r="P19" i="17"/>
  <c r="G121" i="4"/>
  <c r="G42" i="4"/>
  <c r="P78" i="4"/>
  <c r="G37" i="4"/>
  <c r="G73" i="4"/>
  <c r="P73" i="4"/>
  <c r="P58" i="4"/>
  <c r="P53" i="4"/>
  <c r="G104" i="4"/>
  <c r="G99" i="4"/>
  <c r="G94" i="4"/>
  <c r="G78" i="4"/>
  <c r="G68" i="4"/>
  <c r="G48" i="4"/>
  <c r="G63" i="4"/>
  <c r="G58" i="4"/>
  <c r="F42" i="9"/>
  <c r="G42" i="9" s="1"/>
  <c r="H42" i="9" s="1"/>
  <c r="F41" i="9"/>
  <c r="G41" i="9" s="1"/>
  <c r="H41" i="9" s="1"/>
  <c r="F40" i="9"/>
  <c r="G40" i="9" s="1"/>
  <c r="H40" i="9" s="1"/>
  <c r="F38" i="9"/>
  <c r="G38" i="9" s="1"/>
  <c r="H38" i="9" s="1"/>
  <c r="F37" i="9"/>
  <c r="G37" i="9" s="1"/>
  <c r="H37" i="9" s="1"/>
  <c r="F36" i="9"/>
  <c r="G36" i="9" s="1"/>
  <c r="H36" i="9" s="1"/>
  <c r="F34" i="9"/>
  <c r="G34" i="9" s="1"/>
  <c r="H34" i="9" s="1"/>
  <c r="F33" i="9"/>
  <c r="G33" i="9" s="1"/>
  <c r="H33" i="9" s="1"/>
  <c r="F32" i="9"/>
  <c r="G32" i="9" s="1"/>
  <c r="H32" i="9" s="1"/>
  <c r="F30" i="9"/>
  <c r="G30" i="9" s="1"/>
  <c r="H30" i="9" s="1"/>
  <c r="F29" i="9"/>
  <c r="G29" i="9" s="1"/>
  <c r="H29" i="9" s="1"/>
  <c r="F28" i="9"/>
  <c r="G28" i="9" s="1"/>
  <c r="H28" i="9" s="1"/>
  <c r="F26" i="9"/>
  <c r="G26" i="9" s="1"/>
  <c r="H26" i="9" s="1"/>
  <c r="F25" i="9"/>
  <c r="G25" i="9" s="1"/>
  <c r="H25" i="9" s="1"/>
  <c r="F24" i="9"/>
  <c r="G24" i="9" s="1"/>
  <c r="H24" i="9" s="1"/>
  <c r="F22" i="9"/>
  <c r="G22" i="9" s="1"/>
  <c r="H22" i="9" s="1"/>
  <c r="F21" i="9"/>
  <c r="G21" i="9" s="1"/>
  <c r="H21" i="9" s="1"/>
  <c r="F20" i="9"/>
  <c r="G20" i="9" s="1"/>
  <c r="H20" i="9" s="1"/>
  <c r="F18" i="9"/>
  <c r="G18" i="9" s="1"/>
  <c r="H18" i="9" s="1"/>
  <c r="F17" i="9"/>
  <c r="G17" i="9" s="1"/>
  <c r="H17" i="9" s="1"/>
  <c r="F16" i="9"/>
  <c r="G16" i="9" s="1"/>
  <c r="H16" i="9" s="1"/>
  <c r="F14" i="9"/>
  <c r="G14" i="9" s="1"/>
  <c r="H14" i="9" s="1"/>
  <c r="F13" i="9"/>
  <c r="G13" i="9" s="1"/>
  <c r="H13" i="9" s="1"/>
  <c r="F12" i="9"/>
  <c r="G12" i="9" s="1"/>
  <c r="H12" i="9" s="1"/>
  <c r="F10" i="9"/>
  <c r="G10" i="9" s="1"/>
  <c r="H10" i="9" s="1"/>
  <c r="F9" i="9"/>
  <c r="G9" i="9" s="1"/>
  <c r="H9" i="9" s="1"/>
  <c r="F8" i="9"/>
  <c r="G8" i="9" s="1"/>
  <c r="H8" i="9" s="1"/>
  <c r="I11" i="6" l="1"/>
  <c r="I4" i="6"/>
  <c r="E11" i="6"/>
  <c r="E4" i="6"/>
  <c r="E13" i="5"/>
  <c r="E4" i="5"/>
  <c r="D13" i="5"/>
  <c r="D4" i="5"/>
</calcChain>
</file>

<file path=xl/sharedStrings.xml><?xml version="1.0" encoding="utf-8"?>
<sst xmlns="http://schemas.openxmlformats.org/spreadsheetml/2006/main" count="7463" uniqueCount="1217">
  <si>
    <t>paper_num</t>
  </si>
  <si>
    <t>obs_num</t>
  </si>
  <si>
    <t>title</t>
  </si>
  <si>
    <t>year</t>
  </si>
  <si>
    <t>journal</t>
  </si>
  <si>
    <t>climate_zone</t>
  </si>
  <si>
    <t>country</t>
  </si>
  <si>
    <t>pp_taxa</t>
  </si>
  <si>
    <t>pp_phyla</t>
  </si>
  <si>
    <t>pp_genus</t>
  </si>
  <si>
    <t>comments</t>
  </si>
  <si>
    <t>author</t>
  </si>
  <si>
    <t>Gonzalez-Duarte, Manuel M. and Megina, Cesar and Dulce Subida, Maria</t>
  </si>
  <si>
    <t>Anti-herbivory protection by mutualism in marine ecosystems: The case of kelps and hydroids</t>
  </si>
  <si>
    <t>ESTUARINE COASTAL AND SHELF SCIENCE</t>
  </si>
  <si>
    <t>Rice, Mallory M. and Maher, Rebecca L. and Thurber, Rebecca Vega and Burkepile, Deron E.</t>
  </si>
  <si>
    <t>Different nitrogen sources speed recovery from corallivory and uniquely alter the microbiome of a reef-building coral</t>
  </si>
  <si>
    <t>PEERJ</t>
  </si>
  <si>
    <t>Benkwitt, Cassandra E and Wilson, Shaun K and Graham, Nicholas A J</t>
  </si>
  <si>
    <t>Seabird nutrient subsidies alter patterns of algal abundance and fish biomass on coral reefs following a bleaching event</t>
  </si>
  <si>
    <t>Global Change Biology</t>
  </si>
  <si>
    <t>Savage, Candida</t>
  </si>
  <si>
    <t>Seabird nutrients are assimilated by corals and enhance coral growth rates</t>
  </si>
  <si>
    <t>SCIENTIFIC REPORTS</t>
  </si>
  <si>
    <t>Villger, Sbastien and Fouilland, Eric and Argenty, Jrmy and Bouvier, Corinne and Carr, Claire and Bouvier, Thierry</t>
  </si>
  <si>
    <t>Interspecific differences in the effect of fish on marine microbial plankton</t>
  </si>
  <si>
    <t>Aquatic Microbial Ecology</t>
  </si>
  <si>
    <t>Androuin, Thibault and Polerecky, Lubos and Decottignies, Priscilla and Dubois, Stanislas F and Dupuy, Christine and Hubas, Cdric and Jesus, Bruno and Le Gall, Erwan and Marzloff, Martin P and Carlier, Antoine</t>
  </si>
  <si>
    <t>Subtidal Microphytobenthos: A Secret Garden Stimulated by the Engineer Species Crepidula fornicata</t>
  </si>
  <si>
    <t>Frontiers in Marine Science</t>
  </si>
  <si>
    <t>Chase, T. J. and Pratchett, M. S. and Frank, G. E. and Hoogenboom, M. O.</t>
  </si>
  <si>
    <t>Coral-dwelling fish moderate bleaching susceptibility of coral hosts</t>
  </si>
  <si>
    <t>PLOS ONE</t>
  </si>
  <si>
    <t>Bracken, Matthew E S and Oates, Jill M and Badten, Alexander J and Bernatchez, Genevieve</t>
  </si>
  <si>
    <t>Predicting rates of consumer-mediated nutrient cycling by a diverse herbivore assemblage</t>
  </si>
  <si>
    <t>Marine Biology</t>
  </si>
  <si>
    <t>Allgeier, Jacob E. and Layman, Craig A. and Montana, Carmen G. and Hensel, Enie and Appaldo, Richard and Rosemond, Amy D.</t>
  </si>
  <si>
    <t>Anthropogenic versus fish-derived nutrient effects on seagrass community structure and function</t>
  </si>
  <si>
    <t>ECOLOGY</t>
  </si>
  <si>
    <t>Graham, Nicholas A. J. and Wilson, Shaun K. and Carr, Peter and Hoey, Andrew S. and Jennings, Simon and MacNeil, M. Aaron</t>
  </si>
  <si>
    <t>Seabirds enhance coral reef productivity and functioning in the absence of invasive rats</t>
  </si>
  <si>
    <t>NATURE</t>
  </si>
  <si>
    <t>Echappe, Caroline and Gernez, Pierre and Meleder, Vona and Jesus, Bruno and Cognie, Bruno and Decottignies, Priscilla and Sabbe, Koen and Barille, Laurent</t>
  </si>
  <si>
    <t>Satellite remote sensing reveals a positive impact of living oyster reefs on microalgal biofilm development</t>
  </si>
  <si>
    <t>BIOGEOSCIENCES</t>
  </si>
  <si>
    <t>Derksen-Hooijberg, Marlous and Angelini, Christine and Lamers, Leon P. M. and Borst, Annieke and Smolders, Alfons and Hoogveld, Jasper R. H. and de Paoli, Helene and van de Koppel, Johan and Silliman, Brian R. and van der Heide, Tjisse</t>
  </si>
  <si>
    <t>Mutualistic interactions amplify saltmarsh restoration success</t>
  </si>
  <si>
    <t>JOURNAL OF APPLIED ECOLOGY</t>
  </si>
  <si>
    <t>Garcia-Herrera, Nur and Ferse, Sebastian C. A. and Kunzmann, Andreas and Genin, Amatzia</t>
  </si>
  <si>
    <t>Mutualistic damselfish induce higher photosynthetic rates in their host coral</t>
  </si>
  <si>
    <t>JOURNAL OF EXPERIMENTAL BIOLOGY</t>
  </si>
  <si>
    <t>Gladstone-Gallagher, Rebecca V and Needham, Hazel R and Lohrer, Andrew M and Lundquist, Carolyn J and Pilditch, Conrad A</t>
  </si>
  <si>
    <t>Site-dependent effects of bioturbator-detritus interactions alter soft-sediment ecosystem function</t>
  </si>
  <si>
    <t>Marine Ecology Progress Series</t>
  </si>
  <si>
    <t>Marmen, Marieve Bouchard and Kenchington, Ellen and Ardyna, Mathieu and Archambault, Philippe</t>
  </si>
  <si>
    <t>Influence of seabird colonies and other environmental variables on benthic community structure, Lancaster Sound Region, Canadian Arctic</t>
  </si>
  <si>
    <t>JOURNAL OF MARINE SYSTEMS</t>
  </si>
  <si>
    <t>Sandoval-Gil, Jose and Alexandre, Ana and Santos, Rui and Camacho-Ibar, Victor F.</t>
  </si>
  <si>
    <t>Nitrogen Uptake and Internal Recycling in Zostera marina Exposed to Oyster Farming: Eelgrass Potential as a Natural Biofilter</t>
  </si>
  <si>
    <t>ESTUARIES AND COASTS</t>
  </si>
  <si>
    <t>Layman, Craig A. and Allgeier, Jacob E. and Montana, Carmen G.</t>
  </si>
  <si>
    <t>Mechanistic evidence of enhanced production on artificial reefs: A case study in a Bahamian seagrass ecosystem</t>
  </si>
  <si>
    <t>ECOLOGICAL ENGINEERING</t>
  </si>
  <si>
    <t>Cherif, Mehdi and Granados, Monica and Duffy, Sean and Robert, Pauline and Pequin, Berangere and Mohit, Vani and McKindsey, Christopher W. and Archambault, Philippe and Myrand, Bruno and Lovejoy, Connie and Tremblay, Rejean and Plourde, Stephane and Fussmann, Gregor F.</t>
  </si>
  <si>
    <t>Potential for Local Fertilization: A Benthocosm Test of Long-Term and Short-Term Effects of Mussel Excretion on the Plankton</t>
  </si>
  <si>
    <t>Shantz, Andrew A. and Ladd, Mark C. and Schrack, Elizabeth and Burkepile, Deron E.</t>
  </si>
  <si>
    <t>Fish-derived nutrient hotspots shape coral reef benthic communities</t>
  </si>
  <si>
    <t>ECOLOGICAL APPLICATIONS</t>
  </si>
  <si>
    <t>Miguel Sandoval-Gil, Jose and Camacho-Ibar, Victor F. and del Carmen Avila-Lopez, Maria and Hernandez-Lopez, Julieta and Zertuche-Gonzalez, Jose A. and Cabello-Pasini, Alejandro</t>
  </si>
  <si>
    <t>Dissolved inorganic nitrogen uptake kinetics and delta N-15 of Zostera marina L. (eelgrass) in a coastal lagoon with oyster aquaculture and upwelling influence</t>
  </si>
  <si>
    <t>JOURNAL OF EXPERIMENTAL MARINE BIOLOGY AND ECOLOGY</t>
  </si>
  <si>
    <t>Archer, Stephanie K. and Stoner, Elizabeth W. and Layman, Craig A.</t>
  </si>
  <si>
    <t>A complex interaction between a sponge (Halichondria melanadocia) and a seagrass (Thalassia testudinum) in a subtropical coastal ecosystem</t>
  </si>
  <si>
    <t>Chase, T J and Pratchett and Walker, SPW and Hoogenboom, MO</t>
  </si>
  <si>
    <t>Small-scale environmental variation influences whether coral-dwelling fish promote or impede coral growth</t>
  </si>
  <si>
    <t>Oecologia</t>
  </si>
  <si>
    <t>Pfister, Catherine A. and Altabet, Mark A. and Post, David</t>
  </si>
  <si>
    <t>Animal regeneration and microbial retention of nitrogen along coastal rocky shores</t>
  </si>
  <si>
    <t>Lapointe, Brian E and West, Lorin E and Sutton, Tracey T and Hu, Chuanmin</t>
  </si>
  <si>
    <t>Ryther revisited: nutrient excretions by fishes enhance productivity of pelagic Sargassum in the western North Atlantic Ocean</t>
  </si>
  <si>
    <t>Journal of Experimental Marine Biology and Ecology</t>
  </si>
  <si>
    <t>Allgeier, Jacob E. and Layman, Craig A. and Mumby, Peter J. and Rosemond, Amy D.</t>
  </si>
  <si>
    <t>Consistent nutrient storage and supply mediated by diverse fish communities in coral reef ecosystems</t>
  </si>
  <si>
    <t>GLOBAL CHANGE BIOLOGY</t>
  </si>
  <si>
    <t>Easson, Cole G. and Slattery, Marc and Baker, David M. and Gochfeld, Deborah J.</t>
  </si>
  <si>
    <t>Complex ecological associations: competition and facilitation in a sponge-algal interaction</t>
  </si>
  <si>
    <t>MARINE ECOLOGY PROGRESS SERIES</t>
  </si>
  <si>
    <t>Frojan, M. and Arbones, B. and Zuniga, D. and Castro, C. G. and Figueiras, F. G.</t>
  </si>
  <si>
    <t>Microbial plankton community in the Ria de Vigo ( NW Iberian upwelling system): impact of the culture of Mytilus galloprovincialis</t>
  </si>
  <si>
    <t>Brzezinski, Mark A. and Reed, Daniel C. and Harrer, Shannon and Rassweiler, Andrew and Melack, John M. and Goodridge, Blair M. and Dugan, Jenifer E.</t>
  </si>
  <si>
    <t>MULTIPLE SOURCES AND FORMS OF NITROGEN SUSTAIN YEAR-ROUND KELP GROWTH on the Inner Continental Shelf of the Santa Barbara Channel</t>
  </si>
  <si>
    <t>OCEANOGRAPHY</t>
  </si>
  <si>
    <t>Yarrington, Charles S. and Tyler, Anna Christina and Altieri, Andrew H.</t>
  </si>
  <si>
    <t>Do snails facilitate bloom-forming macroalgae in a eutrophic estuary?</t>
  </si>
  <si>
    <t>Burkepile, Deron E. and Allgeier, Jacob E. and Shantz, Andrew A. and Pritchard, Catharine E. and Lemoine, Nathan P. and Bhatti, Laura H. and Layman, Craig A.</t>
  </si>
  <si>
    <t>Nutrient supply from fishes facilitates macroalgae and suppresses corals in a Caribbean coral reef ecosystem</t>
  </si>
  <si>
    <t>Peterson, Bradley J and Valentine, John F and Heck, Kenneth L</t>
  </si>
  <si>
    <t>The snapper-grunt pump: Habitat modification and facilitation of the associated benthic plant communities by reef-resident fish</t>
  </si>
  <si>
    <t>Allgeier, Jacob E. and Yeager, Lauren A. and Layman, Craig A.</t>
  </si>
  <si>
    <t>Consumers regulate nutrient limitation regimes and primary production in seagrass ecosystems</t>
  </si>
  <si>
    <t>Slattery, Marc and Gochfeld, Deborah J. and Easson, Cole G. and O'Donahue, Lindsay R. K.</t>
  </si>
  <si>
    <t>Facilitation of coral reef biodiversity and health by cave sponge communities</t>
  </si>
  <si>
    <t>Hepburn, Christopher D and Frew, Russell D and Hurd, Catriona L</t>
  </si>
  <si>
    <t>Uptake and transport of nitrogen derived from sessile epifauna in the giant kelp Macrocystis pyrifera</t>
  </si>
  <si>
    <t>Aquatic Biology</t>
  </si>
  <si>
    <t>Holbrook, Sally J and Schmitt, Russell J and Brooks, Andrew J</t>
  </si>
  <si>
    <t>Indirect effects of species interactions on habitat provisioning</t>
  </si>
  <si>
    <t>Whitehouse, MJ and Atkinson, A and Rees, A P</t>
  </si>
  <si>
    <t>Close coupling between ammonium uptake by phytoplankton and excretion by Antarctic krill, Euphausia superba</t>
  </si>
  <si>
    <t>Deep Sea Research (Part I, Oceanographic Research Papers)</t>
  </si>
  <si>
    <t>Layman, CA and Allgeier, JE and Rosemond, AD and Dahlgren, C P and Yeager, LA</t>
  </si>
  <si>
    <t>Marine fisheries declines viewed upside down: human impacts on consumer-driven nutrient recycling</t>
  </si>
  <si>
    <t>Ecological Applications</t>
  </si>
  <si>
    <t>Niggl, Wolfgang and Naumann, Malik S. and Struck, Ulrich and Manasrah, Riyad and Wild, Christian</t>
  </si>
  <si>
    <t>Organic matter release by the benthic upside-down jellyfish Cassiopea sp fuels pelagic food webs in coral reefs</t>
  </si>
  <si>
    <t>West, Elizabeth J. and Pitt, Kylie A. and Welsh, David T. and Koop, Klaus and Rissik, David</t>
  </si>
  <si>
    <t>Top-down and bottom-up influences of jellyfish on primary productivity and planktonic assemblages</t>
  </si>
  <si>
    <t>LIMNOLOGY AND OCEANOGRAPHY</t>
  </si>
  <si>
    <t>Roopin, M and Chadwick, N E</t>
  </si>
  <si>
    <t>Benefits to host sea anemones from ammonia contributions of resident anemonefish</t>
  </si>
  <si>
    <t>Aquilino, Kristin M. and Bracken, Matthew E. S. and Faubel, Melinda N. and Stachowicz, John J.</t>
  </si>
  <si>
    <t>Local-scale nutrient regeneration facilitates seaweed growth on wave-exposed rocky shores in an upwelling system</t>
  </si>
  <si>
    <t>Vinther, Hanne Fogh and Holmer, Marianne</t>
  </si>
  <si>
    <t>Experimental test of biodeposition and ammonium excretion from blue mussels (Mytilus edulis) on eelgrass (Zostera marina) performance</t>
  </si>
  <si>
    <t>Holbrook, Sally J and Brooks, Andrew J and Schmitt, Russell J and Stewart, Hannah L</t>
  </si>
  <si>
    <t>Effects of sheltering fish on growth of their host corals</t>
  </si>
  <si>
    <t>Vinther, H F and Laursen, J S and Holmer, M</t>
  </si>
  <si>
    <t>Negative effects of blue mussel (Mytilus edulis) presence in eelgrass (Zostera marina) beds in Flensborg fjord, Denmark</t>
  </si>
  <si>
    <t>Estuarine, Coastal and Shelf Science</t>
  </si>
  <si>
    <t>Wall, Charles C. and Peterson, Bradley J. and Gobler, Christopher J.</t>
  </si>
  <si>
    <t>Facilitation of seagrass Zostera marina productivity by suspension-feeding bivalves</t>
  </si>
  <si>
    <t>Liess, Antonia and Haglund, Ann-Louise</t>
  </si>
  <si>
    <t>Periphyton responds differentially to nutrients recycled in dissolved or faecal pellet form by the snail grazer Theodoxus fluviatilis</t>
  </si>
  <si>
    <t>Freshwater Biology</t>
  </si>
  <si>
    <t>Bracken, MES and Gonzalez-Dorantes, CA and Stachowicz, J J</t>
  </si>
  <si>
    <t>Whole-Community mutualism: Associated invertebrates facilitate a dominant habitat-forming seaweed</t>
  </si>
  <si>
    <t>Ecology</t>
  </si>
  <si>
    <t>Hepburn, Christopher D and Hurd, Catriona L and Frew, Russell D</t>
  </si>
  <si>
    <t>Colony Structure and Seasonal Differences in Light and Nitrogen Modify the Impact of Sessile Epifauna on the Giant Kelp Macrocystis pyrifera (L.) C Agardh</t>
  </si>
  <si>
    <t>Hydrobiologia</t>
  </si>
  <si>
    <t>Wai, TC and Williams, GA</t>
  </si>
  <si>
    <t>The relative importance of herbivore-induced effects on productivity of crustose coralline algae: Sea urchin grazing and nitrogen excretion</t>
  </si>
  <si>
    <t>Glaholt, SP and Vanni, MJ</t>
  </si>
  <si>
    <t>Ecological responses to simulated benthic-derived nutrient subsidies mediated by omnivorous fish</t>
  </si>
  <si>
    <t>FRESHWATER BIOLOGY</t>
  </si>
  <si>
    <t>Porat, D and Chadwick-Furman, N E</t>
  </si>
  <si>
    <t>Effects of anemonefish on giant sea anemones: Ammonium uptake, zooxanthella content and tissue regeneration</t>
  </si>
  <si>
    <t>Marine and Freshwater Behaviour and Physiology</t>
  </si>
  <si>
    <t>Hepburn, Christopher D and Hurd, Catriona L</t>
  </si>
  <si>
    <t>Conditional mutualism between the giant kelp Macrocystis pyrifera and colonial epifauna</t>
  </si>
  <si>
    <t>Bracken, Matthew ES</t>
  </si>
  <si>
    <t>Invertebrate-mediated nutrient loading increases growth of an intertidal macroalga</t>
  </si>
  <si>
    <t>Journal of Phycology</t>
  </si>
  <si>
    <t>Bracken, MES and Nielsen, K J</t>
  </si>
  <si>
    <t>Diversity of Intertidal Macroalgae Increases with Nitrogen Loading by Invertebrates</t>
  </si>
  <si>
    <t>Peterson, B J and Heck, KL Jr</t>
  </si>
  <si>
    <t>Positive interactions between suspension-feeding bivalves and seagrass - a facultative mutualism</t>
  </si>
  <si>
    <t>Uthicke, S</t>
  </si>
  <si>
    <t>Interactions between sediment-feeders and microalgae on coral reefs: grazing losses versus production enhancement</t>
  </si>
  <si>
    <t>Hurd, CL and Durante, KM and Harrison, PJ</t>
  </si>
  <si>
    <t>Influence of bryozoan colonization on the physiology of the kelp Macrocystis integrifolia (Laminariales, Phaeophyta) from nitrogen-rich and -poor sites in Barkley Sound, British Columbia, Canada</t>
  </si>
  <si>
    <t>PHYCOLOGIA</t>
  </si>
  <si>
    <t>Magni, P and Montani, S and Takada, C and Tsutsumi, H</t>
  </si>
  <si>
    <t>Temporal scaling and relevance of bivalve nutrient excretion on a tidal flat of the Seto Inland Sea, Japan</t>
  </si>
  <si>
    <t>Plaganyi, EE and Branch, G M</t>
  </si>
  <si>
    <t>Does the limpet Patella cochlear fertilize its own algal garden?</t>
  </si>
  <si>
    <t>Cognie, B and Barille, L</t>
  </si>
  <si>
    <t>Does bivalve mucus favour the growth of their main food source, microalgae?</t>
  </si>
  <si>
    <t>Oceanologica Acta</t>
  </si>
  <si>
    <t>Lehrter, John C and Pennock, Jonathan R and Mcmanus, George B</t>
  </si>
  <si>
    <t>Microzooplankton grazing and nitrogen excretion across a surface estuarine-coastal interface</t>
  </si>
  <si>
    <t>Estuaries</t>
  </si>
  <si>
    <t>Taylor, R B and Rees, TAV</t>
  </si>
  <si>
    <t>Excretory products of mobile epifauna as a nitrogen source for seaweeds</t>
  </si>
  <si>
    <t>Limnology and Oceanography</t>
  </si>
  <si>
    <t>Uthicke, S and Klumpp, DW</t>
  </si>
  <si>
    <t>Microphytobenthos community production at a near-shore coral reef: seasonal variation and response to ammonium recycled by holothurians</t>
  </si>
  <si>
    <t>Mokady, O and Loya, Y and Lazar, B</t>
  </si>
  <si>
    <t>Ammonium contribution from baring bivalves to their coral host - a mutualistic symbiosis?</t>
  </si>
  <si>
    <t>SimonBlecher, N and Achituv, Y and Malik, Z</t>
  </si>
  <si>
    <t>Effect of epibionts on the microdistribution of chlorophyll in corals and its detection by fluorescence spectral imaging</t>
  </si>
  <si>
    <t>MARINE BIOLOGY</t>
  </si>
  <si>
    <t>Spotte, S</t>
  </si>
  <si>
    <t>Supply of regenerated nitrogen to sea anemones by their symbiotic shrimp</t>
  </si>
  <si>
    <t>Ambariyanto and HoeghGuldberg, O</t>
  </si>
  <si>
    <t>Nutrient enrichment and the ultrastructure of zooxanthellae from the giant clam Tridacna maxima</t>
  </si>
  <si>
    <t>MUKAI, H and IIJIMA, A</t>
  </si>
  <si>
    <t>GRAZING EFFECTS OF A GAMMARIDEAN AMPHIPODA, AMPITHOE SP, ON THE SEAGRASS, SYRINGODIUM-ISOETIFOLIUM, AND EPIPHYTES IN A TROPICAL SEAGRASS BED OF FIJI</t>
  </si>
  <si>
    <t>ECOLOGICAL RESEARCH</t>
  </si>
  <si>
    <t>Bustamante, R H and Branch, G M and Eekhout, S and Robertson, B and Zoutendyk, P and Schleyer, M and Dye, A and Hanekom, N and Keats, D and Jurd, M and McQuaid, C</t>
  </si>
  <si>
    <t>Gradients of intertidal primary productivity around the coast of South Africa and their relationships with consumer biomass</t>
  </si>
  <si>
    <t>HURD, CL and DURANTE, KM and CHIA, FS and HARRISON, PJ</t>
  </si>
  <si>
    <t>EFFECT OF BRYOZOAN COLONIZATION ON INORGANIC NITROGEN ACQUISITION BY THE KELPS AGARUM-FIMBRIATUM AND MACROCYSTIS-INTEGRIFOLIA</t>
  </si>
  <si>
    <t>McQuaid, C D and Froneman, P W</t>
  </si>
  <si>
    <t>Mutualism between the territorial intertidal limpet Patella longicosta and the crustose alga Ralfsia verrucosa</t>
  </si>
  <si>
    <t>JONSSON, B and SUNDBACK, K and NILSSON, P and NILSSON, C and SWANBERG, IL and EKEBOM, J</t>
  </si>
  <si>
    <t>DOES THE INFLUENCE OF THE EPIBENTHIC PREDATOR CRANGON-CRANGON L (BROWN SHRIMP) EXTEND TO SEDIMENT MICROALGAE AND BACTERIA</t>
  </si>
  <si>
    <t>NETHERLANDS JOURNAL OF SEA RESEARCH</t>
  </si>
  <si>
    <t>MCCORMICK, PV and STEVENSON, RJ</t>
  </si>
  <si>
    <t>GRAZER CONTROL OF NUTRIENT AVAILABILITY IN THE PERIPHYTON</t>
  </si>
  <si>
    <t>OECOLOGIA</t>
  </si>
  <si>
    <t>Xiao, Wupeng and Zeng, Yang and Liu, Xin and Huang, Xuguang and Chiang, Kuo-Ping and Mi, Tiezhu and Zhang, Fang and Li, Chaolun and Wei, Hao and Yao, Qingzhen and Huang, Bangqin</t>
  </si>
  <si>
    <t>The impact of giant jellyfish Nemopilema nomurai blooms on plankton communities in a temperate marginal sea</t>
  </si>
  <si>
    <t>Marine Pollution Bulletin</t>
  </si>
  <si>
    <t>Wu, Yalin</t>
  </si>
  <si>
    <t>Ecological Contribution of &lt;i&gt;Rudita pesphilippinarum&lt;/i&gt; in the Seagrass Meadow of Sanggou Bay</t>
  </si>
  <si>
    <t>Wood, J D and Elliott, D and Garman, G and Hopler, D and Lee, W and McIninch, S and Porter, A J and Bukaveckas, P A</t>
  </si>
  <si>
    <t>Autochthony, allochthony and the role of consumers in influencing the sensitivity of aquatic systems to nutrient enrichment</t>
  </si>
  <si>
    <t>Food Webs</t>
  </si>
  <si>
    <t>Jauffrais, Thierry and Drouet, Sigrid and Turpin, Vincent and Meleder, Vona and Jesus, Bruno and Cognie, Bruno and Raimbault, Patrick and Cosson, Richard P and Decottignies, Priscilla and Martin-Jezequel, Veronique</t>
  </si>
  <si>
    <t>Growth and biochemical composition of a microphytobenthic diatom (Entomoneis paludosa) exposed to shorebird (Calidris alpina) droppings</t>
  </si>
  <si>
    <t>Brzezinski, Mark A and Reed, Daniel C and Harrer, Shannon and RASSWEILER, ANDREW and Melack, John M and Goodridge, Blair M and Dugan, Jenifer E</t>
  </si>
  <si>
    <t>MULTIPLE SOURCES AND FORMS OF NITROGEN SUSTAIN YEAR-ROUND KELP GROWTH: on the Inner Continental Shelf of the Santa Barbara Channel</t>
  </si>
  <si>
    <t>Oceanography</t>
  </si>
  <si>
    <t>Li, Zhen and Zhang, Yinjiang and Zhang, Leting and Zheng, Tiangang and Jin, Jing and Pan, Liande and Wang, Cong</t>
  </si>
  <si>
    <t>STUDY ON FEEDING PREFERENCE OF SPINIBARBUS HOLLANDI TO SPIROGYRA, HYDRILLA VERTICILLATA AND CERATOPHYLLUM DEMERSUM AND EFFECT ON WATER QUALITY</t>
  </si>
  <si>
    <t>Acta hydrobiologica sinica/Shuisheng Shengwu Xuebao</t>
  </si>
  <si>
    <t>Olsen, Ylva S and Valiela, Ivan</t>
  </si>
  <si>
    <t>Effect of Sediment Nutrient Enrichment and Grazing on Turtle Grass Thalassia testudinum in Jobos Bay, Puerto Rico</t>
  </si>
  <si>
    <t>Estuaries and Coasts</t>
  </si>
  <si>
    <t>Jaschinski, Sybill and Sommer, Ulrich</t>
  </si>
  <si>
    <t>Positive effects of mesograzers on epiphytes in an eelgrass system</t>
  </si>
  <si>
    <t>Aquilino, Kristin M and Bracken, Matthew ES and Faubel, Melinda N and Stachowicz, John J</t>
  </si>
  <si>
    <t>Local-scale nutrient regeneration facilitates seaweed growth on wave- exposed rocky shores in an upwelling system</t>
  </si>
  <si>
    <t>Garbary, D J and Jamieson, M M and Fraser, S J and Ferguson, CA and Cranston, P S</t>
  </si>
  <si>
    <t>Ascophyllum (Phaeophyceae) and its symbionts. IX. A novel symbiosis between Halocladius variabilis (Chironomidae, Insecta) and Elachista fucicola (Elachistaceae, Phaeophyceae) from marine rocky shores of Nova Scotia</t>
  </si>
  <si>
    <t>Symbiosis</t>
  </si>
  <si>
    <t>Linden, E and Kuosa, H</t>
  </si>
  <si>
    <t>Effects of grazing and excretion by pelagic mysids (Mysis spp.) on the size structure and biomass of the phytoplankton community</t>
  </si>
  <si>
    <t>Bracken, ME and Nielsen, K J</t>
  </si>
  <si>
    <t>Nitrogen loading by invertebrates increases growth and diversity of intertidal macroalgae</t>
  </si>
  <si>
    <t>Positive interactions between suspension-feeding bivalves and seagrass--a facultative mutualism</t>
  </si>
  <si>
    <t>Arzul, G and Seguel, M and Clment, A</t>
  </si>
  <si>
    <t>Effect of marine animal excretions on differential growth of phytoplankton species</t>
  </si>
  <si>
    <t>ICES Journal of Marine Science</t>
  </si>
  <si>
    <t>Davy, S K and Hinde, R</t>
  </si>
  <si>
    <t>Nitrogen flux in a sponge-macroalgal symbiosis</t>
  </si>
  <si>
    <t>Memoirs of the Queensland Museum</t>
  </si>
  <si>
    <t>Alcaraz, M and Saiz, E and Fernandez, JA and Trepat, I and Figueiras, F and Calbet, A and Bautista, B</t>
  </si>
  <si>
    <t>Antarctic zooplankton metabolism: Carbon requirements and ammonium excretion of salps and crustacean zooplankton in the vicinity of the Bransfield Strait during January 1994</t>
  </si>
  <si>
    <t>Journal of Marine Systems</t>
  </si>
  <si>
    <t>Ellison, A M and Farnsworth, E J and Twilley, R R</t>
  </si>
  <si>
    <t>Facultative mutualism between red mangroves and root-fouling sponges in Belizean mangal</t>
  </si>
  <si>
    <t>Mukai, H and Iijima, A</t>
  </si>
  <si>
    <t>Grazing effects of a gammaridean Amphipoda, Ampithoe sp., on the seagrass, Syringodium isoetifolium, and epiphytes in a tropical seagrass bed of Fiji</t>
  </si>
  <si>
    <t>Ecological Research</t>
  </si>
  <si>
    <t>Joensson, B and Sundbaeck, K and Nilsson, P and Nilsson, C and Swanberg, IL and Ekebom, J</t>
  </si>
  <si>
    <t>Does the influence of the epibenthic predator Crangon crangon L. (brown shrimp) extend to sediment microalgae and bacteria?</t>
  </si>
  <si>
    <t>NETH. J. SEA RES</t>
  </si>
  <si>
    <t>Bray, R N and Miller, A C and Jonson, S and Krause, PR and Robertson, D L and Westcott, A M</t>
  </si>
  <si>
    <t>Ammomium excretion by macroinvertebrates and fishes on a subtidal rocky reef in southern California</t>
  </si>
  <si>
    <t>Marine biology. Berlin, Heidelberg</t>
  </si>
  <si>
    <t>Williams, S L and Carpenter, R C</t>
  </si>
  <si>
    <t xml:space="preserve">Nitrogen-limited primary productivity of coral reef algal turfs: Potential contribution of ammonium excreted by Diadema antillarum </t>
  </si>
  <si>
    <t>Marine ecology progress series. Oldendorf</t>
  </si>
  <si>
    <t>McDonald, ME</t>
  </si>
  <si>
    <t>Growth of a grazing phytoplanktivorous fish and growth enhancement of the grazed alga</t>
  </si>
  <si>
    <t>Meyer, J L and Schultz, E T</t>
  </si>
  <si>
    <t>Migrating haemulid fishes as a source of nutrients and organic matter on coral reefs</t>
  </si>
  <si>
    <t>Meyer, J L and Schultz, E T and Helfman, G S</t>
  </si>
  <si>
    <t>Fish schools: An asset to corals</t>
  </si>
  <si>
    <t>Science (Washington)</t>
  </si>
  <si>
    <t>Connor and Teal, J M and Valiela, I</t>
  </si>
  <si>
    <t>The effect of feeding by mud snails, Ilyanassa obsoleta (Say), on the structure and metabolism of a laboratory benthic algal community</t>
  </si>
  <si>
    <t>Connor, M S</t>
  </si>
  <si>
    <t>Snail grazing effects on the composition and metabolism of benthic diatom communities and subsequent effects on fish growth. /[Thesis (Ph.D.)]</t>
  </si>
  <si>
    <t>Publ. by: WHOI; Woods Hole, MA (USA)., Jun 1980., 169 p., Tech. Rep. Woods Hole Oceanogr. Inst</t>
  </si>
  <si>
    <t>Golovkin, AN</t>
  </si>
  <si>
    <t>The influence of sea colonial birds on phytoplankton growth</t>
  </si>
  <si>
    <t>Okeanologiya</t>
  </si>
  <si>
    <t>Chile</t>
  </si>
  <si>
    <t>location</t>
  </si>
  <si>
    <t xml:space="preserve">Estacion Costera de Investigaciones Marinas </t>
  </si>
  <si>
    <r>
      <t>(T)</t>
    </r>
    <r>
      <rPr>
        <sz val="11"/>
        <color rgb="FF000000"/>
        <rFont val="Calibri"/>
        <family val="2"/>
        <scheme val="minor"/>
      </rPr>
      <t xml:space="preserve"> Tropical (23.5°N-23.5°S)</t>
    </r>
  </si>
  <si>
    <r>
      <t>(NP)</t>
    </r>
    <r>
      <rPr>
        <sz val="11"/>
        <color rgb="FF000000"/>
        <rFont val="Calibri"/>
        <family val="2"/>
        <scheme val="minor"/>
      </rPr>
      <t>Northern polar (above 66.5°N)</t>
    </r>
  </si>
  <si>
    <r>
      <t>(SP)</t>
    </r>
    <r>
      <rPr>
        <sz val="11"/>
        <color rgb="FF000000"/>
        <rFont val="Calibri"/>
        <family val="2"/>
        <scheme val="minor"/>
      </rPr>
      <t xml:space="preserve"> Southern polar (above 66.5°S)</t>
    </r>
  </si>
  <si>
    <t>ST</t>
  </si>
  <si>
    <t>c_taxa</t>
  </si>
  <si>
    <t>c_phyla</t>
  </si>
  <si>
    <t>c_genus</t>
  </si>
  <si>
    <t>c_species</t>
  </si>
  <si>
    <t>pp_speces</t>
  </si>
  <si>
    <t>Lattitude</t>
  </si>
  <si>
    <t>Longitude</t>
  </si>
  <si>
    <t>33° 30'S</t>
  </si>
  <si>
    <t>71° 30'W</t>
  </si>
  <si>
    <t>lat_dec</t>
  </si>
  <si>
    <t>long_dec</t>
  </si>
  <si>
    <t>ocean</t>
  </si>
  <si>
    <t>region</t>
  </si>
  <si>
    <t>source</t>
  </si>
  <si>
    <t>Pacific</t>
  </si>
  <si>
    <t>South</t>
  </si>
  <si>
    <t>https://github.com/baumlab/Claar_etal_2018_PLoSOne</t>
  </si>
  <si>
    <t>T</t>
  </si>
  <si>
    <t>species</t>
  </si>
  <si>
    <r>
      <t>(CA)</t>
    </r>
    <r>
      <rPr>
        <sz val="11"/>
        <color rgb="FF000000"/>
        <rFont val="Calibri"/>
        <family val="2"/>
        <scheme val="minor"/>
      </rPr>
      <t xml:space="preserve"> Calcareous Algae </t>
    </r>
  </si>
  <si>
    <r>
      <t xml:space="preserve">(Co) </t>
    </r>
    <r>
      <rPr>
        <sz val="11"/>
        <color rgb="FF000000"/>
        <rFont val="Calibri"/>
        <family val="2"/>
        <scheme val="minor"/>
      </rPr>
      <t xml:space="preserve">Coral </t>
    </r>
  </si>
  <si>
    <r>
      <t>(B)</t>
    </r>
    <r>
      <rPr>
        <sz val="11"/>
        <color rgb="FF000000"/>
        <rFont val="Calibri"/>
        <family val="2"/>
        <scheme val="minor"/>
      </rPr>
      <t xml:space="preserve"> Bivalve </t>
    </r>
  </si>
  <si>
    <r>
      <t xml:space="preserve">(G) </t>
    </r>
    <r>
      <rPr>
        <sz val="11"/>
        <color rgb="FF000000"/>
        <rFont val="Calibri"/>
        <family val="2"/>
        <scheme val="minor"/>
      </rPr>
      <t xml:space="preserve">Gastropod </t>
    </r>
  </si>
  <si>
    <r>
      <t xml:space="preserve">(E) </t>
    </r>
    <r>
      <rPr>
        <sz val="11"/>
        <color rgb="FF000000"/>
        <rFont val="Calibri"/>
        <family val="2"/>
        <scheme val="minor"/>
      </rPr>
      <t xml:space="preserve">Echinoderm </t>
    </r>
  </si>
  <si>
    <r>
      <t xml:space="preserve">(Cr) </t>
    </r>
    <r>
      <rPr>
        <sz val="11"/>
        <color rgb="FF000000"/>
        <rFont val="Calibri"/>
        <family val="2"/>
        <scheme val="minor"/>
      </rPr>
      <t xml:space="preserve">Crustacean </t>
    </r>
  </si>
  <si>
    <r>
      <t>(F)</t>
    </r>
    <r>
      <rPr>
        <sz val="11"/>
        <color rgb="FF000000"/>
        <rFont val="Calibri"/>
        <family val="2"/>
        <scheme val="minor"/>
      </rPr>
      <t xml:space="preserve"> Fish </t>
    </r>
  </si>
  <si>
    <r>
      <t>(FA)</t>
    </r>
    <r>
      <rPr>
        <sz val="11"/>
        <color rgb="FF000000"/>
        <rFont val="Calibri"/>
        <family val="2"/>
        <scheme val="minor"/>
      </rPr>
      <t xml:space="preserve"> Fleshy Algae </t>
    </r>
  </si>
  <si>
    <r>
      <t>(S)</t>
    </r>
    <r>
      <rPr>
        <sz val="11"/>
        <color rgb="FF000000"/>
        <rFont val="Calibri"/>
        <family val="2"/>
        <scheme val="minor"/>
      </rPr>
      <t xml:space="preserve"> Seagrass </t>
    </r>
  </si>
  <si>
    <r>
      <t>(O)</t>
    </r>
    <r>
      <rPr>
        <sz val="11"/>
        <color rgb="FF000000"/>
        <rFont val="Calibri"/>
        <family val="2"/>
        <scheme val="minor"/>
      </rPr>
      <t xml:space="preserve"> Other</t>
    </r>
  </si>
  <si>
    <t>F</t>
  </si>
  <si>
    <t>Chordata</t>
  </si>
  <si>
    <t>Co</t>
  </si>
  <si>
    <t>Cnidaria</t>
  </si>
  <si>
    <t xml:space="preserve">Pocillopora </t>
  </si>
  <si>
    <t xml:space="preserve">eydouxi </t>
  </si>
  <si>
    <t>c_species_family_comm</t>
  </si>
  <si>
    <t>family</t>
  </si>
  <si>
    <t xml:space="preserve">Pomacentridae </t>
  </si>
  <si>
    <t>NA</t>
  </si>
  <si>
    <t>pp_species_family_comm</t>
  </si>
  <si>
    <t>response</t>
  </si>
  <si>
    <t>growth</t>
  </si>
  <si>
    <t>mean_treatment</t>
  </si>
  <si>
    <t>mean_control</t>
  </si>
  <si>
    <t>Fig.4</t>
  </si>
  <si>
    <t>se_treatment</t>
  </si>
  <si>
    <t>se_control</t>
  </si>
  <si>
    <t>fig.4 coral mass increase fish vs no fish. Also calculated growth rate vs fish biomass, found openness of the corals affected fish vs growth relationship bc of ammonium retention.</t>
  </si>
  <si>
    <t>measured how much ammonium inverts excrete and then how much seaweeds need, didn't directly measure growth</t>
  </si>
  <si>
    <t>didn't measure growth as response</t>
  </si>
  <si>
    <t>didn't use animals, artificially added N</t>
  </si>
  <si>
    <t>France</t>
  </si>
  <si>
    <t>43°26'51"N</t>
  </si>
  <si>
    <t>3°39'6"E</t>
  </si>
  <si>
    <t>water_body</t>
  </si>
  <si>
    <t>lagoon</t>
  </si>
  <si>
    <t>coastal</t>
  </si>
  <si>
    <t>lab_field</t>
  </si>
  <si>
    <t>lab</t>
  </si>
  <si>
    <t>field</t>
  </si>
  <si>
    <t>Mediterranean</t>
  </si>
  <si>
    <t>NT</t>
  </si>
  <si>
    <t>Sparidae</t>
  </si>
  <si>
    <t>Sparus</t>
  </si>
  <si>
    <t>aurata</t>
  </si>
  <si>
    <t>Chelon</t>
  </si>
  <si>
    <t>auratus</t>
  </si>
  <si>
    <t>Mugilidae</t>
  </si>
  <si>
    <t>community</t>
  </si>
  <si>
    <t>Taxa</t>
  </si>
  <si>
    <t>P</t>
  </si>
  <si>
    <t>Ochrophyta</t>
  </si>
  <si>
    <t>Fig.1a</t>
  </si>
  <si>
    <t>density</t>
  </si>
  <si>
    <t>density of phytoplankton cells per mL</t>
  </si>
  <si>
    <t>means are actually medians</t>
  </si>
  <si>
    <t>didn't consider fish pee as a fertilizer for algal growth????????????????</t>
  </si>
  <si>
    <t>didn't measure pp as response</t>
  </si>
  <si>
    <t>continent</t>
  </si>
  <si>
    <t>season</t>
  </si>
  <si>
    <t>treatment_levels</t>
  </si>
  <si>
    <t>growth_rate</t>
  </si>
  <si>
    <t>control_n</t>
  </si>
  <si>
    <t>treatment_ n</t>
  </si>
  <si>
    <t>data_source</t>
  </si>
  <si>
    <t>WebPlotDigitizer</t>
  </si>
  <si>
    <t>Bahamas</t>
  </si>
  <si>
    <t>Mexico</t>
  </si>
  <si>
    <t>Florida Keys</t>
  </si>
  <si>
    <t>USA</t>
  </si>
  <si>
    <t>Canada</t>
  </si>
  <si>
    <t>Quebec</t>
  </si>
  <si>
    <t>Old Robinson</t>
  </si>
  <si>
    <t>Lancaster Sound Region</t>
  </si>
  <si>
    <t>New Zealand</t>
  </si>
  <si>
    <t>North Island</t>
  </si>
  <si>
    <t>Sapelo Island, Georgia</t>
  </si>
  <si>
    <t>Bourgneuf Bay</t>
  </si>
  <si>
    <t>Australia</t>
  </si>
  <si>
    <t>Northern Great Barrier Reef</t>
  </si>
  <si>
    <t>Bay of Brest</t>
  </si>
  <si>
    <t>Fiji</t>
  </si>
  <si>
    <t>Kubulau District</t>
  </si>
  <si>
    <t>Chagos Archipelago</t>
  </si>
  <si>
    <t>British Indian Ocean Territory</t>
  </si>
  <si>
    <t>Abaco Island</t>
  </si>
  <si>
    <t>One Tree Island</t>
  </si>
  <si>
    <t>Tatoosh Island</t>
  </si>
  <si>
    <t>Sargassum sea</t>
  </si>
  <si>
    <t>modelled nutrients, didn't measure pp as response</t>
  </si>
  <si>
    <t>Lee Stocking Island</t>
  </si>
  <si>
    <t>Harington Point</t>
  </si>
  <si>
    <t>weren't able to tease apart effects of consumption and nourishing. Looked at mussels effect on plankton and found they eat plankton</t>
  </si>
  <si>
    <t>not an experimental study</t>
  </si>
  <si>
    <t>West Falmouth Harbor, Cape Cod</t>
  </si>
  <si>
    <t>Exuma Cays</t>
  </si>
  <si>
    <t>measured uptake not growth</t>
  </si>
  <si>
    <t>French Polynesia</t>
  </si>
  <si>
    <t>Moorea</t>
  </si>
  <si>
    <t>didn't measure chl a in response to nutrients or krill, measured uptake</t>
  </si>
  <si>
    <t>didn't measure pp as response + animals weren't nutrient source</t>
  </si>
  <si>
    <t>carbon not nutrients</t>
  </si>
  <si>
    <t>New South Wales</t>
  </si>
  <si>
    <t>Bodega Marine Reserve</t>
  </si>
  <si>
    <t>Denmark</t>
  </si>
  <si>
    <t>Svenstrup Strand</t>
  </si>
  <si>
    <t>Flensborg fjord</t>
  </si>
  <si>
    <t>Southampton</t>
  </si>
  <si>
    <t>lake</t>
  </si>
  <si>
    <t>recorded uptake and nutrient concentration</t>
  </si>
  <si>
    <t>nutrient conc as response</t>
  </si>
  <si>
    <t>Hong Kong</t>
  </si>
  <si>
    <t>China</t>
  </si>
  <si>
    <t>Oregon</t>
  </si>
  <si>
    <t>Eilat</t>
  </si>
  <si>
    <t>Israel</t>
  </si>
  <si>
    <t>diversity as response</t>
  </si>
  <si>
    <t>St. Joseph Bay, Florida</t>
  </si>
  <si>
    <t>Great Palm Island</t>
  </si>
  <si>
    <t>72° 00′E</t>
  </si>
  <si>
    <t>5° 50′S</t>
  </si>
  <si>
    <t>14°41'00.0"S</t>
  </si>
  <si>
    <t>145°27'00.0"E</t>
  </si>
  <si>
    <r>
      <t>(NT)</t>
    </r>
    <r>
      <rPr>
        <sz val="11"/>
        <color rgb="FF000000"/>
        <rFont val="Calibri"/>
        <family val="2"/>
        <scheme val="minor"/>
      </rPr>
      <t xml:space="preserve"> Northern temperate (35°N-66.5°N)</t>
    </r>
  </si>
  <si>
    <r>
      <t xml:space="preserve">(NST) </t>
    </r>
    <r>
      <rPr>
        <sz val="11"/>
        <color rgb="FF000000"/>
        <rFont val="Calibri"/>
        <family val="2"/>
        <scheme val="minor"/>
      </rPr>
      <t>Northern subtropics (23.5°N - 35°N</t>
    </r>
  </si>
  <si>
    <r>
      <rPr>
        <b/>
        <sz val="11"/>
        <color rgb="FF000000"/>
        <rFont val="Calibri"/>
        <family val="2"/>
        <scheme val="minor"/>
      </rPr>
      <t>(SST)</t>
    </r>
    <r>
      <rPr>
        <sz val="11"/>
        <color rgb="FF000000"/>
        <rFont val="Calibri"/>
        <family val="2"/>
        <scheme val="minor"/>
      </rPr>
      <t xml:space="preserve"> Southern subtropical (23.5°S - 35°S)</t>
    </r>
  </si>
  <si>
    <r>
      <t>(ST)</t>
    </r>
    <r>
      <rPr>
        <sz val="11"/>
        <color rgb="FF000000"/>
        <rFont val="Calibri"/>
        <family val="2"/>
        <scheme val="minor"/>
      </rPr>
      <t xml:space="preserve"> Southern temperate (35°S-66.5°S)</t>
    </r>
  </si>
  <si>
    <t>NST</t>
  </si>
  <si>
    <t>SST</t>
  </si>
  <si>
    <t>NP</t>
  </si>
  <si>
    <t>17°05'59.1"S</t>
  </si>
  <si>
    <t>179°05'37.5"E</t>
  </si>
  <si>
    <t>48°18'30.0"N</t>
  </si>
  <si>
    <t>4°38'35.9"W</t>
  </si>
  <si>
    <t>26°20'07.0"N</t>
  </si>
  <si>
    <t>76°57'44.2"W</t>
  </si>
  <si>
    <t>47°02'55.0"N</t>
  </si>
  <si>
    <t>2°09'20.4"W</t>
  </si>
  <si>
    <t>31°21'15.3"N</t>
  </si>
  <si>
    <t>81°14'47.7"W</t>
  </si>
  <si>
    <t>37°00'22.8"S</t>
  </si>
  <si>
    <t>175°53'25.0"E</t>
  </si>
  <si>
    <t>74°13'00.0"N</t>
  </si>
  <si>
    <t>84°02'00.0"W</t>
  </si>
  <si>
    <t>30°16'47.6"N</t>
  </si>
  <si>
    <t>115°54'48.4"W</t>
  </si>
  <si>
    <t>26°20'04.9"N</t>
  </si>
  <si>
    <t>76°57'16.0"W</t>
  </si>
  <si>
    <t xml:space="preserve">47°19'41.3"N </t>
  </si>
  <si>
    <t>61°47'26.9"W</t>
  </si>
  <si>
    <t>24°59'34.1"N</t>
  </si>
  <si>
    <t>80°24'31.7"W</t>
  </si>
  <si>
    <t>San Quintin Bay</t>
  </si>
  <si>
    <t>26°01'48.0"N</t>
  </si>
  <si>
    <t>77°22'47.7"W</t>
  </si>
  <si>
    <t>23°30'00.0"S</t>
  </si>
  <si>
    <t>152°06'00.0"E</t>
  </si>
  <si>
    <t>48°17'50.5"N</t>
  </si>
  <si>
    <t>124°14'25.1"W</t>
  </si>
  <si>
    <t>32°28'23.7"N</t>
  </si>
  <si>
    <t>64°52'16.8"W</t>
  </si>
  <si>
    <t>23°47'49.0"N</t>
  </si>
  <si>
    <t>76°07'50.7"W</t>
  </si>
  <si>
    <t>41°38'37.7"N</t>
  </si>
  <si>
    <t>70°42'37.2"W</t>
  </si>
  <si>
    <t>24°32'50.0"N</t>
  </si>
  <si>
    <t>81°23'39.0"W</t>
  </si>
  <si>
    <t>23°46'30.0"N</t>
  </si>
  <si>
    <t>76°00'30.0"W</t>
  </si>
  <si>
    <t>17°27'13.9"S</t>
  </si>
  <si>
    <t>149°50'34.4"W</t>
  </si>
  <si>
    <t>32°39'00.0"S</t>
  </si>
  <si>
    <t>152°52'00.0"E</t>
  </si>
  <si>
    <t>7°35'18.2"N</t>
  </si>
  <si>
    <t>134°44'00.2"E</t>
  </si>
  <si>
    <t>artificial seawater, organisms collected from Palau, Hawaii. Sent to Alabama for lab tests</t>
  </si>
  <si>
    <t>Palau</t>
  </si>
  <si>
    <t>38°18'13.3"N</t>
  </si>
  <si>
    <t>123°05'23.8"W</t>
  </si>
  <si>
    <t>54°49'07.9"N</t>
  </si>
  <si>
    <t>9°56'27.0"E</t>
  </si>
  <si>
    <t>55°22'31.8"N</t>
  </si>
  <si>
    <t>10°58'01.5"E</t>
  </si>
  <si>
    <t>40°51'34.5"N</t>
  </si>
  <si>
    <t>72°28'20.1"W</t>
  </si>
  <si>
    <t>22°12'26.6"N</t>
  </si>
  <si>
    <t>114°15'44.1"E</t>
  </si>
  <si>
    <t>29°20'38.4"N</t>
  </si>
  <si>
    <t>34°51'45.6"E</t>
  </si>
  <si>
    <t>45°46'04.2"S</t>
  </si>
  <si>
    <t>170°43'45.3"E</t>
  </si>
  <si>
    <t>44°39'03.4"N</t>
  </si>
  <si>
    <t>124°11'16.2"W</t>
  </si>
  <si>
    <t>29°46'14.8"N</t>
  </si>
  <si>
    <t>85°21'26.2"W</t>
  </si>
  <si>
    <t>18°46'14.7"S</t>
  </si>
  <si>
    <t>146°37'44.2"E</t>
  </si>
  <si>
    <t>no pp</t>
  </si>
  <si>
    <t>47°02'49.0"N</t>
  </si>
  <si>
    <t>2°08'22.9"W</t>
  </si>
  <si>
    <t>didn't measure growth, had grazing and fertilization happening at same time</t>
  </si>
  <si>
    <t>18° 41’ S</t>
  </si>
  <si>
    <t>146° 35’ E</t>
  </si>
  <si>
    <t>didn't measure pp or growth response</t>
  </si>
  <si>
    <t xml:space="preserve">might have a hard time extracting data? Looked at fluorescence of algae near invert boring into </t>
  </si>
  <si>
    <t>29°29'26.2"N</t>
  </si>
  <si>
    <t>34°56'42.0"E</t>
  </si>
  <si>
    <t>21°51’N</t>
  </si>
  <si>
    <t>72°06’W</t>
  </si>
  <si>
    <t>Caicos Bank, Turks and Caicos Islands,</t>
  </si>
  <si>
    <t>British West Indies</t>
  </si>
  <si>
    <t>artificial ammonium</t>
  </si>
  <si>
    <t>didn't look at nutrients</t>
  </si>
  <si>
    <t>I don't think they measured pp as response, it was grazers as function of chl a</t>
  </si>
  <si>
    <t>didn't measure growth, just uptake</t>
  </si>
  <si>
    <t>26°33'E</t>
  </si>
  <si>
    <t>33°45'S</t>
  </si>
  <si>
    <t>South Africa</t>
  </si>
  <si>
    <t>Cannon Rocks</t>
  </si>
  <si>
    <t>freshwater</t>
  </si>
  <si>
    <t>don't really have a control???</t>
  </si>
  <si>
    <t>Progress in Fishery Sciences</t>
  </si>
  <si>
    <t>can't find full text</t>
  </si>
  <si>
    <t>http://proxy.lib.sfu.ca/login?url=https://www-proquest-com.proxy.lib.sfu.ca/scholarly-journals/ecological-contribution-i-rudita-pesphilippinarum/docview/2301641265/se-2?accountid=13800</t>
  </si>
  <si>
    <t>47°01'N</t>
  </si>
  <si>
    <t>2°02'W</t>
  </si>
  <si>
    <t>repeated citation</t>
  </si>
  <si>
    <t>can't find full text, paper in chinese?</t>
  </si>
  <si>
    <t>https://www.cabdirect.org/cabdirect/abstract/20133310035</t>
  </si>
  <si>
    <t>artificial nutrients</t>
  </si>
  <si>
    <t>can't tease grazing from nutrients :(</t>
  </si>
  <si>
    <t>38°18'56.5"N</t>
  </si>
  <si>
    <t>123°04'15.4"W</t>
  </si>
  <si>
    <t>no animal</t>
  </si>
  <si>
    <t>59°45'4"N</t>
  </si>
  <si>
    <t>23°13'09.0"E</t>
  </si>
  <si>
    <t>Finland</t>
  </si>
  <si>
    <t>Bothnian Bay</t>
  </si>
  <si>
    <t>Invertebrate-Mediated Nutrient Loading Increases Growth of an Intertidal Macroalga1</t>
  </si>
  <si>
    <t>44°37'10.7"N</t>
  </si>
  <si>
    <t>124°01'10.0"W</t>
  </si>
  <si>
    <t>Yaquina Bay</t>
  </si>
  <si>
    <t>duplicate</t>
  </si>
  <si>
    <t>replaced with the paper, this was just a conference abstract</t>
  </si>
  <si>
    <t>animals not source of nitrogen</t>
  </si>
  <si>
    <t>didn't measure chl a in response to nutrients or zooplankton</t>
  </si>
  <si>
    <t>16°48'N</t>
  </si>
  <si>
    <t>88°05'W</t>
  </si>
  <si>
    <t>Carrie Bow Cay</t>
  </si>
  <si>
    <t>Belize</t>
  </si>
  <si>
    <t>grazing not excretion</t>
  </si>
  <si>
    <t>grazing and excretion, can't tell apart</t>
  </si>
  <si>
    <t>didn't look at pp response. Good citation tho</t>
  </si>
  <si>
    <t>17°45'27.9"N</t>
  </si>
  <si>
    <t>64°36'20.7"W</t>
  </si>
  <si>
    <t>US Virgin Islands</t>
  </si>
  <si>
    <t>can't find full paper</t>
  </si>
  <si>
    <t>48°16'N</t>
  </si>
  <si>
    <t>4°47'W</t>
  </si>
  <si>
    <t>Brest</t>
  </si>
  <si>
    <t>41°10'S</t>
  </si>
  <si>
    <t>74°58'W</t>
  </si>
  <si>
    <t>48°51'06.5"N</t>
  </si>
  <si>
    <t>125°07'03.4"W</t>
  </si>
  <si>
    <t>Dixon Island</t>
  </si>
  <si>
    <t>48°49'N</t>
  </si>
  <si>
    <t>125°11'W</t>
  </si>
  <si>
    <t>Execution Rock</t>
  </si>
  <si>
    <t>Pfister, Catherine A</t>
  </si>
  <si>
    <t>Intertidal invertebrate locally enhance primary production</t>
  </si>
  <si>
    <t>48°23'24.8"N</t>
  </si>
  <si>
    <t>124°39'58.2"W</t>
  </si>
  <si>
    <t>Second Beach</t>
  </si>
  <si>
    <t>**Added pfister paper**</t>
  </si>
  <si>
    <t>year_of_study</t>
  </si>
  <si>
    <t>c_family</t>
  </si>
  <si>
    <t>Bouzigues</t>
  </si>
  <si>
    <t>North America</t>
  </si>
  <si>
    <t>Atlantic</t>
  </si>
  <si>
    <t>nutrient_levels</t>
  </si>
  <si>
    <t>low</t>
  </si>
  <si>
    <t>summer</t>
  </si>
  <si>
    <t>Mytilidae</t>
  </si>
  <si>
    <t>B</t>
  </si>
  <si>
    <t>Mollusca</t>
  </si>
  <si>
    <t>Mytilus</t>
  </si>
  <si>
    <t>edulis</t>
  </si>
  <si>
    <t>chl_a</t>
  </si>
  <si>
    <t>Table1</t>
  </si>
  <si>
    <t>sd_treatment</t>
  </si>
  <si>
    <t>farm_site</t>
  </si>
  <si>
    <t>sd_control</t>
  </si>
  <si>
    <t>shallow forereef</t>
  </si>
  <si>
    <t>Haemulidae</t>
  </si>
  <si>
    <t>Acropora</t>
  </si>
  <si>
    <t>cervicornis</t>
  </si>
  <si>
    <t>Fig.5</t>
  </si>
  <si>
    <t>skeletal extension (percent)</t>
  </si>
  <si>
    <t>high vs low grunt density</t>
  </si>
  <si>
    <t>bay</t>
  </si>
  <si>
    <t>winter</t>
  </si>
  <si>
    <t>S</t>
  </si>
  <si>
    <t>Thalassia</t>
  </si>
  <si>
    <t>testudinum</t>
  </si>
  <si>
    <t>Tracheophyta</t>
  </si>
  <si>
    <t>Fig.a</t>
  </si>
  <si>
    <t>blade length</t>
  </si>
  <si>
    <t>blade biomass</t>
  </si>
  <si>
    <t>shoot density</t>
  </si>
  <si>
    <t>lots of response variables, measured radiating away from artificial reef, I'm just looking at nearest vs farthest</t>
  </si>
  <si>
    <t>Indian</t>
  </si>
  <si>
    <t>Central</t>
  </si>
  <si>
    <t>reef</t>
  </si>
  <si>
    <t>spring</t>
  </si>
  <si>
    <t>C</t>
  </si>
  <si>
    <r>
      <t xml:space="preserve">(Bi) </t>
    </r>
    <r>
      <rPr>
        <sz val="11"/>
        <color rgb="FF000000"/>
        <rFont val="Calibri"/>
        <family val="2"/>
        <scheme val="minor"/>
      </rPr>
      <t>Birds</t>
    </r>
  </si>
  <si>
    <r>
      <t xml:space="preserve">(P) </t>
    </r>
    <r>
      <rPr>
        <sz val="11"/>
        <color rgb="FF000000"/>
        <rFont val="Calibri"/>
        <family val="2"/>
        <scheme val="minor"/>
      </rPr>
      <t>Phytoplankton</t>
    </r>
  </si>
  <si>
    <t>Bi</t>
  </si>
  <si>
    <t>Fig.2a</t>
  </si>
  <si>
    <t>percent cover change</t>
  </si>
  <si>
    <t>Halimedaceae</t>
  </si>
  <si>
    <t>FA</t>
  </si>
  <si>
    <t>Halimeda</t>
  </si>
  <si>
    <t>pp_family</t>
  </si>
  <si>
    <t>Chlorophyta</t>
  </si>
  <si>
    <t>Fig.2c</t>
  </si>
  <si>
    <t>pre</t>
  </si>
  <si>
    <t>post</t>
  </si>
  <si>
    <t>rats_mean</t>
  </si>
  <si>
    <t>birds_mean</t>
  </si>
  <si>
    <t>rats_se</t>
  </si>
  <si>
    <t>birds_se</t>
  </si>
  <si>
    <t>rats_n</t>
  </si>
  <si>
    <t>birds_n</t>
  </si>
  <si>
    <t>rats_prop_se</t>
  </si>
  <si>
    <t>rats_change</t>
  </si>
  <si>
    <t>figuring out how to get a "mean" for the change in coral cover after the heating event. Subtracted the post from the pre for the means, then propogated the error to get new SE value</t>
  </si>
  <si>
    <t>coral</t>
  </si>
  <si>
    <t>algae</t>
  </si>
  <si>
    <t>birds_change</t>
  </si>
  <si>
    <t>birds_prop_se</t>
  </si>
  <si>
    <t>SE = SQRT(se_a^2 + se_b^2)</t>
  </si>
  <si>
    <t>surveys before and after bleaching, 2015 and then again in 2018. mean = the post survey percent cover - the pre survey percent cover</t>
  </si>
  <si>
    <t>Fig.2b</t>
  </si>
  <si>
    <t>Crustose algaea</t>
  </si>
  <si>
    <t>Rhodophyta</t>
  </si>
  <si>
    <t>formosa</t>
  </si>
  <si>
    <t>Asia</t>
  </si>
  <si>
    <t>Oceania</t>
  </si>
  <si>
    <t>2015-2018</t>
  </si>
  <si>
    <t>2011-2013</t>
  </si>
  <si>
    <t>winter-spring</t>
  </si>
  <si>
    <t>Acroporidae</t>
  </si>
  <si>
    <t>In text</t>
  </si>
  <si>
    <t>growth (linear extension in cm.y−1)</t>
  </si>
  <si>
    <t>Europe</t>
  </si>
  <si>
    <t>Crepidula</t>
  </si>
  <si>
    <t>fornicata</t>
  </si>
  <si>
    <t>Calyptraeidae</t>
  </si>
  <si>
    <t>G</t>
  </si>
  <si>
    <t>Fig.3</t>
  </si>
  <si>
    <t>biomass</t>
  </si>
  <si>
    <t>Hydrocharitaceae</t>
  </si>
  <si>
    <t>Halichondriidae</t>
  </si>
  <si>
    <t>O</t>
  </si>
  <si>
    <t>Porifera</t>
  </si>
  <si>
    <t>Halichondria</t>
  </si>
  <si>
    <t>melanadocia</t>
  </si>
  <si>
    <t>control = dead sponge, treatment = live sponge. There was also a treatment without any sponge…. Didn't include?</t>
  </si>
  <si>
    <t>reciprocal transplant. Corals from high birds and corals from low birds transplanted to high/low. Our treatment is the high/high transplant and the control is the low/low transplant (aka most extreme combos)</t>
  </si>
  <si>
    <t>don't see to show raw data? Can't get SE. Also, there's a fish and a fewer fish treatment. Should I compare the two next to the reef? Or compare +fish next to reef vs -fish far from the reef?</t>
  </si>
  <si>
    <t>Fig.3Ai</t>
  </si>
  <si>
    <t>they had no limpet vs limpet vs dead limpet, but the control and the dead limpet were exactly the same so it doesn't matter which control I use</t>
  </si>
  <si>
    <t>Y</t>
  </si>
  <si>
    <t>Eastern</t>
  </si>
  <si>
    <t>Magallana</t>
  </si>
  <si>
    <t>gigas</t>
  </si>
  <si>
    <t>Ostreidae</t>
  </si>
  <si>
    <t>Zosteraceae</t>
  </si>
  <si>
    <t>Zostera</t>
  </si>
  <si>
    <t>marina</t>
  </si>
  <si>
    <t>Fig.4a</t>
  </si>
  <si>
    <t>net photosynthesis</t>
  </si>
  <si>
    <t>oyster site</t>
  </si>
  <si>
    <t>mean</t>
  </si>
  <si>
    <t>se</t>
  </si>
  <si>
    <t>reff site</t>
  </si>
  <si>
    <t>total_NPP</t>
  </si>
  <si>
    <t>total_se</t>
  </si>
  <si>
    <t>measured NPP over the day, have NPP estimates for each time period. I summed the total NPP over the day and got the adjusted se by sqrt(sum of squares)</t>
  </si>
  <si>
    <t>1+B15+H15:P15+H15:P15</t>
  </si>
  <si>
    <t>measured growth and measured fishes but didn't directly manipulate fish…? Might not qualify. Yeah they didn't correlate fish biomass with seaweed growth???? So the effect of site is hard to dientangle</t>
  </si>
  <si>
    <t>didn't measure growth or chla or any proxy for primary productivity. Still showed that mussels contribute to pp though so would be a good ref</t>
  </si>
  <si>
    <t>Arctic</t>
  </si>
  <si>
    <t>Table5</t>
  </si>
  <si>
    <t>MEAN</t>
  </si>
  <si>
    <t>SE</t>
  </si>
  <si>
    <t>avg</t>
  </si>
  <si>
    <t>sediment chl a</t>
  </si>
  <si>
    <t>bottom water chl a</t>
  </si>
  <si>
    <t>birds</t>
  </si>
  <si>
    <t>no birds</t>
  </si>
  <si>
    <t>didn't measure growth, just uptake???</t>
  </si>
  <si>
    <t>harbour</t>
  </si>
  <si>
    <t>Nassariidae</t>
  </si>
  <si>
    <t>Ilyanassa</t>
  </si>
  <si>
    <t>obsoleta</t>
  </si>
  <si>
    <t>Ulvaceae</t>
  </si>
  <si>
    <t>Ulva</t>
  </si>
  <si>
    <t>spp</t>
  </si>
  <si>
    <t>snail excretion</t>
  </si>
  <si>
    <t>really well done! Grew Ulva with different nutrient additions, including snail excretion. There was also a field experiment but they had inner vs outer harbour and two time series and also maybe the snails were eating the ulva…? Just going with the one simple lab study for now</t>
  </si>
  <si>
    <t>shallow water</t>
  </si>
  <si>
    <t>2001-2002</t>
  </si>
  <si>
    <t>artificial reef</t>
  </si>
  <si>
    <t>productivity</t>
  </si>
  <si>
    <t>artificial reefs built at 4 sites, 4 controls. Measured PP in 3 quads at each reef</t>
  </si>
  <si>
    <t>in text</t>
  </si>
  <si>
    <t>artificial reefs, not 100% sure about sample size??? 2-5 blades per stake, 9 stakes per site, 12 sites???? But 4 treatment levels? small, medium, large and xl</t>
  </si>
  <si>
    <t>cave</t>
  </si>
  <si>
    <t>radians</t>
  </si>
  <si>
    <t>Siderastrea</t>
  </si>
  <si>
    <t>Siderastreidae</t>
  </si>
  <si>
    <t>2000-2005</t>
  </si>
  <si>
    <t>proximity to cave with sponges</t>
  </si>
  <si>
    <t>Pocillopora</t>
  </si>
  <si>
    <t>eydouxi</t>
  </si>
  <si>
    <t>Pocilloporidae</t>
  </si>
  <si>
    <t>fish or no fish</t>
  </si>
  <si>
    <t>coastal lagoon</t>
  </si>
  <si>
    <t>Catostylidae</t>
  </si>
  <si>
    <t>CA</t>
  </si>
  <si>
    <t>Catostylus</t>
  </si>
  <si>
    <t>mosaicus</t>
  </si>
  <si>
    <t>Fig.3b</t>
  </si>
  <si>
    <t>jellyfish</t>
  </si>
  <si>
    <t>se+mean</t>
  </si>
  <si>
    <t>post-pre</t>
  </si>
  <si>
    <t>se_sum</t>
  </si>
  <si>
    <t>gross production</t>
  </si>
  <si>
    <t>this is the change in chl a over 6 days (post - pre chl a values) also looked at another jelly that doesn't excrete waste bc it has internal phytoplankton. Jellies had similar top down but only this one did bottom up</t>
  </si>
  <si>
    <t>2005-2006</t>
  </si>
  <si>
    <t>rocky intertidal</t>
  </si>
  <si>
    <t>Porphyra</t>
  </si>
  <si>
    <t>perforata</t>
  </si>
  <si>
    <t>Bangiaceae</t>
  </si>
  <si>
    <t>californianus</t>
  </si>
  <si>
    <t>Fig.2</t>
  </si>
  <si>
    <t>mussels</t>
  </si>
  <si>
    <t>measured thallus area over 16 days of seaweed on rock vs on mussels. They also measured % cover on mussels/mimics/controls and herbivore exclusion. But it's on a log scale and sort of confusing…..? Should probably include that too….....</t>
  </si>
  <si>
    <t>mussels biodeposits</t>
  </si>
  <si>
    <t>mussels excretion</t>
  </si>
  <si>
    <t>aboveground biomass</t>
  </si>
  <si>
    <t>added mussel poop to buckets. Measured eelgrass metrics</t>
  </si>
  <si>
    <t>siliculosus</t>
  </si>
  <si>
    <t>Ectocarpus</t>
  </si>
  <si>
    <t>Ectocarpaceae</t>
  </si>
  <si>
    <t>Fig.6</t>
  </si>
  <si>
    <t>leaf number</t>
  </si>
  <si>
    <t>relative growth rate</t>
  </si>
  <si>
    <t>relative growth after 4 weeks in the presence of absence of mussel excretion. Used no flow control as flow control only ran 4 weeks and n was higher after 4 weeks</t>
  </si>
  <si>
    <t>leaf number after 4 weeks in the presence of absence of mussel excretion. Used no flow control as flow control only ran 4 weeks and n was higher after 4 weeks</t>
  </si>
  <si>
    <t>epiphyte growth in the presence or absence of mussel excretion. Used no flow control as flow control only ran 4 weeks and n was higher after 4 weeks</t>
  </si>
  <si>
    <t xml:space="preserve">increase buoyant weight </t>
  </si>
  <si>
    <t>fjord</t>
  </si>
  <si>
    <t>eutrophic</t>
  </si>
  <si>
    <t>Table 2</t>
  </si>
  <si>
    <t>Table2</t>
  </si>
  <si>
    <t>Veneridae</t>
  </si>
  <si>
    <t>Mercenaria</t>
  </si>
  <si>
    <t>mercenaria</t>
  </si>
  <si>
    <t>Crassostrea</t>
  </si>
  <si>
    <t>virginica</t>
  </si>
  <si>
    <t>leaf area productivity</t>
  </si>
  <si>
    <t>too unnatural, artificial seawater, aquarium animal from hawaii transported to midwest america</t>
  </si>
  <si>
    <t>shoot length</t>
  </si>
  <si>
    <t xml:space="preserve">June 2004. shoot density (shoots/m2) of eelgrass by itself or with mussels. Also measured relative growth rate, shoot density, shoot length, leaf number, aboveground biomass…. </t>
  </si>
  <si>
    <t xml:space="preserve">June 2004. above ground biomass (g DW/m2) of eelgrass by itself or with mussels. Also measured relative growth rate, shoot density, shoot length, leaf number, aboveground biomass…. </t>
  </si>
  <si>
    <t xml:space="preserve">June 2004. number of leaves per shoot (#leaves/shoot) for eelgrass by itself or with mussels. Also measured relative growth rate, shoot density, shoot length, leaf number, aboveground biomass…. </t>
  </si>
  <si>
    <t xml:space="preserve">June 2004. growth rate of eelgrass by itself or with mussels. Also measured relative growth rate, shoot density, shoot length, leaf number, aboveground biomass…. </t>
  </si>
  <si>
    <t xml:space="preserve">Aug 2004. growth rate of eelgrass by itself or with mussels. Also measured relative growth rate, shoot density, shoot length, leaf number, aboveground biomass…. </t>
  </si>
  <si>
    <t xml:space="preserve">Aug 2004 shoot density (shoots/m2) of eelgrass by itself or with mussels. Also measured relative growth rate, shoot density, shoot length, leaf number, aboveground biomass…. </t>
  </si>
  <si>
    <t xml:space="preserve">Aug 2004 growth rate of eelgrass by itself or with mussels. Also measured relative growth rate, shoot density, shoot length, leaf number, aboveground biomass…. </t>
  </si>
  <si>
    <t xml:space="preserve">Aug 2004. number of leaves per shoot (#leaves/shoot) for eelgrass by itself or with mussels. Also measured relative growth rate, shoot density, shoot length, leaf number, aboveground biomass…. </t>
  </si>
  <si>
    <t xml:space="preserve">Aug 2004. above ground biomass (g DW/m2) of eelgrass by itself or with mussels. Also measured relative growth rate, shoot density, shoot length, leaf number, aboveground biomass…. </t>
  </si>
  <si>
    <t xml:space="preserve">March 2005 shoot density (shoots/m2) of eelgrass by itself or with mussels. Also measured relative growth rate, shoot density, shoot length, leaf number, aboveground biomass…. </t>
  </si>
  <si>
    <t xml:space="preserve">March 2005  growth rate of eelgrass by itself or with mussels. Also measured relative growth rate, shoot density, shoot length, leaf number, aboveground biomass…. </t>
  </si>
  <si>
    <t xml:space="preserve">March 2005 number of leaves per shoot (#leaves/shoot) for eelgrass by itself or with mussels. Also measured relative growth rate, shoot density, shoot length, leaf number, aboveground biomass…. </t>
  </si>
  <si>
    <t xml:space="preserve">March 2005 above ground biomass (g DW/m2) of eelgrass by itself or with mussels. Also measured relative growth rate, shoot density, shoot length, leaf number, aboveground biomass…. </t>
  </si>
  <si>
    <t>June 2004. Epiphyte biomass  (mg DW/cm2)</t>
  </si>
  <si>
    <t>August 2004. Epiphyte biomass  (mg DW/cm2)</t>
  </si>
  <si>
    <t>March 2005. Epiphyte biomass (mg DW/cm2)</t>
  </si>
  <si>
    <t>July 2005. Epiphyte biomass (mg DW/cm2)</t>
  </si>
  <si>
    <t>artificial seawater in the lab</t>
  </si>
  <si>
    <t>North</t>
  </si>
  <si>
    <t>Amphiprion</t>
  </si>
  <si>
    <t>bicinctus</t>
  </si>
  <si>
    <t>Pomacentridae</t>
  </si>
  <si>
    <t>Entacmaea</t>
  </si>
  <si>
    <t>quadricolor</t>
  </si>
  <si>
    <t>Actiniidae</t>
  </si>
  <si>
    <t>Fig.1</t>
  </si>
  <si>
    <t>fish</t>
  </si>
  <si>
    <t>regeneration</t>
  </si>
  <si>
    <t>the regeneration is the area of basal disk relative to the initial area. They also measured the concentration of zooxanthellae</t>
  </si>
  <si>
    <t>16clams</t>
  </si>
  <si>
    <t>8clams</t>
  </si>
  <si>
    <t>Seagrass productivity was calculated for each experiment as leaf area productivity (cm2 shoot–1 d–1) based on the growth of new leaf material from the shoots in each mesocosm</t>
  </si>
  <si>
    <t>4oysters</t>
  </si>
  <si>
    <t>1oysters</t>
  </si>
  <si>
    <t>64mussels</t>
  </si>
  <si>
    <t>Fig.7a</t>
  </si>
  <si>
    <t>channel</t>
  </si>
  <si>
    <t>1998-2000</t>
  </si>
  <si>
    <t>Macrocystis</t>
  </si>
  <si>
    <t>pyrifera</t>
  </si>
  <si>
    <t>Laminariaceae</t>
  </si>
  <si>
    <t>Obelia</t>
  </si>
  <si>
    <t>geniculata</t>
  </si>
  <si>
    <t>Campanulariidae</t>
  </si>
  <si>
    <t>hydroid cover</t>
  </si>
  <si>
    <t>blade production</t>
  </si>
  <si>
    <t>intertidal</t>
  </si>
  <si>
    <t>Odonthalia</t>
  </si>
  <si>
    <t>floccosa</t>
  </si>
  <si>
    <t>Rhodomelaceae</t>
  </si>
  <si>
    <t>growth = percent increase of intital biomass</t>
  </si>
  <si>
    <t>Modiolus</t>
  </si>
  <si>
    <t>americanus</t>
  </si>
  <si>
    <t xml:space="preserve">	Mytilidae</t>
  </si>
  <si>
    <t>oligotrophic</t>
  </si>
  <si>
    <t>Fig.3a</t>
  </si>
  <si>
    <t>leaf width</t>
  </si>
  <si>
    <t>leaf length</t>
  </si>
  <si>
    <t>production</t>
  </si>
  <si>
    <t>means are mean values over the course of the experiment? It’s a 2 way fully factorial ANOVA, farm site and ref site each had + mussel pee and - mussel pee. Our treatment is the farm site + pee and the control is ref site - pee</t>
  </si>
  <si>
    <t>Amphora</t>
  </si>
  <si>
    <t>Entomoneis</t>
  </si>
  <si>
    <t>alata</t>
  </si>
  <si>
    <t>Haslea</t>
  </si>
  <si>
    <t>ostrearia</t>
  </si>
  <si>
    <t>Nitzschia</t>
  </si>
  <si>
    <t>closterium</t>
  </si>
  <si>
    <t>gandersheimiensis</t>
  </si>
  <si>
    <t>Chaetoceros</t>
  </si>
  <si>
    <t>sp</t>
  </si>
  <si>
    <t>acicularis</t>
  </si>
  <si>
    <t>Skeletonema</t>
  </si>
  <si>
    <t>costatum</t>
  </si>
  <si>
    <t>Tetraselmis</t>
  </si>
  <si>
    <t>suecica</t>
  </si>
  <si>
    <t>Catenulaceae</t>
  </si>
  <si>
    <t>Naviculaceae</t>
  </si>
  <si>
    <t>Entomoneidaceae</t>
  </si>
  <si>
    <t>Bacillariaceae</t>
  </si>
  <si>
    <t>Skeletonemataceae</t>
  </si>
  <si>
    <t>Chaetocerotaceae</t>
  </si>
  <si>
    <t xml:space="preserve">	Chlorodendraceae</t>
  </si>
  <si>
    <t>oyster faeces</t>
  </si>
  <si>
    <t>oyster pseudofeces</t>
  </si>
  <si>
    <t>SE = (upper limit – lower limit) / 3.92. for 95% CI</t>
  </si>
  <si>
    <t>trying to get SE from 95% confidence interval</t>
  </si>
  <si>
    <t>upper</t>
  </si>
  <si>
    <t>upper - mean</t>
  </si>
  <si>
    <t>upper - lower (upper - mean)*2</t>
  </si>
  <si>
    <t>pseudo</t>
  </si>
  <si>
    <t>poo</t>
  </si>
  <si>
    <t>control</t>
  </si>
  <si>
    <t>biomass (10^3 cells/mL). Injected pseudo poop or poop into tubes with varying plankton</t>
  </si>
  <si>
    <t>Change in leaf length (mm). This is just the 0 mussel vs 1500 mussels per m2. We're ignoring the intermediate mussel treatment</t>
  </si>
  <si>
    <t>change in leaf width (mm) This is just the 0 mussel vs 1500 mussels per m2. We're ignoring the intermediate mussel treatment</t>
  </si>
  <si>
    <t>Change in leaf # per shoot. This is just the 0 mussel vs 1500 mussels per m2. We're ignoring the intermediate mussel treatment</t>
  </si>
  <si>
    <t>production (g DW per day per shoot). One line per time point. This is just the 0 mussel vs 1500 mussels per m2. We're ignoring the intermediate mussel treatment</t>
  </si>
  <si>
    <t>fall</t>
  </si>
  <si>
    <t>subtidal</t>
  </si>
  <si>
    <t>high</t>
  </si>
  <si>
    <t>Membraniporidae</t>
  </si>
  <si>
    <t>Bryozoa</t>
  </si>
  <si>
    <t>Membranipora</t>
  </si>
  <si>
    <t>membranacea</t>
  </si>
  <si>
    <t>Holothuriidae</t>
  </si>
  <si>
    <t>E</t>
  </si>
  <si>
    <t>Echinodermata</t>
  </si>
  <si>
    <t>Holothuria</t>
  </si>
  <si>
    <t>atra</t>
  </si>
  <si>
    <t>excretion</t>
  </si>
  <si>
    <t>community gross production (mg C/m^2/day)</t>
  </si>
  <si>
    <t>Cr</t>
  </si>
  <si>
    <t>Arthropoda</t>
  </si>
  <si>
    <t>Periclimenes</t>
  </si>
  <si>
    <t>yucatanicus</t>
  </si>
  <si>
    <t>shrimp</t>
  </si>
  <si>
    <t>Africa</t>
  </si>
  <si>
    <t>Day 2. They measured GPP each day, each line is a day. also looked at another jelly that doesn't excrete waste bc it has internal phytoplankton. Jellies had similar top down but only this one did bottom up</t>
  </si>
  <si>
    <t>Day 3. They measured GPP each day, each line is a day. also looked at another jelly that doesn't excrete waste bc it has internal phytoplankton. Jellies had similar top down but only this one did bottom up</t>
  </si>
  <si>
    <t>Day 4. They measured GPP each day, each line is a day. also looked at another jelly that doesn't excrete waste bc it has internal phytoplankton. Jellies had similar top down but only this one did bottom up</t>
  </si>
  <si>
    <t>Day 5. They measured GPP each day, each line is a day. also looked at another jelly that doesn't excrete waste bc it has internal phytoplankton. Jellies had similar top down but only this one did bottom up</t>
  </si>
  <si>
    <t>Day 6. They measured GPP each day, each line is a day. also looked at another jelly that doesn't excrete waste bc it has internal phytoplankton. Jellies had similar top down but only this one did bottom up</t>
  </si>
  <si>
    <t>Dascyllus</t>
  </si>
  <si>
    <t>aruanus</t>
  </si>
  <si>
    <t>damicornis</t>
  </si>
  <si>
    <t xml:space="preserve">states the mean growth with vs without fish but doesn't state the SE. Fish vs growth curve provided too, could try to pull raw data from there? </t>
  </si>
  <si>
    <t>Sampled corals with and without fish under ambient conditions. Measured endosymbiont density, total chl a, tissue protein and tissue biomass</t>
  </si>
  <si>
    <t>Fig.1b</t>
  </si>
  <si>
    <t>Sampled corals with and without fish after a heatwave. Measured endosymbiont density, total chl a, and tissue protein</t>
  </si>
  <si>
    <t>endosymbiont density, who's the pp? coral or plankton? Sampled corals with and without fish under ambient conditions. Measured endosymbiont density, total chl a, tissue protein and tissue biomass</t>
  </si>
  <si>
    <t>mudflat</t>
  </si>
  <si>
    <t>1991-1992</t>
  </si>
  <si>
    <t>Haliclona</t>
  </si>
  <si>
    <t>implexiformis</t>
  </si>
  <si>
    <t>Chalinidae</t>
  </si>
  <si>
    <t>Rhizophoraceae</t>
  </si>
  <si>
    <t>Rhizophora</t>
  </si>
  <si>
    <t>mangle</t>
  </si>
  <si>
    <t>ignis</t>
  </si>
  <si>
    <t>Tedaniidae</t>
  </si>
  <si>
    <t>sponge</t>
  </si>
  <si>
    <t>root elongation rate</t>
  </si>
  <si>
    <t>haliclona</t>
  </si>
  <si>
    <t>foam</t>
  </si>
  <si>
    <t>tedania</t>
  </si>
  <si>
    <t>cay</t>
  </si>
  <si>
    <t>nutrient-poor</t>
  </si>
  <si>
    <t>Tedania</t>
  </si>
  <si>
    <t>Haemulon</t>
  </si>
  <si>
    <t>spp.</t>
  </si>
  <si>
    <t>furcata</t>
  </si>
  <si>
    <t>average monthly growth rate (wet weight CaCO3 deposited) for fingers of corals on same head. One head = no fish, one = fish. Third had fish but then they removed the fish half way through. Idk what to do with that. Measured them again (I think?) over a second period?</t>
  </si>
  <si>
    <t>growth (percent increase of initial biomass) of algae in fake tidepools w/wo mussels</t>
  </si>
  <si>
    <t>tidepool</t>
  </si>
  <si>
    <t>Prionitis</t>
  </si>
  <si>
    <t>lanceolata</t>
  </si>
  <si>
    <t>Halymeniaceae</t>
  </si>
  <si>
    <t>August 9th</t>
  </si>
  <si>
    <t>August 24th</t>
  </si>
  <si>
    <t>growth = final area - initial area (cm^2)</t>
  </si>
  <si>
    <t>no mussels</t>
  </si>
  <si>
    <r>
      <t xml:space="preserve">(En) </t>
    </r>
    <r>
      <rPr>
        <sz val="11"/>
        <color rgb="FF000000"/>
        <rFont val="Calibri"/>
        <family val="2"/>
        <scheme val="minor"/>
      </rPr>
      <t>Endosymbiont</t>
    </r>
  </si>
  <si>
    <t xml:space="preserve">	Symbiodiniaceae</t>
  </si>
  <si>
    <t>En</t>
  </si>
  <si>
    <t>Symbiodinium</t>
  </si>
  <si>
    <t>endosymbiont density during a heatwave with and without fish. Measured endosymbiont density, total chl a, and tissue protein</t>
  </si>
  <si>
    <t>Fig.1c</t>
  </si>
  <si>
    <t>Fig.1d</t>
  </si>
  <si>
    <t>tissue protein</t>
  </si>
  <si>
    <t>no fish</t>
  </si>
  <si>
    <t>Chase 2018</t>
  </si>
  <si>
    <t>Pfister</t>
  </si>
  <si>
    <t>Cognie</t>
  </si>
  <si>
    <t>Ellison</t>
  </si>
  <si>
    <t>West</t>
  </si>
  <si>
    <t>chl a</t>
  </si>
  <si>
    <t>Fig. 3ac</t>
  </si>
  <si>
    <t>Fig. 3df</t>
  </si>
  <si>
    <t>Fig. 3gi</t>
  </si>
  <si>
    <t>Fig. 3jl</t>
  </si>
  <si>
    <t>sampled symbiont density before and after, with fish or no fish. They had a heat wave event but that's in the other sheet</t>
  </si>
  <si>
    <t>sampled chl a before and after, with fish or no fish. They had a heat wave event but that's in the other sheet</t>
  </si>
  <si>
    <t>sampled coral tissue protein before and after, with fish or no fish. They had a heat wave event but that's in the other sheet</t>
  </si>
  <si>
    <t>sampled coral tissue biomass before and after, with fish or no fish. They had a heat wave event but that's in the other sheet</t>
  </si>
  <si>
    <t>tissue biomass</t>
  </si>
  <si>
    <t>Myzozoa</t>
  </si>
  <si>
    <t>Fig.3c</t>
  </si>
  <si>
    <t>Peterson 2001</t>
  </si>
  <si>
    <t>sampled symbiont density before and after heatwave, with fish or no fish. They had a ambient control but that's in the other sheet</t>
  </si>
  <si>
    <t>sampled chl a before and after heatwave, with fish or no fish. They had a ambient control but that's in the other sheet</t>
  </si>
  <si>
    <t>sampled coral tissue protein before and after heatwave, with fish or no fish. They had a ambient control but that's in the other sheet</t>
  </si>
  <si>
    <t>sampled coral tissue biomass before and after heatwave, with fish or no fish. They had a ambient control but that's in the other sheet</t>
  </si>
  <si>
    <t>heatwave</t>
  </si>
  <si>
    <t>ambient</t>
  </si>
  <si>
    <t>?</t>
  </si>
  <si>
    <t>concentration</t>
  </si>
  <si>
    <t>concentration of zooxanthellae in tentacles (zooxanthellae per g tentacle tissue</t>
  </si>
  <si>
    <t>Porat 2005</t>
  </si>
  <si>
    <t>zooxanthellae per gram of tentacular tissue in Condylactis gigantea, didn’t report SE</t>
  </si>
  <si>
    <t>marsh</t>
  </si>
  <si>
    <t>Geukensia</t>
  </si>
  <si>
    <t>demissa</t>
  </si>
  <si>
    <t>Poaceae</t>
  </si>
  <si>
    <t>alterniflora</t>
  </si>
  <si>
    <t>Spartina</t>
  </si>
  <si>
    <t>2013-2014</t>
  </si>
  <si>
    <t>clonal outgrwoth of cordgrass (m2) with mussels vs without. Also did a disturbance experiement, on the other sheet</t>
  </si>
  <si>
    <t>aboveground biomass of cordgrass (g dry weight) with or without mussels. Also did a disturbance experiement, on the other sheet</t>
  </si>
  <si>
    <t>disturbance</t>
  </si>
  <si>
    <t>bleaching</t>
  </si>
  <si>
    <t>clipping</t>
  </si>
  <si>
    <t>survival</t>
  </si>
  <si>
    <t>regrowth</t>
  </si>
  <si>
    <t>2014-2015</t>
  </si>
  <si>
    <t>cordgrass survival (% vegetated plots), no SE bc just overal avg</t>
  </si>
  <si>
    <t>regrowth (# shoots)</t>
  </si>
  <si>
    <t>SO many PP metrics?</t>
  </si>
  <si>
    <t>treatment_n</t>
  </si>
  <si>
    <t>percent</t>
  </si>
  <si>
    <t>category</t>
  </si>
  <si>
    <t>there's a graph of percent colonization vs blade production, so there's only one point at each density?using bottom 30% as low and top 30% as high</t>
  </si>
  <si>
    <t>SD</t>
  </si>
  <si>
    <t>damicornus</t>
  </si>
  <si>
    <t>no fish sites</t>
  </si>
  <si>
    <t>site</t>
  </si>
  <si>
    <t>A</t>
  </si>
  <si>
    <t>D</t>
  </si>
  <si>
    <t>fish sites</t>
  </si>
  <si>
    <t>n</t>
  </si>
  <si>
    <t>report effect of fish across PCA axes, so each line is a site in the lagoon that had corals with and without fish</t>
  </si>
  <si>
    <t>effluent</t>
  </si>
  <si>
    <t>Rules for time series</t>
  </si>
  <si>
    <t>If they have a growth metric over time, calculate change in as post - pre</t>
  </si>
  <si>
    <t>if it's a productivity metric, record it for each time period they report (one line per time)</t>
  </si>
  <si>
    <t>mean+se</t>
  </si>
  <si>
    <t>treatment</t>
  </si>
  <si>
    <t>Experiment 1. 1.5 hours. Two sea cucumber species (Stichopus chloronotus and Holothuria atra) effluent</t>
  </si>
  <si>
    <t>Experiment 1. 3 hours. Two sea cucumber species (Stichopus chloronotus and Holothuria atra) effluent</t>
  </si>
  <si>
    <t>Experiment 1. 4.5 hours. Two sea cucumber species (Stichopus chloronotus and Holothuria atra) effluent</t>
  </si>
  <si>
    <t>Experiment 2. 6 hours. Two sea cucumber species (Stichopus chloronotus and Holothuria atra) effluent</t>
  </si>
  <si>
    <t>Experiment 2. 12 hours. Two sea cucumber species (Stichopus chloronotus and Holothuria atra) effluent</t>
  </si>
  <si>
    <t>Experiment 2. 18 hours. Two sea cucumber species (Stichopus chloronotus and Holothuria atra) effluent</t>
  </si>
  <si>
    <t>Experiment 2. 24 hours. Two sea cucumber species (Stichopus chloronotus and Holothuria atra) effluent</t>
  </si>
  <si>
    <t>Experiment 3. 0-24 hours. Two sea cucumber species (Stichopus chloronotus and Holothuria atra) effluent</t>
  </si>
  <si>
    <t>Experiment 3. 24-48 hours. Two sea cucumber species (Stichopus chloronotus and Holothuria atra) effluent</t>
  </si>
  <si>
    <t>Experiment 3. 48-73 hours. Two sea cucumber species (Stichopus chloronotus and Holothuria atra) effluent</t>
  </si>
  <si>
    <t>Experiment 3. 72-96 hours. Two sea cucumber species (Stichopus chloronotus and Holothuria atra) effluent</t>
  </si>
  <si>
    <t>Experiment 3. 96-120 hours. Two sea cucumber species (Stichopus chloronotus and Holothuria atra) effluent</t>
  </si>
  <si>
    <t>estuary</t>
  </si>
  <si>
    <t>Austrohelice</t>
  </si>
  <si>
    <t>crassa</t>
  </si>
  <si>
    <t>Varunidae</t>
  </si>
  <si>
    <t>the crab was doing too many things to tease out the effect of its ammonium contribution</t>
  </si>
  <si>
    <t>area</t>
  </si>
  <si>
    <t>B3</t>
  </si>
  <si>
    <t>B4a</t>
  </si>
  <si>
    <t>B4b</t>
  </si>
  <si>
    <t>B7</t>
  </si>
  <si>
    <t>C2</t>
  </si>
  <si>
    <t>C5</t>
  </si>
  <si>
    <t>C8</t>
  </si>
  <si>
    <t>water chl a</t>
  </si>
  <si>
    <t xml:space="preserve">water chl a </t>
  </si>
  <si>
    <t xml:space="preserve">sediment chl a </t>
  </si>
  <si>
    <t>https://stats.stackexchange.com/questions/21104/calculate-average-of-a-set-numbers-with-reported-standard-errors</t>
  </si>
  <si>
    <t>se averaged</t>
  </si>
  <si>
    <t>mean averaged</t>
  </si>
  <si>
    <t>Na/N*se^2</t>
  </si>
  <si>
    <t>se avg</t>
  </si>
  <si>
    <t>se treatment</t>
  </si>
  <si>
    <t>N</t>
  </si>
  <si>
    <t>na</t>
  </si>
  <si>
    <t>Na</t>
  </si>
  <si>
    <t>binned n</t>
  </si>
  <si>
    <t>binned N</t>
  </si>
  <si>
    <t>binned na</t>
  </si>
  <si>
    <t>binned Na</t>
  </si>
  <si>
    <t>https://www.yumpu.com/en/document/read/37147068/combining-multiple-averaged-data-points-and-their-errors</t>
  </si>
  <si>
    <t>se control</t>
  </si>
  <si>
    <t>measured bottom water chl a at 7 islands, 4 with birds 3 without. I averaged the islands with birds and the islands without</t>
  </si>
  <si>
    <t>measured sediment water chl a at 7 islands, 4 with birds 3 without. I averaged the islands with birds and the islands without</t>
  </si>
  <si>
    <t>South America</t>
  </si>
  <si>
    <t>Patella</t>
  </si>
  <si>
    <t>longicosta</t>
  </si>
  <si>
    <t>grazing and nutrients not seperated</t>
  </si>
  <si>
    <t>deep sea</t>
  </si>
  <si>
    <t>Mysidae</t>
  </si>
  <si>
    <t>Mysis</t>
  </si>
  <si>
    <t>grazing and nutrients not seperated, also added fake nutrients</t>
  </si>
  <si>
    <t>Palaemonidae</t>
  </si>
  <si>
    <t>chilensis</t>
  </si>
  <si>
    <t>Dicentrarchus</t>
  </si>
  <si>
    <t>labrax</t>
  </si>
  <si>
    <t>Moronidae</t>
  </si>
  <si>
    <t>Salmonidae</t>
  </si>
  <si>
    <t>Salmo</t>
  </si>
  <si>
    <t>salar</t>
  </si>
  <si>
    <t>Ostreopsidaceae</t>
  </si>
  <si>
    <t>Alexandrium</t>
  </si>
  <si>
    <t>minutum</t>
  </si>
  <si>
    <t>catenella</t>
  </si>
  <si>
    <t>mikimotoi</t>
  </si>
  <si>
    <t>akashiwo</t>
  </si>
  <si>
    <t>gracilis</t>
  </si>
  <si>
    <t>Heterosigma</t>
  </si>
  <si>
    <t>Chattonellaceae</t>
  </si>
  <si>
    <t>Brachidiniaceae</t>
  </si>
  <si>
    <t>Karenia</t>
  </si>
  <si>
    <t>Table3</t>
  </si>
  <si>
    <t>Arzul</t>
  </si>
  <si>
    <t>oysters</t>
  </si>
  <si>
    <t>A. minutum</t>
  </si>
  <si>
    <t>A. catenella</t>
  </si>
  <si>
    <t>G. mikimotoi</t>
  </si>
  <si>
    <t>H. akashiwo</t>
  </si>
  <si>
    <t>C. gracilis</t>
  </si>
  <si>
    <t>bass</t>
  </si>
  <si>
    <t>salmon</t>
  </si>
  <si>
    <t>90% CI</t>
  </si>
  <si>
    <t>treatment_mean</t>
  </si>
  <si>
    <t>control_mean</t>
  </si>
  <si>
    <t>treatment SE</t>
  </si>
  <si>
    <t>control SE</t>
  </si>
  <si>
    <t>cultured algae in sea water enriched with effluent from different animals. Diff plankton species used too. Oysters and bass were done in France, but mussels and salmon were done in chile</t>
  </si>
  <si>
    <t>Anadyomenaceae</t>
  </si>
  <si>
    <t>Microdictyon</t>
  </si>
  <si>
    <t>marinum</t>
  </si>
  <si>
    <t>shallow reef</t>
  </si>
  <si>
    <t>Aplysina</t>
  </si>
  <si>
    <t>cauliformis</t>
  </si>
  <si>
    <t>Aplysinidae</t>
  </si>
  <si>
    <t>Stuck sponge and algae together, measured algae chl a with vs without sponge contact. Also measured effects on sponge bc it has endosymbionts but there's no consumer if the sponge is the pp.</t>
  </si>
  <si>
    <t>percent cover</t>
  </si>
  <si>
    <t xml:space="preserve">site = MC. caves have sponges, nitrate signal comes from cave. Measured percent cover of coral near and far from caves </t>
  </si>
  <si>
    <t xml:space="preserve">site = MC. caves have sponges, nitrate signal comes from cave. Measured percent cover of algae near and far from caves </t>
  </si>
  <si>
    <t xml:space="preserve">site = AFBH. caves have sponges, nitrate signal comes from cave. Measured percent cover of coral near and far from caves </t>
  </si>
  <si>
    <t xml:space="preserve">site = AFBH. caves have sponges, nitrate signal comes from cave. Measured percent cover of algae near and far from caves </t>
  </si>
  <si>
    <t xml:space="preserve">site = RC. caves have sponges, nitrate signal comes from cave. Measured percent cover of coral near and far from caves </t>
  </si>
  <si>
    <t xml:space="preserve">site = RC. caves have sponges, nitrate signal comes from cave. Measured percent cover of algae near and far from caves </t>
  </si>
  <si>
    <t xml:space="preserve">site = SCC. caves have sponges, nitrate signal comes from cave. Measured percent cover of coral near and far from caves </t>
  </si>
  <si>
    <t xml:space="preserve">site = SCC. caves have sponges, nitrate signal comes from cave. Measured percent cover of algae near and far from caves </t>
  </si>
  <si>
    <t xml:space="preserve">site = NPCC. caves have sponges, nitrate signal comes from cave. Measured percent cover of coral near and far from caves </t>
  </si>
  <si>
    <t xml:space="preserve">site = NPCC. caves have sponges, nitrate signal comes from cave. Measured percent cover of algae near and far from caves </t>
  </si>
  <si>
    <t>sponges</t>
  </si>
  <si>
    <t>Slattery et al 2013</t>
  </si>
  <si>
    <t>disturbed sponges</t>
  </si>
  <si>
    <t>caves have sponges, nitrate signal comes from cave. MC cave lost sponges after sediment. Transplant experiment from communal garden location to MC cave (control)  and AFBH cace (treatment). Data shows change (pre - post) coral circumference over 2 years</t>
  </si>
  <si>
    <t>May 2003. caves have sponges, nitrate signal comes from cave. MC cave lost sponges after sediment. Transplant experiment from communal garden location to MC cave (control)  and AFBH cace (treatment). Data shows zooxanthaellae abundance (no x10^6 per mg tissue) over 2 years</t>
  </si>
  <si>
    <t>May 2004. caves have sponges, nitrate signal comes from cave. MC cave lost sponges after sediment. Transplant experiment from communal garden location to MC cave (control)  and AFBH cace (treatment). Data shows zooxanthaellae abundance (no x10^6 per mg tissue) over 2 years</t>
  </si>
  <si>
    <t>May 2005. caves have sponges, nitrate signal comes from cave. MC cave lost sponges after sediment. Transplant experiment from communal garden location to MC cave (control)  and AFBH cace (treatment). Data shows zooxanthaellae abundance (no x10^6 per mg tissue) over 2 years</t>
  </si>
  <si>
    <t>May 2003. caves have sponges, nitrate signal comes from cave. MC cave lost sponges after sediment. Transplant experiment from communal garden location to MC cave (control)  and AFBH cace (treatment). Data shows protein  (ug per mg tissue) over 2 years</t>
  </si>
  <si>
    <t>May 2004. caves have sponges, nitrate signal comes from cave. MC cave lost sponges after sediment. Transplant experiment from communal garden location to MC cave (control)  and AFBH cace (treatment). Data shows protein  (ug per mg tissue) over 2 years</t>
  </si>
  <si>
    <t>May 2005. caves have sponges, nitrate signal comes from cave. MC cave lost sponges after sediment. Transplant experiment from communal garden location to MC cave (control)  and AFBH cace (treatment). Data shows protein  (ug per mg tissue) over 2 years</t>
  </si>
  <si>
    <t>2003-2005</t>
  </si>
  <si>
    <t>Nutrient poor site (Dixon). Looked at kelp pigments with 0, 50, and 100 bryozoan cover. Here I compare 0 to 100</t>
  </si>
  <si>
    <t>Nutrient rich site (Kii xin). Looked at kelp pigments with 0, 50, and 100 bryozoan cover. Here I compare 0 to 100</t>
  </si>
  <si>
    <t>chl_c</t>
  </si>
  <si>
    <t>fucoxanthin</t>
  </si>
  <si>
    <t>more of a trophic cascade effect than fertilization. Grazing confounded</t>
  </si>
  <si>
    <t>25°02'05.6"N</t>
  </si>
  <si>
    <t>80°20'54.4"W</t>
  </si>
  <si>
    <t>didn't relate fish nutrients to pp</t>
  </si>
  <si>
    <t>Echinometridae</t>
  </si>
  <si>
    <t>Heliocidaris</t>
  </si>
  <si>
    <t>crassispina</t>
  </si>
  <si>
    <t>Wai and Williams 2005</t>
  </si>
  <si>
    <t>urchin pee</t>
  </si>
  <si>
    <t>no pee</t>
  </si>
  <si>
    <t xml:space="preserve">plates with crustose corraline algae, multi-factoral with grazing and excretion. I'm just looking at the -grazing treatments. </t>
  </si>
  <si>
    <t>36°18'24.0"S</t>
  </si>
  <si>
    <t>174°48'54.0"E</t>
  </si>
  <si>
    <t>Omaha Bay</t>
  </si>
  <si>
    <t>17°45'29.1"N</t>
  </si>
  <si>
    <t>64°36'20.0"W</t>
  </si>
  <si>
    <t>Teague Bay</t>
  </si>
  <si>
    <t>Corona del Mar State Beach</t>
  </si>
  <si>
    <t>33°35'16.3"N</t>
  </si>
  <si>
    <t>117°52'01.5"W</t>
  </si>
  <si>
    <t>5°50'00.0"S</t>
  </si>
  <si>
    <t>72°00'00.0"E</t>
  </si>
  <si>
    <t>UK</t>
  </si>
  <si>
    <t>29°28'09.2"N</t>
  </si>
  <si>
    <t>34°55'54.5"E</t>
  </si>
  <si>
    <t>24°05'43.2"N</t>
  </si>
  <si>
    <t>75°48'30.1"W</t>
  </si>
  <si>
    <t>Bahamian archipelago</t>
  </si>
  <si>
    <t>42°13'29.1"N</t>
  </si>
  <si>
    <t>8°49'03.1"W</t>
  </si>
  <si>
    <t>45°41'29.0"S</t>
  </si>
  <si>
    <t>170°37'00.0"E</t>
  </si>
  <si>
    <t>Spain</t>
  </si>
  <si>
    <t>53°14'39.3"S</t>
  </si>
  <si>
    <t>37°40'23.9"W</t>
  </si>
  <si>
    <t>Antarctica</t>
  </si>
  <si>
    <t>38°18'55.9"N</t>
  </si>
  <si>
    <t>123°04'29.6"W</t>
  </si>
  <si>
    <t>45°47'00.7"S</t>
  </si>
  <si>
    <t>170°43'11.8"E</t>
  </si>
  <si>
    <t>44°15'18.9"N</t>
  </si>
  <si>
    <t>124°06'45.4"W</t>
  </si>
  <si>
    <t>Japan</t>
  </si>
  <si>
    <t>34°15'33.7"N</t>
  </si>
  <si>
    <t>133°24'05.5"E</t>
  </si>
  <si>
    <t>34°06'43.4"S</t>
  </si>
  <si>
    <t>18°28'31.4"E</t>
  </si>
  <si>
    <t>30°30'00.0"N</t>
  </si>
  <si>
    <t>88°00'00.0"W</t>
  </si>
  <si>
    <t>29°05'48.0"N</t>
  </si>
  <si>
    <t>34°46'23.5"E</t>
  </si>
  <si>
    <t>48°51'14.4"N</t>
  </si>
  <si>
    <t>125°07'00.0"W</t>
  </si>
  <si>
    <t>54°21'00.0"N</t>
  </si>
  <si>
    <t>10°09'00.0"E</t>
  </si>
  <si>
    <t>Germany</t>
  </si>
  <si>
    <t>63°08'03.6"S</t>
  </si>
  <si>
    <t>51°05'31.1"W</t>
  </si>
  <si>
    <t xml:space="preserve">58°52'00.0"N </t>
  </si>
  <si>
    <t>11°09'00.0"E</t>
  </si>
  <si>
    <t>Sweden</t>
  </si>
  <si>
    <t>33°28'00.0"N</t>
  </si>
  <si>
    <t>118°29'00.0"W</t>
  </si>
  <si>
    <t>41°35'16.8"N</t>
  </si>
  <si>
    <t>70°38'47.4"W</t>
  </si>
  <si>
    <t>no replication</t>
  </si>
  <si>
    <t>1979-1981</t>
  </si>
  <si>
    <t>** Added two papers published after original Aug 2020 search***</t>
  </si>
  <si>
    <t>Simpson, L T and Canty S W J and Cissell, J R and Steinberg, M K and Cherry, J A and Feller, I C</t>
  </si>
  <si>
    <t>Bird rookery nutrient over-enrichment as a potential accelerant of mangrove cay decline in Belize</t>
  </si>
  <si>
    <t>Allgeier, Jacob E and Andskog, Mona A and Hensel, Enie and Appaldo, Richard and Layman, Craig and Kemp, Dustin W</t>
  </si>
  <si>
    <t>Rewiring coral: Anthropogenic nutrients shift diverse coralsymbiont nutrient and carbon interactions toward symbiotic algal dominance</t>
  </si>
  <si>
    <t>16°53'02.4"N</t>
  </si>
  <si>
    <t>88°06'25.2"W</t>
  </si>
  <si>
    <t>Belize coast</t>
  </si>
  <si>
    <t>went to cays with and without roosting birds, found more aboveground biomass at cays with birds. Also found enriched N in mangrove leaves at cays with birds, and that over time the cays with birds are washing away faster bc of eutrophication</t>
  </si>
  <si>
    <t>26°16'01.1"N</t>
  </si>
  <si>
    <t>76°56'28.5"W</t>
  </si>
  <si>
    <t>2015-2016</t>
  </si>
  <si>
    <t>palmata</t>
  </si>
  <si>
    <t>Poritidae</t>
  </si>
  <si>
    <t>Porites</t>
  </si>
  <si>
    <t>porites</t>
  </si>
  <si>
    <t>raw data</t>
  </si>
  <si>
    <t>coral growth in mg/cm^2/day</t>
  </si>
  <si>
    <t>algae (algae/cm^2)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</si>
</sst>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sz val="12"/>
      <color rgb="FF000000"/>
      <name val="Arial"/>
      <family val="2"/>
    </font>
    <font>
      <b/>
      <sz val="11"/>
      <color rgb="FF000000"/>
      <name val="Calibri"/>
      <family val="2"/>
      <scheme val="minor"/>
    </font>
    <font>
      <sz val="11"/>
      <color rgb="FF000000"/>
      <name val="Calibri"/>
      <family val="2"/>
      <scheme val="minor"/>
    </font>
    <font>
      <sz val="12"/>
      <color rgb="FF000000"/>
      <name val="Calibri"/>
      <family val="2"/>
      <scheme val="minor"/>
    </font>
    <font>
      <sz val="14"/>
      <color rgb="FF555555"/>
      <name val="Helvetica"/>
      <family val="2"/>
    </font>
    <font>
      <u/>
      <sz val="12"/>
      <color theme="10"/>
      <name val="Calibri"/>
      <family val="2"/>
      <scheme val="minor"/>
    </font>
    <font>
      <b/>
      <sz val="12"/>
      <color theme="1"/>
      <name val="Calibri"/>
      <family val="2"/>
      <scheme val="minor"/>
    </font>
    <font>
      <sz val="10"/>
      <color theme="1"/>
      <name val="AdvTT5235d5a9"/>
    </font>
    <font>
      <sz val="8"/>
      <name val="Calibri"/>
      <family val="2"/>
      <scheme val="minor"/>
    </font>
    <font>
      <sz val="14"/>
      <color rgb="FF111111"/>
      <name val="Arial"/>
      <family val="2"/>
    </font>
    <font>
      <sz val="11"/>
      <color rgb="FF000000"/>
      <name val="Lucida San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0" fillId="0" borderId="0" xfId="0" applyFont="1"/>
    <xf numFmtId="0" fontId="1" fillId="0" borderId="0" xfId="0" applyFont="1"/>
    <xf numFmtId="0" fontId="2" fillId="0" borderId="0" xfId="0" applyFont="1" applyAlignment="1">
      <alignment horizontal="left" vertical="center" indent="4"/>
    </xf>
    <xf numFmtId="0" fontId="2" fillId="0" borderId="0" xfId="0" applyFont="1" applyAlignment="1">
      <alignment vertical="center"/>
    </xf>
    <xf numFmtId="0" fontId="0" fillId="2" borderId="0" xfId="0" applyFont="1" applyFill="1"/>
    <xf numFmtId="0" fontId="3" fillId="0" borderId="0" xfId="0" applyFont="1" applyAlignment="1">
      <alignment horizontal="left" vertical="center" indent="4"/>
    </xf>
    <xf numFmtId="0" fontId="4" fillId="0" borderId="0" xfId="0" applyFont="1"/>
    <xf numFmtId="0" fontId="5" fillId="0" borderId="0" xfId="0" applyFont="1"/>
    <xf numFmtId="0" fontId="6" fillId="0" borderId="0" xfId="1"/>
    <xf numFmtId="0" fontId="7" fillId="0" borderId="0" xfId="0" applyFont="1"/>
    <xf numFmtId="0" fontId="0" fillId="0" borderId="0" xfId="0" applyFont="1" applyFill="1"/>
    <xf numFmtId="0" fontId="0" fillId="0" borderId="0" xfId="0" applyFill="1"/>
    <xf numFmtId="0" fontId="8" fillId="0" borderId="0" xfId="0" applyFont="1"/>
    <xf numFmtId="0" fontId="10" fillId="0" borderId="0" xfId="0" applyFont="1"/>
    <xf numFmtId="0" fontId="1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baumlab/Claar_etal_2018_PLoSO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E451-5807-5F48-890D-6AF5AC78FE37}">
  <dimension ref="A1:AU168"/>
  <sheetViews>
    <sheetView tabSelected="1" zoomScale="110" workbookViewId="0">
      <pane ySplit="1" topLeftCell="A146" activePane="bottomLeft" state="frozen"/>
      <selection activeCell="B1" sqref="B1"/>
      <selection pane="bottomLeft" sqref="A1:AU166"/>
    </sheetView>
  </sheetViews>
  <sheetFormatPr baseColWidth="10" defaultRowHeight="16"/>
  <cols>
    <col min="1" max="16384" width="10.83203125" style="1"/>
  </cols>
  <sheetData>
    <row r="1" spans="1:47">
      <c r="A1" s="1" t="s">
        <v>0</v>
      </c>
      <c r="B1" s="1" t="s">
        <v>1</v>
      </c>
      <c r="C1" s="1" t="s">
        <v>11</v>
      </c>
      <c r="D1" s="1" t="s">
        <v>2</v>
      </c>
      <c r="E1" s="1" t="s">
        <v>4</v>
      </c>
      <c r="F1" s="1" t="s">
        <v>3</v>
      </c>
      <c r="G1" s="1" t="s">
        <v>282</v>
      </c>
      <c r="H1" s="1" t="s">
        <v>283</v>
      </c>
      <c r="I1" s="1" t="s">
        <v>286</v>
      </c>
      <c r="J1" s="1" t="s">
        <v>287</v>
      </c>
      <c r="K1" s="1" t="s">
        <v>6</v>
      </c>
      <c r="L1" s="1" t="s">
        <v>271</v>
      </c>
      <c r="M1" s="1" t="s">
        <v>355</v>
      </c>
      <c r="N1" s="1" t="s">
        <v>288</v>
      </c>
      <c r="O1" s="1" t="s">
        <v>289</v>
      </c>
      <c r="P1" s="1" t="s">
        <v>5</v>
      </c>
      <c r="Q1" s="1" t="s">
        <v>331</v>
      </c>
      <c r="R1" s="1" t="s">
        <v>576</v>
      </c>
      <c r="S1" s="1" t="s">
        <v>334</v>
      </c>
      <c r="T1" s="1" t="s">
        <v>356</v>
      </c>
      <c r="U1" s="1" t="s">
        <v>571</v>
      </c>
      <c r="V1" s="1" t="s">
        <v>312</v>
      </c>
      <c r="W1" s="1" t="s">
        <v>572</v>
      </c>
      <c r="X1" s="1" t="s">
        <v>277</v>
      </c>
      <c r="Y1" s="1" t="s">
        <v>278</v>
      </c>
      <c r="Z1" s="1" t="s">
        <v>279</v>
      </c>
      <c r="AA1" s="1" t="s">
        <v>280</v>
      </c>
      <c r="AB1" s="1" t="s">
        <v>316</v>
      </c>
      <c r="AC1" s="1" t="s">
        <v>620</v>
      </c>
      <c r="AD1" s="1" t="s">
        <v>7</v>
      </c>
      <c r="AE1" s="1" t="s">
        <v>8</v>
      </c>
      <c r="AF1" s="1" t="s">
        <v>9</v>
      </c>
      <c r="AG1" s="1" t="s">
        <v>281</v>
      </c>
      <c r="AH1" s="1" t="s">
        <v>290</v>
      </c>
      <c r="AI1" s="1" t="s">
        <v>361</v>
      </c>
      <c r="AJ1" s="1" t="s">
        <v>357</v>
      </c>
      <c r="AK1" s="1" t="s">
        <v>317</v>
      </c>
      <c r="AL1" s="1" t="s">
        <v>358</v>
      </c>
      <c r="AM1" s="1" t="s">
        <v>319</v>
      </c>
      <c r="AN1" s="1" t="s">
        <v>322</v>
      </c>
      <c r="AO1" s="1" t="s">
        <v>586</v>
      </c>
      <c r="AP1" s="1" t="s">
        <v>990</v>
      </c>
      <c r="AQ1" s="1" t="s">
        <v>320</v>
      </c>
      <c r="AR1" s="1" t="s">
        <v>323</v>
      </c>
      <c r="AS1" s="1" t="s">
        <v>588</v>
      </c>
      <c r="AT1" s="1" t="s">
        <v>359</v>
      </c>
      <c r="AU1" s="1" t="s">
        <v>10</v>
      </c>
    </row>
    <row r="2" spans="1:47">
      <c r="A2" s="1">
        <v>1</v>
      </c>
      <c r="B2" s="1">
        <v>1</v>
      </c>
      <c r="C2" s="1" t="s">
        <v>21</v>
      </c>
      <c r="D2" s="1" t="s">
        <v>22</v>
      </c>
      <c r="E2" s="1" t="s">
        <v>23</v>
      </c>
      <c r="F2" s="1">
        <v>2019</v>
      </c>
      <c r="G2" s="1" t="s">
        <v>427</v>
      </c>
      <c r="H2" s="1" t="s">
        <v>428</v>
      </c>
      <c r="I2" s="1">
        <v>-17.099755999999999</v>
      </c>
      <c r="J2" s="1">
        <v>179.09374099999999</v>
      </c>
      <c r="K2" s="1" t="s">
        <v>378</v>
      </c>
      <c r="L2" s="1" t="s">
        <v>379</v>
      </c>
      <c r="M2" s="1" t="s">
        <v>645</v>
      </c>
      <c r="N2" s="1" t="s">
        <v>291</v>
      </c>
      <c r="O2" s="1" t="s">
        <v>292</v>
      </c>
      <c r="P2" s="1" t="s">
        <v>294</v>
      </c>
      <c r="Q2" s="1" t="s">
        <v>609</v>
      </c>
      <c r="R2" s="1" t="s">
        <v>315</v>
      </c>
      <c r="S2" s="1" t="s">
        <v>336</v>
      </c>
      <c r="T2" s="1" t="s">
        <v>648</v>
      </c>
      <c r="U2" s="11" t="s">
        <v>647</v>
      </c>
      <c r="V2" s="1" t="s">
        <v>345</v>
      </c>
      <c r="W2" s="1" t="s">
        <v>315</v>
      </c>
      <c r="X2" s="1" t="s">
        <v>614</v>
      </c>
      <c r="Y2" s="1" t="s">
        <v>307</v>
      </c>
      <c r="Z2" s="1" t="s">
        <v>315</v>
      </c>
      <c r="AA2" s="1" t="s">
        <v>315</v>
      </c>
      <c r="AB2" s="1" t="s">
        <v>295</v>
      </c>
      <c r="AC2" s="1" t="s">
        <v>649</v>
      </c>
      <c r="AD2" s="1" t="s">
        <v>308</v>
      </c>
      <c r="AE2" s="1" t="s">
        <v>309</v>
      </c>
      <c r="AF2" s="1" t="s">
        <v>591</v>
      </c>
      <c r="AG2" s="1" t="s">
        <v>643</v>
      </c>
      <c r="AH2" s="1" t="s">
        <v>321</v>
      </c>
      <c r="AI2" s="1" t="s">
        <v>650</v>
      </c>
      <c r="AJ2" s="1" t="s">
        <v>697</v>
      </c>
      <c r="AK2" s="1" t="s">
        <v>651</v>
      </c>
      <c r="AL2" s="1" t="s">
        <v>315</v>
      </c>
      <c r="AM2" s="1">
        <v>15.29</v>
      </c>
      <c r="AN2" s="1">
        <v>0.35</v>
      </c>
      <c r="AO2" s="1" t="s">
        <v>315</v>
      </c>
      <c r="AP2" s="1">
        <v>18</v>
      </c>
      <c r="AQ2" s="1">
        <v>5.08</v>
      </c>
      <c r="AR2" s="1">
        <v>0.27</v>
      </c>
      <c r="AS2" s="1" t="s">
        <v>315</v>
      </c>
      <c r="AT2" s="1">
        <v>18</v>
      </c>
      <c r="AU2" s="1" t="s">
        <v>666</v>
      </c>
    </row>
    <row r="3" spans="1:47">
      <c r="A3" s="1">
        <v>2</v>
      </c>
      <c r="B3" s="1">
        <v>1</v>
      </c>
      <c r="C3" s="1" t="s">
        <v>24</v>
      </c>
      <c r="D3" s="1" t="s">
        <v>25</v>
      </c>
      <c r="E3" s="1" t="s">
        <v>26</v>
      </c>
      <c r="F3" s="1">
        <v>2019</v>
      </c>
      <c r="G3" s="1" t="s">
        <v>329</v>
      </c>
      <c r="H3" s="1" t="s">
        <v>330</v>
      </c>
      <c r="I3" s="1">
        <v>43.447499999999998</v>
      </c>
      <c r="J3" s="1">
        <v>3.6516670000000002</v>
      </c>
      <c r="K3" s="1" t="s">
        <v>328</v>
      </c>
      <c r="L3" s="1" t="s">
        <v>573</v>
      </c>
      <c r="M3" s="1" t="s">
        <v>652</v>
      </c>
      <c r="N3" s="1" t="s">
        <v>337</v>
      </c>
      <c r="O3" s="1" t="s">
        <v>315</v>
      </c>
      <c r="P3" s="1" t="s">
        <v>338</v>
      </c>
      <c r="Q3" s="1" t="s">
        <v>332</v>
      </c>
      <c r="S3" s="1" t="s">
        <v>335</v>
      </c>
      <c r="T3" s="1" t="s">
        <v>578</v>
      </c>
      <c r="U3" s="1">
        <v>2013</v>
      </c>
      <c r="V3" s="1" t="s">
        <v>295</v>
      </c>
      <c r="W3" s="1" t="s">
        <v>339</v>
      </c>
      <c r="X3" s="1" t="s">
        <v>306</v>
      </c>
      <c r="Y3" s="1" t="s">
        <v>307</v>
      </c>
      <c r="Z3" s="1" t="s">
        <v>340</v>
      </c>
      <c r="AA3" s="1" t="s">
        <v>341</v>
      </c>
      <c r="AB3" s="1" t="s">
        <v>345</v>
      </c>
      <c r="AC3" s="1" t="s">
        <v>315</v>
      </c>
      <c r="AD3" s="1" t="s">
        <v>347</v>
      </c>
      <c r="AE3" s="1" t="s">
        <v>348</v>
      </c>
      <c r="AF3" s="1" t="s">
        <v>315</v>
      </c>
      <c r="AG3" s="1" t="s">
        <v>315</v>
      </c>
      <c r="AH3" s="1" t="s">
        <v>349</v>
      </c>
      <c r="AI3" s="1" t="s">
        <v>362</v>
      </c>
      <c r="AK3" s="1" t="s">
        <v>350</v>
      </c>
      <c r="AM3" s="1">
        <v>401.01522842639503</v>
      </c>
      <c r="AQ3" s="5">
        <v>27.918781725888199</v>
      </c>
      <c r="AU3" s="1" t="s">
        <v>351</v>
      </c>
    </row>
    <row r="4" spans="1:47">
      <c r="A4" s="1">
        <v>2</v>
      </c>
      <c r="B4" s="1">
        <v>2</v>
      </c>
      <c r="C4" s="1" t="s">
        <v>24</v>
      </c>
      <c r="D4" s="1" t="s">
        <v>25</v>
      </c>
      <c r="E4" s="1" t="s">
        <v>26</v>
      </c>
      <c r="F4" s="1">
        <v>2019</v>
      </c>
      <c r="G4" s="1" t="s">
        <v>329</v>
      </c>
      <c r="H4" s="1" t="s">
        <v>330</v>
      </c>
      <c r="I4" s="1">
        <v>43.447499999999998</v>
      </c>
      <c r="J4" s="1">
        <v>3.6516670000000002</v>
      </c>
      <c r="K4" s="1" t="s">
        <v>328</v>
      </c>
      <c r="L4" s="1" t="s">
        <v>573</v>
      </c>
      <c r="M4" s="1" t="s">
        <v>652</v>
      </c>
      <c r="N4" s="1" t="s">
        <v>337</v>
      </c>
      <c r="O4" s="1" t="s">
        <v>315</v>
      </c>
      <c r="P4" s="1" t="s">
        <v>338</v>
      </c>
      <c r="Q4" s="1" t="s">
        <v>332</v>
      </c>
      <c r="S4" s="1" t="s">
        <v>335</v>
      </c>
      <c r="T4" s="1" t="s">
        <v>578</v>
      </c>
      <c r="U4" s="1">
        <v>2013</v>
      </c>
      <c r="V4" s="1" t="s">
        <v>295</v>
      </c>
      <c r="W4" s="1" t="s">
        <v>344</v>
      </c>
      <c r="X4" s="1" t="s">
        <v>306</v>
      </c>
      <c r="Y4" s="1" t="s">
        <v>307</v>
      </c>
      <c r="Z4" s="1" t="s">
        <v>342</v>
      </c>
      <c r="AA4" s="1" t="s">
        <v>343</v>
      </c>
      <c r="AB4" s="1" t="s">
        <v>345</v>
      </c>
      <c r="AC4" s="1" t="s">
        <v>315</v>
      </c>
      <c r="AD4" s="1" t="s">
        <v>347</v>
      </c>
      <c r="AE4" s="11" t="s">
        <v>315</v>
      </c>
      <c r="AF4" s="1" t="s">
        <v>315</v>
      </c>
      <c r="AG4" s="1" t="s">
        <v>315</v>
      </c>
      <c r="AH4" s="1" t="s">
        <v>349</v>
      </c>
      <c r="AI4" s="1" t="s">
        <v>362</v>
      </c>
      <c r="AK4" s="1" t="s">
        <v>350</v>
      </c>
      <c r="AM4" s="1">
        <v>22.842639593908601</v>
      </c>
      <c r="AQ4" s="5">
        <v>27.918781725888199</v>
      </c>
      <c r="AU4" s="1" t="s">
        <v>352</v>
      </c>
    </row>
    <row r="5" spans="1:47">
      <c r="A5" s="1">
        <v>3</v>
      </c>
      <c r="B5" s="1">
        <v>1</v>
      </c>
      <c r="C5" s="1" t="s">
        <v>27</v>
      </c>
      <c r="D5" s="1" t="s">
        <v>28</v>
      </c>
      <c r="E5" s="1" t="s">
        <v>29</v>
      </c>
      <c r="F5" s="1">
        <v>2018</v>
      </c>
      <c r="G5" s="1" t="s">
        <v>429</v>
      </c>
      <c r="H5" s="1" t="s">
        <v>430</v>
      </c>
      <c r="I5" s="1">
        <v>48.308334000000002</v>
      </c>
      <c r="J5" s="1">
        <v>-4.6432989999999998</v>
      </c>
      <c r="K5" s="1" t="s">
        <v>328</v>
      </c>
      <c r="L5" s="1" t="s">
        <v>377</v>
      </c>
      <c r="M5" s="1" t="s">
        <v>652</v>
      </c>
      <c r="N5" s="1" t="s">
        <v>575</v>
      </c>
      <c r="O5" s="1" t="s">
        <v>791</v>
      </c>
      <c r="P5" s="1" t="s">
        <v>338</v>
      </c>
      <c r="Q5" s="1" t="s">
        <v>596</v>
      </c>
      <c r="R5" s="1" t="s">
        <v>315</v>
      </c>
      <c r="S5" s="1" t="s">
        <v>335</v>
      </c>
      <c r="T5" s="1" t="s">
        <v>597</v>
      </c>
      <c r="U5" s="1">
        <v>2017</v>
      </c>
      <c r="V5" s="1" t="s">
        <v>295</v>
      </c>
      <c r="W5" s="1" t="s">
        <v>655</v>
      </c>
      <c r="X5" s="1" t="s">
        <v>656</v>
      </c>
      <c r="Y5" s="1" t="s">
        <v>581</v>
      </c>
      <c r="Z5" s="1" t="s">
        <v>653</v>
      </c>
      <c r="AA5" s="1" t="s">
        <v>654</v>
      </c>
      <c r="AB5" s="1" t="s">
        <v>345</v>
      </c>
      <c r="AC5" s="1" t="s">
        <v>315</v>
      </c>
      <c r="AD5" s="1" t="s">
        <v>347</v>
      </c>
      <c r="AE5" s="11" t="s">
        <v>315</v>
      </c>
      <c r="AF5" s="1" t="s">
        <v>315</v>
      </c>
      <c r="AG5" s="1" t="s">
        <v>315</v>
      </c>
      <c r="AH5" s="1" t="s">
        <v>657</v>
      </c>
      <c r="AI5" s="1" t="s">
        <v>362</v>
      </c>
      <c r="AK5" s="1" t="s">
        <v>658</v>
      </c>
      <c r="AL5" s="11" t="s">
        <v>670</v>
      </c>
      <c r="AM5" s="11">
        <v>0.63509749303621099</v>
      </c>
      <c r="AN5" s="11">
        <v>3.3426183844009749E-3</v>
      </c>
      <c r="AO5" s="1" t="s">
        <v>315</v>
      </c>
      <c r="AP5" s="11">
        <v>3</v>
      </c>
      <c r="AQ5" s="11">
        <v>0.53983286908077899</v>
      </c>
      <c r="AR5" s="11">
        <v>1.5041782729805053E-2</v>
      </c>
      <c r="AS5" s="1" t="s">
        <v>315</v>
      </c>
      <c r="AT5" s="11">
        <v>3</v>
      </c>
      <c r="AU5" s="1" t="s">
        <v>669</v>
      </c>
    </row>
    <row r="6" spans="1:47">
      <c r="A6" s="1">
        <v>4</v>
      </c>
      <c r="B6" s="11">
        <v>1</v>
      </c>
      <c r="C6" s="1" t="s">
        <v>30</v>
      </c>
      <c r="D6" s="1" t="s">
        <v>31</v>
      </c>
      <c r="E6" s="1" t="s">
        <v>32</v>
      </c>
      <c r="F6" s="1">
        <v>2018</v>
      </c>
      <c r="G6" s="1" t="s">
        <v>418</v>
      </c>
      <c r="H6" s="1" t="s">
        <v>419</v>
      </c>
      <c r="I6" s="1">
        <v>-14.683332999999999</v>
      </c>
      <c r="J6" s="1">
        <v>145.44999999999999</v>
      </c>
      <c r="K6" s="1" t="s">
        <v>375</v>
      </c>
      <c r="L6" s="1" t="s">
        <v>376</v>
      </c>
      <c r="M6" s="1" t="s">
        <v>645</v>
      </c>
      <c r="N6" s="1" t="s">
        <v>291</v>
      </c>
      <c r="O6" s="1" t="s">
        <v>292</v>
      </c>
      <c r="P6" s="1" t="s">
        <v>294</v>
      </c>
      <c r="Q6" s="1" t="s">
        <v>332</v>
      </c>
      <c r="R6" s="1" t="s">
        <v>315</v>
      </c>
      <c r="S6" s="1" t="s">
        <v>336</v>
      </c>
      <c r="T6" s="1" t="s">
        <v>610</v>
      </c>
      <c r="U6" s="1">
        <v>2016</v>
      </c>
      <c r="V6" s="1" t="s">
        <v>295</v>
      </c>
      <c r="W6" s="1" t="s">
        <v>794</v>
      </c>
      <c r="X6" s="1" t="s">
        <v>306</v>
      </c>
      <c r="Y6" s="1" t="s">
        <v>307</v>
      </c>
      <c r="Z6" s="1" t="s">
        <v>895</v>
      </c>
      <c r="AA6" s="1" t="s">
        <v>896</v>
      </c>
      <c r="AB6" s="1" t="s">
        <v>313</v>
      </c>
      <c r="AC6" s="11" t="s">
        <v>935</v>
      </c>
      <c r="AD6" s="11" t="s">
        <v>936</v>
      </c>
      <c r="AE6" s="11" t="s">
        <v>958</v>
      </c>
      <c r="AF6" s="11" t="s">
        <v>937</v>
      </c>
      <c r="AG6" s="11" t="s">
        <v>922</v>
      </c>
      <c r="AH6" s="1" t="s">
        <v>349</v>
      </c>
      <c r="AI6" s="1" t="s">
        <v>362</v>
      </c>
      <c r="AJ6" s="1" t="s">
        <v>799</v>
      </c>
      <c r="AK6" s="1" t="s">
        <v>350</v>
      </c>
      <c r="AL6" s="11" t="s">
        <v>315</v>
      </c>
      <c r="AM6" s="11">
        <v>1.30555555555555</v>
      </c>
      <c r="AN6" s="1">
        <v>0.25</v>
      </c>
      <c r="AO6" s="1" t="s">
        <v>315</v>
      </c>
      <c r="AP6" s="11">
        <v>5</v>
      </c>
      <c r="AQ6" s="11">
        <v>0.73611111111111105</v>
      </c>
      <c r="AR6" s="1">
        <v>0.16666666666666596</v>
      </c>
      <c r="AS6" s="1" t="s">
        <v>315</v>
      </c>
      <c r="AT6" s="11">
        <v>5</v>
      </c>
      <c r="AU6" s="5" t="s">
        <v>902</v>
      </c>
    </row>
    <row r="7" spans="1:47">
      <c r="A7" s="1">
        <v>4</v>
      </c>
      <c r="B7" s="11">
        <v>2</v>
      </c>
      <c r="C7" s="1" t="s">
        <v>30</v>
      </c>
      <c r="D7" s="1" t="s">
        <v>31</v>
      </c>
      <c r="E7" s="1" t="s">
        <v>32</v>
      </c>
      <c r="F7" s="1">
        <v>2018</v>
      </c>
      <c r="G7" s="1" t="s">
        <v>418</v>
      </c>
      <c r="H7" s="1" t="s">
        <v>419</v>
      </c>
      <c r="I7" s="1">
        <v>-14.683332999999999</v>
      </c>
      <c r="J7" s="1">
        <v>145.44999999999999</v>
      </c>
      <c r="K7" s="1" t="s">
        <v>375</v>
      </c>
      <c r="L7" s="1" t="s">
        <v>376</v>
      </c>
      <c r="M7" s="1" t="s">
        <v>645</v>
      </c>
      <c r="N7" s="1" t="s">
        <v>291</v>
      </c>
      <c r="O7" s="1" t="s">
        <v>292</v>
      </c>
      <c r="P7" s="1" t="s">
        <v>294</v>
      </c>
      <c r="Q7" s="1" t="s">
        <v>332</v>
      </c>
      <c r="R7" s="1" t="s">
        <v>315</v>
      </c>
      <c r="S7" s="1" t="s">
        <v>336</v>
      </c>
      <c r="T7" s="1" t="s">
        <v>610</v>
      </c>
      <c r="U7" s="1">
        <v>2016</v>
      </c>
      <c r="V7" s="1" t="s">
        <v>295</v>
      </c>
      <c r="W7" s="1" t="s">
        <v>794</v>
      </c>
      <c r="X7" s="1" t="s">
        <v>306</v>
      </c>
      <c r="Y7" s="1" t="s">
        <v>307</v>
      </c>
      <c r="Z7" s="1" t="s">
        <v>895</v>
      </c>
      <c r="AA7" s="1" t="s">
        <v>896</v>
      </c>
      <c r="AB7" s="1" t="s">
        <v>313</v>
      </c>
      <c r="AC7" s="11" t="s">
        <v>935</v>
      </c>
      <c r="AD7" s="11" t="s">
        <v>936</v>
      </c>
      <c r="AE7" s="11" t="s">
        <v>958</v>
      </c>
      <c r="AF7" s="11" t="s">
        <v>937</v>
      </c>
      <c r="AG7" s="11" t="s">
        <v>922</v>
      </c>
      <c r="AH7" s="1" t="s">
        <v>900</v>
      </c>
      <c r="AI7" s="1" t="s">
        <v>362</v>
      </c>
      <c r="AJ7" s="1" t="s">
        <v>799</v>
      </c>
      <c r="AK7" s="1" t="s">
        <v>584</v>
      </c>
      <c r="AL7" s="11" t="s">
        <v>315</v>
      </c>
      <c r="AM7" s="11">
        <v>1.8965517241379299</v>
      </c>
      <c r="AN7" s="1">
        <v>0.27586206896551002</v>
      </c>
      <c r="AO7" s="1" t="s">
        <v>315</v>
      </c>
      <c r="AP7" s="11">
        <v>5</v>
      </c>
      <c r="AQ7" s="11">
        <v>1.0344827586206899</v>
      </c>
      <c r="AR7" s="1">
        <v>0.22413793103447999</v>
      </c>
      <c r="AS7" s="1" t="s">
        <v>315</v>
      </c>
      <c r="AT7" s="11">
        <v>5</v>
      </c>
      <c r="AU7" s="1" t="s">
        <v>899</v>
      </c>
    </row>
    <row r="8" spans="1:47">
      <c r="A8" s="1">
        <v>4</v>
      </c>
      <c r="B8" s="11">
        <v>3</v>
      </c>
      <c r="C8" s="1" t="s">
        <v>30</v>
      </c>
      <c r="D8" s="1" t="s">
        <v>31</v>
      </c>
      <c r="E8" s="1" t="s">
        <v>32</v>
      </c>
      <c r="F8" s="1">
        <v>2018</v>
      </c>
      <c r="G8" s="1" t="s">
        <v>418</v>
      </c>
      <c r="H8" s="1" t="s">
        <v>419</v>
      </c>
      <c r="I8" s="1">
        <v>-14.683332999999999</v>
      </c>
      <c r="J8" s="1">
        <v>145.44999999999999</v>
      </c>
      <c r="K8" s="1" t="s">
        <v>375</v>
      </c>
      <c r="L8" s="1" t="s">
        <v>376</v>
      </c>
      <c r="M8" s="1" t="s">
        <v>645</v>
      </c>
      <c r="N8" s="1" t="s">
        <v>291</v>
      </c>
      <c r="O8" s="1" t="s">
        <v>292</v>
      </c>
      <c r="P8" s="1" t="s">
        <v>294</v>
      </c>
      <c r="Q8" s="1" t="s">
        <v>332</v>
      </c>
      <c r="R8" s="1" t="s">
        <v>315</v>
      </c>
      <c r="S8" s="1" t="s">
        <v>336</v>
      </c>
      <c r="T8" s="1" t="s">
        <v>610</v>
      </c>
      <c r="U8" s="1">
        <v>2016</v>
      </c>
      <c r="V8" s="1" t="s">
        <v>295</v>
      </c>
      <c r="W8" s="1" t="s">
        <v>794</v>
      </c>
      <c r="X8" s="1" t="s">
        <v>306</v>
      </c>
      <c r="Y8" s="1" t="s">
        <v>307</v>
      </c>
      <c r="Z8" s="1" t="s">
        <v>895</v>
      </c>
      <c r="AA8" s="1" t="s">
        <v>896</v>
      </c>
      <c r="AB8" s="1" t="s">
        <v>295</v>
      </c>
      <c r="AC8" s="1" t="s">
        <v>724</v>
      </c>
      <c r="AD8" s="1" t="s">
        <v>308</v>
      </c>
      <c r="AE8" s="11" t="s">
        <v>309</v>
      </c>
      <c r="AF8" s="1" t="s">
        <v>722</v>
      </c>
      <c r="AG8" s="1" t="s">
        <v>897</v>
      </c>
      <c r="AH8" s="1" t="s">
        <v>939</v>
      </c>
      <c r="AI8" s="1" t="s">
        <v>362</v>
      </c>
      <c r="AJ8" s="1" t="s">
        <v>799</v>
      </c>
      <c r="AK8" s="1" t="s">
        <v>941</v>
      </c>
      <c r="AL8" s="11" t="s">
        <v>315</v>
      </c>
      <c r="AM8" s="11">
        <v>0.94078947368420995</v>
      </c>
      <c r="AN8" s="1">
        <v>0.13157894736842013</v>
      </c>
      <c r="AO8" s="1" t="s">
        <v>315</v>
      </c>
      <c r="AP8" s="11">
        <v>5</v>
      </c>
      <c r="AQ8" s="11">
        <v>0.65296052631578905</v>
      </c>
      <c r="AR8" s="1">
        <v>8.2236842105262942E-2</v>
      </c>
      <c r="AS8" s="1" t="s">
        <v>315</v>
      </c>
      <c r="AT8" s="11">
        <v>5</v>
      </c>
      <c r="AU8" s="1" t="s">
        <v>899</v>
      </c>
    </row>
    <row r="9" spans="1:47">
      <c r="A9" s="1">
        <v>4</v>
      </c>
      <c r="B9" s="11">
        <v>4</v>
      </c>
      <c r="C9" s="1" t="s">
        <v>30</v>
      </c>
      <c r="D9" s="1" t="s">
        <v>31</v>
      </c>
      <c r="E9" s="1" t="s">
        <v>32</v>
      </c>
      <c r="F9" s="1">
        <v>2018</v>
      </c>
      <c r="G9" s="1" t="s">
        <v>418</v>
      </c>
      <c r="H9" s="1" t="s">
        <v>419</v>
      </c>
      <c r="I9" s="1">
        <v>-14.683332999999999</v>
      </c>
      <c r="J9" s="1">
        <v>145.44999999999999</v>
      </c>
      <c r="K9" s="1" t="s">
        <v>375</v>
      </c>
      <c r="L9" s="1" t="s">
        <v>376</v>
      </c>
      <c r="M9" s="1" t="s">
        <v>645</v>
      </c>
      <c r="N9" s="1" t="s">
        <v>291</v>
      </c>
      <c r="O9" s="1" t="s">
        <v>292</v>
      </c>
      <c r="P9" s="1" t="s">
        <v>294</v>
      </c>
      <c r="Q9" s="1" t="s">
        <v>332</v>
      </c>
      <c r="R9" s="1" t="s">
        <v>315</v>
      </c>
      <c r="S9" s="1" t="s">
        <v>336</v>
      </c>
      <c r="T9" s="1" t="s">
        <v>610</v>
      </c>
      <c r="U9" s="1">
        <v>2016</v>
      </c>
      <c r="V9" s="1" t="s">
        <v>295</v>
      </c>
      <c r="W9" s="1" t="s">
        <v>794</v>
      </c>
      <c r="X9" s="1" t="s">
        <v>306</v>
      </c>
      <c r="Y9" s="1" t="s">
        <v>307</v>
      </c>
      <c r="Z9" s="1" t="s">
        <v>895</v>
      </c>
      <c r="AA9" s="1" t="s">
        <v>896</v>
      </c>
      <c r="AB9" s="1" t="s">
        <v>295</v>
      </c>
      <c r="AC9" s="1" t="s">
        <v>724</v>
      </c>
      <c r="AD9" s="1" t="s">
        <v>308</v>
      </c>
      <c r="AE9" s="11" t="s">
        <v>309</v>
      </c>
      <c r="AF9" s="1" t="s">
        <v>722</v>
      </c>
      <c r="AG9" s="1" t="s">
        <v>897</v>
      </c>
      <c r="AH9" s="1" t="s">
        <v>940</v>
      </c>
      <c r="AI9" s="1" t="s">
        <v>362</v>
      </c>
      <c r="AJ9" s="1" t="s">
        <v>799</v>
      </c>
      <c r="AK9" s="1" t="s">
        <v>658</v>
      </c>
      <c r="AL9" s="11" t="s">
        <v>315</v>
      </c>
      <c r="AM9" s="11">
        <v>0.76054421768707503</v>
      </c>
      <c r="AN9" s="1">
        <v>0.15238095238095195</v>
      </c>
      <c r="AO9" s="1" t="s">
        <v>315</v>
      </c>
      <c r="AP9" s="11">
        <v>5</v>
      </c>
      <c r="AQ9" s="11">
        <v>0.72244897959183696</v>
      </c>
      <c r="AR9" s="1">
        <v>8.707482993197202E-2</v>
      </c>
      <c r="AS9" s="1" t="s">
        <v>315</v>
      </c>
      <c r="AT9" s="11">
        <v>5</v>
      </c>
      <c r="AU9" s="1" t="s">
        <v>899</v>
      </c>
    </row>
    <row r="10" spans="1:47">
      <c r="A10" s="1">
        <v>4</v>
      </c>
      <c r="B10" s="11">
        <v>5</v>
      </c>
      <c r="C10" s="1" t="s">
        <v>30</v>
      </c>
      <c r="D10" s="1" t="s">
        <v>31</v>
      </c>
      <c r="E10" s="1" t="s">
        <v>32</v>
      </c>
      <c r="F10" s="1">
        <v>2018</v>
      </c>
      <c r="G10" s="1" t="s">
        <v>418</v>
      </c>
      <c r="H10" s="1" t="s">
        <v>419</v>
      </c>
      <c r="I10" s="1">
        <v>-14.683332999999999</v>
      </c>
      <c r="J10" s="1">
        <v>145.44999999999999</v>
      </c>
      <c r="K10" s="1" t="s">
        <v>375</v>
      </c>
      <c r="L10" s="1" t="s">
        <v>376</v>
      </c>
      <c r="M10" s="1" t="s">
        <v>645</v>
      </c>
      <c r="N10" s="1" t="s">
        <v>291</v>
      </c>
      <c r="O10" s="1" t="s">
        <v>292</v>
      </c>
      <c r="P10" s="1" t="s">
        <v>294</v>
      </c>
      <c r="Q10" s="1" t="s">
        <v>332</v>
      </c>
      <c r="R10" s="1" t="s">
        <v>315</v>
      </c>
      <c r="S10" s="1" t="s">
        <v>335</v>
      </c>
      <c r="T10" s="1" t="s">
        <v>578</v>
      </c>
      <c r="U10" s="11">
        <v>2015</v>
      </c>
      <c r="V10" s="1" t="s">
        <v>295</v>
      </c>
      <c r="W10" s="1" t="s">
        <v>794</v>
      </c>
      <c r="X10" s="1" t="s">
        <v>306</v>
      </c>
      <c r="Y10" s="1" t="s">
        <v>307</v>
      </c>
      <c r="Z10" s="1" t="s">
        <v>895</v>
      </c>
      <c r="AA10" s="1" t="s">
        <v>896</v>
      </c>
      <c r="AB10" s="1" t="s">
        <v>313</v>
      </c>
      <c r="AC10" s="11" t="s">
        <v>935</v>
      </c>
      <c r="AD10" s="11" t="s">
        <v>936</v>
      </c>
      <c r="AE10" s="11" t="s">
        <v>958</v>
      </c>
      <c r="AF10" s="11" t="s">
        <v>937</v>
      </c>
      <c r="AG10" s="11" t="s">
        <v>922</v>
      </c>
      <c r="AH10" s="11" t="s">
        <v>949</v>
      </c>
      <c r="AI10" s="11" t="s">
        <v>362</v>
      </c>
      <c r="AJ10" s="11" t="s">
        <v>799</v>
      </c>
      <c r="AK10" s="11" t="s">
        <v>350</v>
      </c>
      <c r="AL10" s="11" t="s">
        <v>315</v>
      </c>
      <c r="AM10">
        <v>1.2057684799583501</v>
      </c>
      <c r="AN10">
        <v>0.25944787132001085</v>
      </c>
      <c r="AO10" s="1" t="s">
        <v>315</v>
      </c>
      <c r="AP10" s="11">
        <v>9</v>
      </c>
      <c r="AQ10">
        <v>0.45936361270171788</v>
      </c>
      <c r="AR10">
        <v>0.210669031057832</v>
      </c>
      <c r="AS10" s="1" t="s">
        <v>315</v>
      </c>
      <c r="AT10" s="11">
        <v>9</v>
      </c>
      <c r="AU10" s="1" t="s">
        <v>953</v>
      </c>
    </row>
    <row r="11" spans="1:47">
      <c r="A11" s="1">
        <v>4</v>
      </c>
      <c r="B11" s="11">
        <v>6</v>
      </c>
      <c r="C11" s="1" t="s">
        <v>30</v>
      </c>
      <c r="D11" s="1" t="s">
        <v>31</v>
      </c>
      <c r="E11" s="1" t="s">
        <v>32</v>
      </c>
      <c r="F11" s="1">
        <v>2018</v>
      </c>
      <c r="G11" s="1" t="s">
        <v>418</v>
      </c>
      <c r="H11" s="1" t="s">
        <v>419</v>
      </c>
      <c r="I11" s="1">
        <v>-14.683332999999999</v>
      </c>
      <c r="J11" s="1">
        <v>145.44999999999999</v>
      </c>
      <c r="K11" s="1" t="s">
        <v>375</v>
      </c>
      <c r="L11" s="1" t="s">
        <v>376</v>
      </c>
      <c r="M11" s="1" t="s">
        <v>645</v>
      </c>
      <c r="N11" s="1" t="s">
        <v>291</v>
      </c>
      <c r="O11" s="1" t="s">
        <v>292</v>
      </c>
      <c r="P11" s="1" t="s">
        <v>294</v>
      </c>
      <c r="Q11" s="1" t="s">
        <v>332</v>
      </c>
      <c r="R11" s="1" t="s">
        <v>315</v>
      </c>
      <c r="S11" s="1" t="s">
        <v>335</v>
      </c>
      <c r="T11" s="1" t="s">
        <v>578</v>
      </c>
      <c r="U11" s="11">
        <v>2015</v>
      </c>
      <c r="V11" s="1" t="s">
        <v>295</v>
      </c>
      <c r="W11" s="1" t="s">
        <v>794</v>
      </c>
      <c r="X11" s="1" t="s">
        <v>306</v>
      </c>
      <c r="Y11" s="1" t="s">
        <v>307</v>
      </c>
      <c r="Z11" s="1" t="s">
        <v>895</v>
      </c>
      <c r="AA11" s="1" t="s">
        <v>896</v>
      </c>
      <c r="AB11" s="1" t="s">
        <v>313</v>
      </c>
      <c r="AC11" s="11" t="s">
        <v>935</v>
      </c>
      <c r="AD11" s="11" t="s">
        <v>936</v>
      </c>
      <c r="AE11" s="11" t="s">
        <v>958</v>
      </c>
      <c r="AF11" s="11" t="s">
        <v>937</v>
      </c>
      <c r="AG11" s="11" t="s">
        <v>922</v>
      </c>
      <c r="AH11" s="11" t="s">
        <v>950</v>
      </c>
      <c r="AI11" s="11" t="s">
        <v>362</v>
      </c>
      <c r="AJ11" s="11" t="s">
        <v>799</v>
      </c>
      <c r="AK11" s="11" t="s">
        <v>584</v>
      </c>
      <c r="AL11" s="11" t="s">
        <v>315</v>
      </c>
      <c r="AM11">
        <v>1.98913043478261</v>
      </c>
      <c r="AN11">
        <v>0.45571246675307958</v>
      </c>
      <c r="AO11" s="1" t="s">
        <v>315</v>
      </c>
      <c r="AP11" s="11">
        <v>9</v>
      </c>
      <c r="AQ11">
        <v>1.1083208395802098</v>
      </c>
      <c r="AR11">
        <v>0.42513084363138792</v>
      </c>
      <c r="AS11" s="1" t="s">
        <v>315</v>
      </c>
      <c r="AT11" s="11">
        <v>9</v>
      </c>
      <c r="AU11" s="1" t="s">
        <v>954</v>
      </c>
    </row>
    <row r="12" spans="1:47">
      <c r="A12" s="1">
        <v>4</v>
      </c>
      <c r="B12" s="11">
        <v>7</v>
      </c>
      <c r="C12" s="1" t="s">
        <v>30</v>
      </c>
      <c r="D12" s="1" t="s">
        <v>31</v>
      </c>
      <c r="E12" s="1" t="s">
        <v>32</v>
      </c>
      <c r="F12" s="1">
        <v>2018</v>
      </c>
      <c r="G12" s="1" t="s">
        <v>418</v>
      </c>
      <c r="H12" s="1" t="s">
        <v>419</v>
      </c>
      <c r="I12" s="1">
        <v>-14.683332999999999</v>
      </c>
      <c r="J12" s="1">
        <v>145.44999999999999</v>
      </c>
      <c r="K12" s="1" t="s">
        <v>375</v>
      </c>
      <c r="L12" s="1" t="s">
        <v>376</v>
      </c>
      <c r="M12" s="1" t="s">
        <v>645</v>
      </c>
      <c r="N12" s="1" t="s">
        <v>291</v>
      </c>
      <c r="O12" s="1" t="s">
        <v>292</v>
      </c>
      <c r="P12" s="1" t="s">
        <v>294</v>
      </c>
      <c r="Q12" s="1" t="s">
        <v>332</v>
      </c>
      <c r="R12" s="1" t="s">
        <v>315</v>
      </c>
      <c r="S12" s="1" t="s">
        <v>335</v>
      </c>
      <c r="T12" s="1" t="s">
        <v>578</v>
      </c>
      <c r="U12" s="11">
        <v>2015</v>
      </c>
      <c r="V12" s="1" t="s">
        <v>295</v>
      </c>
      <c r="W12" s="1" t="s">
        <v>794</v>
      </c>
      <c r="X12" s="1" t="s">
        <v>306</v>
      </c>
      <c r="Y12" s="1" t="s">
        <v>307</v>
      </c>
      <c r="Z12" s="1" t="s">
        <v>895</v>
      </c>
      <c r="AA12" s="1" t="s">
        <v>896</v>
      </c>
      <c r="AB12" s="1" t="s">
        <v>295</v>
      </c>
      <c r="AC12" s="1" t="s">
        <v>724</v>
      </c>
      <c r="AD12" s="1" t="s">
        <v>308</v>
      </c>
      <c r="AE12" s="1" t="s">
        <v>309</v>
      </c>
      <c r="AF12" s="1" t="s">
        <v>722</v>
      </c>
      <c r="AG12" s="1" t="s">
        <v>897</v>
      </c>
      <c r="AH12" s="11" t="s">
        <v>951</v>
      </c>
      <c r="AI12" s="11" t="s">
        <v>362</v>
      </c>
      <c r="AJ12" s="11" t="s">
        <v>799</v>
      </c>
      <c r="AK12" s="11" t="s">
        <v>941</v>
      </c>
      <c r="AL12" s="11" t="s">
        <v>315</v>
      </c>
      <c r="AM12">
        <v>-4.1769115442278015E-2</v>
      </c>
      <c r="AN12">
        <v>0.20955594849830667</v>
      </c>
      <c r="AO12" s="1" t="s">
        <v>315</v>
      </c>
      <c r="AP12" s="11">
        <v>9</v>
      </c>
      <c r="AQ12">
        <v>-0.11232383808096003</v>
      </c>
      <c r="AR12">
        <v>0.18013504171755976</v>
      </c>
      <c r="AS12" s="1" t="s">
        <v>315</v>
      </c>
      <c r="AT12" s="11">
        <v>9</v>
      </c>
      <c r="AU12" s="1" t="s">
        <v>955</v>
      </c>
    </row>
    <row r="13" spans="1:47">
      <c r="A13" s="1">
        <v>4</v>
      </c>
      <c r="B13" s="11">
        <v>8</v>
      </c>
      <c r="C13" s="1" t="s">
        <v>30</v>
      </c>
      <c r="D13" s="1" t="s">
        <v>31</v>
      </c>
      <c r="E13" s="1" t="s">
        <v>32</v>
      </c>
      <c r="F13" s="1">
        <v>2018</v>
      </c>
      <c r="G13" s="1" t="s">
        <v>418</v>
      </c>
      <c r="H13" s="1" t="s">
        <v>419</v>
      </c>
      <c r="I13" s="1">
        <v>-14.683332999999999</v>
      </c>
      <c r="J13" s="1">
        <v>145.44999999999999</v>
      </c>
      <c r="K13" s="1" t="s">
        <v>375</v>
      </c>
      <c r="L13" s="1" t="s">
        <v>376</v>
      </c>
      <c r="M13" s="1" t="s">
        <v>645</v>
      </c>
      <c r="N13" s="1" t="s">
        <v>291</v>
      </c>
      <c r="O13" s="1" t="s">
        <v>292</v>
      </c>
      <c r="P13" s="1" t="s">
        <v>294</v>
      </c>
      <c r="Q13" s="1" t="s">
        <v>332</v>
      </c>
      <c r="R13" s="1" t="s">
        <v>315</v>
      </c>
      <c r="S13" s="1" t="s">
        <v>335</v>
      </c>
      <c r="T13" s="1" t="s">
        <v>578</v>
      </c>
      <c r="U13" s="11">
        <v>2015</v>
      </c>
      <c r="V13" s="1" t="s">
        <v>295</v>
      </c>
      <c r="W13" s="1" t="s">
        <v>794</v>
      </c>
      <c r="X13" s="1" t="s">
        <v>306</v>
      </c>
      <c r="Y13" s="1" t="s">
        <v>307</v>
      </c>
      <c r="Z13" s="1" t="s">
        <v>895</v>
      </c>
      <c r="AA13" s="1" t="s">
        <v>896</v>
      </c>
      <c r="AB13" s="1" t="s">
        <v>295</v>
      </c>
      <c r="AC13" s="1" t="s">
        <v>724</v>
      </c>
      <c r="AD13" s="1" t="s">
        <v>308</v>
      </c>
      <c r="AE13" s="1" t="s">
        <v>309</v>
      </c>
      <c r="AF13" s="1" t="s">
        <v>722</v>
      </c>
      <c r="AG13" s="1" t="s">
        <v>897</v>
      </c>
      <c r="AH13" s="11" t="s">
        <v>952</v>
      </c>
      <c r="AI13" s="11" t="s">
        <v>362</v>
      </c>
      <c r="AJ13" s="11" t="s">
        <v>799</v>
      </c>
      <c r="AK13" s="11" t="s">
        <v>658</v>
      </c>
      <c r="AL13" s="11" t="s">
        <v>315</v>
      </c>
      <c r="AM13">
        <v>0.39473684210525495</v>
      </c>
      <c r="AN13">
        <v>0.10608233879340685</v>
      </c>
      <c r="AO13" s="1" t="s">
        <v>315</v>
      </c>
      <c r="AP13" s="11">
        <v>9</v>
      </c>
      <c r="AQ13">
        <v>0.26315789473683904</v>
      </c>
      <c r="AR13">
        <v>0.17155795803164609</v>
      </c>
      <c r="AS13" s="1" t="s">
        <v>315</v>
      </c>
      <c r="AT13" s="11">
        <v>9</v>
      </c>
      <c r="AU13" s="1" t="s">
        <v>956</v>
      </c>
    </row>
    <row r="14" spans="1:47">
      <c r="A14" s="1">
        <v>5</v>
      </c>
      <c r="B14" s="1">
        <v>1</v>
      </c>
      <c r="C14" s="1" t="s">
        <v>36</v>
      </c>
      <c r="D14" s="1" t="s">
        <v>37</v>
      </c>
      <c r="E14" s="1" t="s">
        <v>38</v>
      </c>
      <c r="F14" s="1">
        <v>2018</v>
      </c>
      <c r="G14" s="1" t="s">
        <v>431</v>
      </c>
      <c r="H14" s="1" t="s">
        <v>432</v>
      </c>
      <c r="I14" s="1">
        <v>26.335265</v>
      </c>
      <c r="J14" s="1">
        <v>-76.962273999999994</v>
      </c>
      <c r="K14" s="1" t="s">
        <v>363</v>
      </c>
      <c r="L14" s="1" t="s">
        <v>369</v>
      </c>
      <c r="M14" s="1" t="s">
        <v>574</v>
      </c>
      <c r="N14" s="1" t="s">
        <v>575</v>
      </c>
      <c r="O14" s="1" t="s">
        <v>791</v>
      </c>
      <c r="P14" s="1" t="s">
        <v>424</v>
      </c>
      <c r="Q14" s="1" t="s">
        <v>596</v>
      </c>
      <c r="R14" s="1" t="s">
        <v>577</v>
      </c>
      <c r="S14" s="1" t="s">
        <v>336</v>
      </c>
      <c r="T14" s="1" t="s">
        <v>597</v>
      </c>
      <c r="U14" s="1">
        <v>2010</v>
      </c>
      <c r="V14" s="1" t="s">
        <v>345</v>
      </c>
      <c r="W14" s="1" t="s">
        <v>315</v>
      </c>
      <c r="X14" s="1" t="s">
        <v>306</v>
      </c>
      <c r="Y14" s="1" t="s">
        <v>307</v>
      </c>
      <c r="Z14" s="1" t="s">
        <v>315</v>
      </c>
      <c r="AA14" s="1" t="s">
        <v>315</v>
      </c>
      <c r="AB14" s="1" t="s">
        <v>295</v>
      </c>
      <c r="AC14" s="1" t="s">
        <v>659</v>
      </c>
      <c r="AD14" s="1" t="s">
        <v>598</v>
      </c>
      <c r="AE14" s="1" t="s">
        <v>601</v>
      </c>
      <c r="AF14" s="1" t="s">
        <v>599</v>
      </c>
      <c r="AG14" s="1" t="s">
        <v>600</v>
      </c>
      <c r="AH14" s="11" t="s">
        <v>668</v>
      </c>
      <c r="AI14" s="11" t="s">
        <v>362</v>
      </c>
      <c r="AJ14" s="11"/>
      <c r="AK14" s="11" t="s">
        <v>318</v>
      </c>
      <c r="AL14" s="11" t="s">
        <v>670</v>
      </c>
      <c r="AM14" s="11">
        <v>56.341463414634099</v>
      </c>
      <c r="AN14" s="5"/>
      <c r="AO14" s="5"/>
      <c r="AP14" s="1">
        <v>4</v>
      </c>
      <c r="AQ14" s="11">
        <v>53.902439024390198</v>
      </c>
      <c r="AR14" s="5"/>
      <c r="AS14" s="5"/>
      <c r="AT14" s="1">
        <v>4</v>
      </c>
      <c r="AU14" s="1" t="s">
        <v>667</v>
      </c>
    </row>
    <row r="15" spans="1:47">
      <c r="A15" s="1">
        <v>6</v>
      </c>
      <c r="B15" s="11">
        <v>1</v>
      </c>
      <c r="C15" s="1" t="s">
        <v>45</v>
      </c>
      <c r="D15" s="1" t="s">
        <v>46</v>
      </c>
      <c r="E15" s="1" t="s">
        <v>47</v>
      </c>
      <c r="F15" s="1">
        <v>2018</v>
      </c>
      <c r="G15" s="1" t="s">
        <v>435</v>
      </c>
      <c r="H15" s="1" t="s">
        <v>436</v>
      </c>
      <c r="I15" s="1">
        <v>31.354237999999999</v>
      </c>
      <c r="J15" s="1">
        <v>-81.246572</v>
      </c>
      <c r="K15" s="1" t="s">
        <v>366</v>
      </c>
      <c r="L15" s="1" t="s">
        <v>373</v>
      </c>
      <c r="M15" s="1" t="s">
        <v>574</v>
      </c>
      <c r="N15" s="1" t="s">
        <v>575</v>
      </c>
      <c r="O15" s="1" t="s">
        <v>791</v>
      </c>
      <c r="P15" s="1" t="s">
        <v>424</v>
      </c>
      <c r="Q15" s="1" t="s">
        <v>972</v>
      </c>
      <c r="R15" s="1" t="s">
        <v>315</v>
      </c>
      <c r="S15" s="1" t="s">
        <v>336</v>
      </c>
      <c r="T15" s="1" t="s">
        <v>315</v>
      </c>
      <c r="U15" s="1" t="s">
        <v>978</v>
      </c>
      <c r="V15" s="1" t="s">
        <v>295</v>
      </c>
      <c r="W15" s="1" t="s">
        <v>579</v>
      </c>
      <c r="X15" s="1" t="s">
        <v>580</v>
      </c>
      <c r="Y15" s="1" t="s">
        <v>581</v>
      </c>
      <c r="Z15" s="1" t="s">
        <v>973</v>
      </c>
      <c r="AA15" s="1" t="s">
        <v>974</v>
      </c>
      <c r="AB15" s="1" t="s">
        <v>295</v>
      </c>
      <c r="AC15" s="1" t="s">
        <v>975</v>
      </c>
      <c r="AD15" s="1" t="s">
        <v>661</v>
      </c>
      <c r="AE15" s="1" t="s">
        <v>601</v>
      </c>
      <c r="AF15" s="1" t="s">
        <v>977</v>
      </c>
      <c r="AG15" s="1" t="s">
        <v>976</v>
      </c>
      <c r="AH15" s="1" t="s">
        <v>615</v>
      </c>
      <c r="AI15" s="1" t="s">
        <v>362</v>
      </c>
      <c r="AJ15" s="1" t="s">
        <v>745</v>
      </c>
      <c r="AK15" s="1" t="s">
        <v>318</v>
      </c>
      <c r="AL15" s="1" t="s">
        <v>670</v>
      </c>
      <c r="AM15" s="1">
        <v>4.14965986394557</v>
      </c>
      <c r="AN15" s="1">
        <v>4.6428571428571397</v>
      </c>
      <c r="AO15" s="1" t="s">
        <v>315</v>
      </c>
      <c r="AP15" s="1">
        <v>12</v>
      </c>
      <c r="AQ15" s="1">
        <v>2.8911564625850299</v>
      </c>
      <c r="AR15" s="1">
        <v>3.2653061224489699</v>
      </c>
      <c r="AS15" s="1" t="s">
        <v>315</v>
      </c>
      <c r="AT15" s="1">
        <v>12</v>
      </c>
      <c r="AU15" s="1" t="s">
        <v>979</v>
      </c>
    </row>
    <row r="16" spans="1:47">
      <c r="A16" s="1">
        <v>6</v>
      </c>
      <c r="B16" s="11">
        <v>2</v>
      </c>
      <c r="C16" s="1" t="s">
        <v>45</v>
      </c>
      <c r="D16" s="1" t="s">
        <v>46</v>
      </c>
      <c r="E16" s="1" t="s">
        <v>47</v>
      </c>
      <c r="F16" s="1">
        <v>2018</v>
      </c>
      <c r="G16" s="1" t="s">
        <v>435</v>
      </c>
      <c r="H16" s="1" t="s">
        <v>436</v>
      </c>
      <c r="I16" s="1">
        <v>31.354237999999999</v>
      </c>
      <c r="J16" s="1">
        <v>-81.246572</v>
      </c>
      <c r="K16" s="1" t="s">
        <v>366</v>
      </c>
      <c r="L16" s="1" t="s">
        <v>373</v>
      </c>
      <c r="M16" s="1" t="s">
        <v>574</v>
      </c>
      <c r="N16" s="1" t="s">
        <v>575</v>
      </c>
      <c r="O16" s="1" t="s">
        <v>791</v>
      </c>
      <c r="P16" s="1" t="s">
        <v>424</v>
      </c>
      <c r="Q16" s="1" t="s">
        <v>972</v>
      </c>
      <c r="R16" s="1" t="s">
        <v>315</v>
      </c>
      <c r="S16" s="1" t="s">
        <v>336</v>
      </c>
      <c r="T16" s="1" t="s">
        <v>315</v>
      </c>
      <c r="U16" s="1" t="s">
        <v>978</v>
      </c>
      <c r="V16" s="1" t="s">
        <v>295</v>
      </c>
      <c r="W16" s="1" t="s">
        <v>579</v>
      </c>
      <c r="X16" s="1" t="s">
        <v>580</v>
      </c>
      <c r="Y16" s="1" t="s">
        <v>581</v>
      </c>
      <c r="Z16" s="1" t="s">
        <v>973</v>
      </c>
      <c r="AA16" s="1" t="s">
        <v>974</v>
      </c>
      <c r="AB16" s="1" t="s">
        <v>295</v>
      </c>
      <c r="AC16" s="1" t="s">
        <v>975</v>
      </c>
      <c r="AD16" s="1" t="s">
        <v>661</v>
      </c>
      <c r="AE16" s="1" t="s">
        <v>601</v>
      </c>
      <c r="AF16" s="1" t="s">
        <v>977</v>
      </c>
      <c r="AG16" s="1" t="s">
        <v>976</v>
      </c>
      <c r="AH16" s="1" t="s">
        <v>640</v>
      </c>
      <c r="AI16" s="1" t="s">
        <v>362</v>
      </c>
      <c r="AJ16" s="1" t="s">
        <v>745</v>
      </c>
      <c r="AK16" s="1" t="s">
        <v>749</v>
      </c>
      <c r="AL16" s="1" t="s">
        <v>315</v>
      </c>
      <c r="AM16" s="1">
        <v>748.93617021276498</v>
      </c>
      <c r="AN16" s="1">
        <v>837.44680851063799</v>
      </c>
      <c r="AO16" s="1" t="s">
        <v>315</v>
      </c>
      <c r="AP16" s="1">
        <v>12</v>
      </c>
      <c r="AQ16" s="1">
        <v>486.80851063829698</v>
      </c>
      <c r="AR16" s="1">
        <v>548.08510638297798</v>
      </c>
      <c r="AS16" s="1" t="s">
        <v>315</v>
      </c>
      <c r="AT16" s="1">
        <v>12</v>
      </c>
      <c r="AU16" s="1" t="s">
        <v>980</v>
      </c>
    </row>
    <row r="17" spans="1:47">
      <c r="A17" s="1">
        <v>7</v>
      </c>
      <c r="B17" s="11">
        <v>1</v>
      </c>
      <c r="C17" s="1" t="s">
        <v>54</v>
      </c>
      <c r="D17" s="1" t="s">
        <v>55</v>
      </c>
      <c r="E17" s="1" t="s">
        <v>56</v>
      </c>
      <c r="F17" s="1">
        <v>2017</v>
      </c>
      <c r="G17" s="1" t="s">
        <v>439</v>
      </c>
      <c r="H17" s="1" t="s">
        <v>440</v>
      </c>
      <c r="I17" s="1">
        <v>74.216667000000001</v>
      </c>
      <c r="J17" s="1">
        <v>-84.033332999999999</v>
      </c>
      <c r="K17" s="1" t="s">
        <v>367</v>
      </c>
      <c r="L17" s="1" t="s">
        <v>370</v>
      </c>
      <c r="M17" s="1" t="s">
        <v>574</v>
      </c>
      <c r="N17" s="1" t="s">
        <v>690</v>
      </c>
      <c r="O17" s="1" t="s">
        <v>292</v>
      </c>
      <c r="P17" s="1" t="s">
        <v>426</v>
      </c>
      <c r="Q17" s="1" t="s">
        <v>596</v>
      </c>
      <c r="R17" s="1" t="s">
        <v>315</v>
      </c>
      <c r="S17" s="1" t="s">
        <v>336</v>
      </c>
      <c r="T17" s="1" t="s">
        <v>578</v>
      </c>
      <c r="U17" s="1">
        <v>2012</v>
      </c>
      <c r="V17" s="1" t="s">
        <v>345</v>
      </c>
      <c r="W17" s="1" t="s">
        <v>315</v>
      </c>
      <c r="X17" s="1" t="s">
        <v>614</v>
      </c>
      <c r="Y17" s="1" t="s">
        <v>307</v>
      </c>
      <c r="Z17" s="1" t="s">
        <v>315</v>
      </c>
      <c r="AA17" s="1" t="s">
        <v>315</v>
      </c>
      <c r="AB17" s="1" t="s">
        <v>345</v>
      </c>
      <c r="AC17" s="1" t="s">
        <v>315</v>
      </c>
      <c r="AD17" s="1" t="s">
        <v>347</v>
      </c>
      <c r="AE17" s="1" t="s">
        <v>315</v>
      </c>
      <c r="AF17" s="1" t="s">
        <v>315</v>
      </c>
      <c r="AG17" s="1" t="s">
        <v>315</v>
      </c>
      <c r="AH17" s="1" t="s">
        <v>691</v>
      </c>
      <c r="AI17" s="1" t="s">
        <v>691</v>
      </c>
      <c r="AJ17" s="1" t="s">
        <v>697</v>
      </c>
      <c r="AK17" s="1" t="s">
        <v>584</v>
      </c>
      <c r="AL17" s="1" t="s">
        <v>315</v>
      </c>
      <c r="AM17" s="11">
        <v>0.1</v>
      </c>
      <c r="AN17" s="11" t="s">
        <v>315</v>
      </c>
      <c r="AO17" s="11">
        <v>2.6739483914241875E-2</v>
      </c>
      <c r="AP17" s="11">
        <v>4</v>
      </c>
      <c r="AQ17" s="11">
        <v>0.11600000000000001</v>
      </c>
      <c r="AR17" s="11" t="s">
        <v>315</v>
      </c>
      <c r="AS17" s="11">
        <v>5.211285829812063E-2</v>
      </c>
      <c r="AT17" s="11">
        <v>3</v>
      </c>
      <c r="AU17" s="1" t="s">
        <v>1052</v>
      </c>
    </row>
    <row r="18" spans="1:47">
      <c r="A18" s="1">
        <v>7</v>
      </c>
      <c r="B18" s="11">
        <v>2</v>
      </c>
      <c r="C18" s="1" t="s">
        <v>54</v>
      </c>
      <c r="D18" s="1" t="s">
        <v>55</v>
      </c>
      <c r="E18" s="1" t="s">
        <v>56</v>
      </c>
      <c r="F18" s="1">
        <v>2017</v>
      </c>
      <c r="G18" s="1" t="s">
        <v>439</v>
      </c>
      <c r="H18" s="1" t="s">
        <v>440</v>
      </c>
      <c r="I18" s="1">
        <v>74.216667000000001</v>
      </c>
      <c r="J18" s="1">
        <v>-84.033332999999999</v>
      </c>
      <c r="K18" s="1" t="s">
        <v>367</v>
      </c>
      <c r="L18" s="1" t="s">
        <v>370</v>
      </c>
      <c r="M18" s="1" t="s">
        <v>574</v>
      </c>
      <c r="N18" s="1" t="s">
        <v>690</v>
      </c>
      <c r="O18" s="1" t="s">
        <v>292</v>
      </c>
      <c r="P18" s="1" t="s">
        <v>426</v>
      </c>
      <c r="Q18" s="1" t="s">
        <v>596</v>
      </c>
      <c r="R18" s="1" t="s">
        <v>315</v>
      </c>
      <c r="S18" s="1" t="s">
        <v>336</v>
      </c>
      <c r="T18" s="1" t="s">
        <v>578</v>
      </c>
      <c r="U18" s="1">
        <v>2012</v>
      </c>
      <c r="V18" s="1" t="s">
        <v>345</v>
      </c>
      <c r="W18" s="1" t="s">
        <v>315</v>
      </c>
      <c r="X18" s="1" t="s">
        <v>614</v>
      </c>
      <c r="Y18" s="1" t="s">
        <v>307</v>
      </c>
      <c r="Z18" s="1" t="s">
        <v>315</v>
      </c>
      <c r="AA18" s="1" t="s">
        <v>315</v>
      </c>
      <c r="AB18" s="1" t="s">
        <v>345</v>
      </c>
      <c r="AC18" s="1" t="s">
        <v>315</v>
      </c>
      <c r="AD18" s="1" t="s">
        <v>347</v>
      </c>
      <c r="AE18" s="1" t="s">
        <v>315</v>
      </c>
      <c r="AF18" s="1" t="s">
        <v>315</v>
      </c>
      <c r="AG18" s="1" t="s">
        <v>315</v>
      </c>
      <c r="AH18" s="1" t="s">
        <v>691</v>
      </c>
      <c r="AI18" s="1" t="s">
        <v>691</v>
      </c>
      <c r="AJ18" s="1" t="s">
        <v>697</v>
      </c>
      <c r="AK18" s="1" t="s">
        <v>584</v>
      </c>
      <c r="AL18" s="1" t="s">
        <v>315</v>
      </c>
      <c r="AM18" s="11">
        <v>0.495</v>
      </c>
      <c r="AN18" s="11" t="s">
        <v>315</v>
      </c>
      <c r="AO18" s="11">
        <v>5.7893580530717449E-2</v>
      </c>
      <c r="AP18" s="11">
        <v>4</v>
      </c>
      <c r="AQ18" s="11">
        <v>0.53666666666666663</v>
      </c>
      <c r="AR18" s="1" t="s">
        <v>315</v>
      </c>
      <c r="AS18" s="11">
        <v>9.4146887169127169E-2</v>
      </c>
      <c r="AT18" s="11">
        <v>3</v>
      </c>
      <c r="AU18" s="1" t="s">
        <v>1053</v>
      </c>
    </row>
    <row r="19" spans="1:47">
      <c r="A19" s="1">
        <v>8</v>
      </c>
      <c r="B19" s="1">
        <v>1</v>
      </c>
      <c r="C19" s="1" t="s">
        <v>57</v>
      </c>
      <c r="D19" s="1" t="s">
        <v>58</v>
      </c>
      <c r="E19" s="1" t="s">
        <v>59</v>
      </c>
      <c r="F19" s="1">
        <v>2016</v>
      </c>
      <c r="G19" s="1" t="s">
        <v>441</v>
      </c>
      <c r="H19" s="1" t="s">
        <v>687</v>
      </c>
      <c r="I19" s="1">
        <v>30.279878</v>
      </c>
      <c r="J19" s="1">
        <v>-115.913456</v>
      </c>
      <c r="K19" s="1" t="s">
        <v>364</v>
      </c>
      <c r="L19" s="1" t="s">
        <v>449</v>
      </c>
      <c r="M19" s="1" t="s">
        <v>574</v>
      </c>
      <c r="N19" s="1" t="s">
        <v>291</v>
      </c>
      <c r="O19" s="1" t="s">
        <v>671</v>
      </c>
      <c r="P19" s="1" t="s">
        <v>424</v>
      </c>
      <c r="Q19" s="1" t="s">
        <v>596</v>
      </c>
      <c r="R19" s="1" t="s">
        <v>315</v>
      </c>
      <c r="S19" s="1" t="s">
        <v>336</v>
      </c>
      <c r="T19" s="1" t="s">
        <v>610</v>
      </c>
      <c r="U19" s="1">
        <v>2015</v>
      </c>
      <c r="V19" s="1" t="s">
        <v>295</v>
      </c>
      <c r="W19" s="1" t="s">
        <v>674</v>
      </c>
      <c r="X19" s="1" t="s">
        <v>580</v>
      </c>
      <c r="Y19" s="1" t="s">
        <v>581</v>
      </c>
      <c r="Z19" s="1" t="s">
        <v>672</v>
      </c>
      <c r="AA19" s="1" t="s">
        <v>673</v>
      </c>
      <c r="AB19" s="1" t="s">
        <v>295</v>
      </c>
      <c r="AC19" s="1" t="s">
        <v>675</v>
      </c>
      <c r="AD19" s="1" t="s">
        <v>598</v>
      </c>
      <c r="AE19" s="1" t="s">
        <v>601</v>
      </c>
      <c r="AF19" s="1" t="s">
        <v>676</v>
      </c>
      <c r="AG19" s="1" t="s">
        <v>677</v>
      </c>
      <c r="AH19" s="1" t="s">
        <v>678</v>
      </c>
      <c r="AI19" s="1" t="s">
        <v>362</v>
      </c>
      <c r="AK19" s="1" t="s">
        <v>679</v>
      </c>
      <c r="AL19" s="1" t="s">
        <v>315</v>
      </c>
      <c r="AM19">
        <v>1071.6831683168291</v>
      </c>
      <c r="AN19">
        <v>33.717777808437795</v>
      </c>
      <c r="AO19" s="11" t="s">
        <v>315</v>
      </c>
      <c r="AP19" s="11">
        <v>4</v>
      </c>
      <c r="AQ19" s="12">
        <v>842.37623762375893</v>
      </c>
      <c r="AR19" s="12">
        <v>30.260607110755569</v>
      </c>
      <c r="AS19" s="11" t="s">
        <v>315</v>
      </c>
      <c r="AT19" s="11">
        <v>4</v>
      </c>
      <c r="AU19" s="11" t="s">
        <v>686</v>
      </c>
    </row>
    <row r="20" spans="1:47">
      <c r="A20" s="1">
        <v>9</v>
      </c>
      <c r="B20" s="1">
        <v>1</v>
      </c>
      <c r="C20" s="1" t="s">
        <v>60</v>
      </c>
      <c r="D20" s="1" t="s">
        <v>61</v>
      </c>
      <c r="E20" s="1" t="s">
        <v>62</v>
      </c>
      <c r="F20" s="1">
        <v>2016</v>
      </c>
      <c r="G20" s="1" t="s">
        <v>443</v>
      </c>
      <c r="H20" s="1" t="s">
        <v>444</v>
      </c>
      <c r="I20" s="1">
        <v>26.334697999999999</v>
      </c>
      <c r="J20" s="1">
        <v>-76.954438999999994</v>
      </c>
      <c r="K20" s="1" t="s">
        <v>363</v>
      </c>
      <c r="L20" s="1" t="s">
        <v>369</v>
      </c>
      <c r="M20" s="1" t="s">
        <v>574</v>
      </c>
      <c r="N20" s="1" t="s">
        <v>575</v>
      </c>
      <c r="O20" s="1" t="s">
        <v>791</v>
      </c>
      <c r="P20" s="1" t="s">
        <v>424</v>
      </c>
      <c r="Q20" s="1" t="s">
        <v>596</v>
      </c>
      <c r="R20" s="1" t="s">
        <v>315</v>
      </c>
      <c r="S20" s="1" t="s">
        <v>336</v>
      </c>
      <c r="T20" s="1" t="s">
        <v>597</v>
      </c>
      <c r="U20" s="1">
        <v>2013</v>
      </c>
      <c r="V20" s="1" t="s">
        <v>345</v>
      </c>
      <c r="W20" s="1" t="s">
        <v>315</v>
      </c>
      <c r="X20" s="1" t="s">
        <v>306</v>
      </c>
      <c r="Y20" s="1" t="s">
        <v>307</v>
      </c>
      <c r="Z20" s="1" t="s">
        <v>315</v>
      </c>
      <c r="AA20" s="1" t="s">
        <v>315</v>
      </c>
      <c r="AB20" s="1" t="s">
        <v>295</v>
      </c>
      <c r="AC20" s="1" t="s">
        <v>659</v>
      </c>
      <c r="AD20" s="1" t="s">
        <v>598</v>
      </c>
      <c r="AE20" s="1" t="s">
        <v>601</v>
      </c>
      <c r="AF20" s="1" t="s">
        <v>599</v>
      </c>
      <c r="AG20" s="1" t="s">
        <v>600</v>
      </c>
      <c r="AH20" s="1" t="s">
        <v>602</v>
      </c>
      <c r="AI20" s="1" t="s">
        <v>362</v>
      </c>
      <c r="AK20" s="1" t="s">
        <v>603</v>
      </c>
      <c r="AL20" s="1" t="s">
        <v>315</v>
      </c>
      <c r="AM20" s="1">
        <v>112.24489800000001</v>
      </c>
      <c r="AN20" s="1" t="s">
        <v>315</v>
      </c>
      <c r="AO20" s="1">
        <v>16.734693877550413</v>
      </c>
      <c r="AP20" s="1">
        <v>3</v>
      </c>
      <c r="AQ20" s="1">
        <v>91.020408163265301</v>
      </c>
      <c r="AR20" s="1" t="s">
        <v>315</v>
      </c>
      <c r="AS20" s="1">
        <v>71.836734693877503</v>
      </c>
      <c r="AT20" s="1">
        <v>3</v>
      </c>
      <c r="AU20" s="1" t="s">
        <v>606</v>
      </c>
    </row>
    <row r="21" spans="1:47">
      <c r="A21" s="1">
        <v>9</v>
      </c>
      <c r="B21" s="1">
        <v>2</v>
      </c>
      <c r="C21" s="1" t="s">
        <v>60</v>
      </c>
      <c r="D21" s="1" t="s">
        <v>61</v>
      </c>
      <c r="E21" s="1" t="s">
        <v>62</v>
      </c>
      <c r="F21" s="1">
        <v>2016</v>
      </c>
      <c r="G21" s="1" t="s">
        <v>443</v>
      </c>
      <c r="H21" s="1" t="s">
        <v>444</v>
      </c>
      <c r="I21" s="1">
        <v>26.334697999999999</v>
      </c>
      <c r="J21" s="1">
        <v>-76.954438999999994</v>
      </c>
      <c r="K21" s="1" t="s">
        <v>363</v>
      </c>
      <c r="L21" s="1" t="s">
        <v>369</v>
      </c>
      <c r="M21" s="1" t="s">
        <v>574</v>
      </c>
      <c r="N21" s="1" t="s">
        <v>575</v>
      </c>
      <c r="O21" s="1" t="s">
        <v>791</v>
      </c>
      <c r="P21" s="1" t="s">
        <v>424</v>
      </c>
      <c r="Q21" s="1" t="s">
        <v>596</v>
      </c>
      <c r="R21" s="1" t="s">
        <v>315</v>
      </c>
      <c r="S21" s="1" t="s">
        <v>336</v>
      </c>
      <c r="T21" s="1" t="s">
        <v>597</v>
      </c>
      <c r="U21" s="1">
        <v>2013</v>
      </c>
      <c r="V21" s="1" t="s">
        <v>345</v>
      </c>
      <c r="W21" s="1" t="s">
        <v>315</v>
      </c>
      <c r="X21" s="1" t="s">
        <v>306</v>
      </c>
      <c r="Y21" s="1" t="s">
        <v>307</v>
      </c>
      <c r="Z21" s="1" t="s">
        <v>315</v>
      </c>
      <c r="AA21" s="1" t="s">
        <v>315</v>
      </c>
      <c r="AB21" s="1" t="s">
        <v>295</v>
      </c>
      <c r="AC21" s="1" t="s">
        <v>659</v>
      </c>
      <c r="AD21" s="1" t="s">
        <v>598</v>
      </c>
      <c r="AE21" s="1" t="s">
        <v>601</v>
      </c>
      <c r="AF21" s="1" t="s">
        <v>599</v>
      </c>
      <c r="AG21" s="1" t="s">
        <v>600</v>
      </c>
      <c r="AH21" s="1" t="s">
        <v>602</v>
      </c>
      <c r="AI21" s="1" t="s">
        <v>362</v>
      </c>
      <c r="AK21" s="1" t="s">
        <v>604</v>
      </c>
      <c r="AL21" s="1" t="s">
        <v>315</v>
      </c>
      <c r="AM21" s="1">
        <v>44.184782608695599</v>
      </c>
      <c r="AN21" s="1" t="s">
        <v>315</v>
      </c>
      <c r="AO21" s="1">
        <v>10.054347826086996</v>
      </c>
      <c r="AP21" s="1">
        <v>3</v>
      </c>
      <c r="AQ21" s="1">
        <v>15.380434782608599</v>
      </c>
      <c r="AR21" s="1" t="s">
        <v>315</v>
      </c>
      <c r="AS21" s="1">
        <v>3.5326086956520992</v>
      </c>
      <c r="AT21" s="1">
        <v>3</v>
      </c>
      <c r="AU21" s="1" t="s">
        <v>606</v>
      </c>
    </row>
    <row r="22" spans="1:47">
      <c r="A22" s="1">
        <v>9</v>
      </c>
      <c r="B22" s="1">
        <v>3</v>
      </c>
      <c r="C22" s="1" t="s">
        <v>60</v>
      </c>
      <c r="D22" s="1" t="s">
        <v>61</v>
      </c>
      <c r="E22" s="1" t="s">
        <v>62</v>
      </c>
      <c r="F22" s="1">
        <v>2016</v>
      </c>
      <c r="G22" s="1" t="s">
        <v>443</v>
      </c>
      <c r="H22" s="1" t="s">
        <v>444</v>
      </c>
      <c r="I22" s="1">
        <v>26.334697999999999</v>
      </c>
      <c r="J22" s="1">
        <v>-76.954438999999994</v>
      </c>
      <c r="K22" s="1" t="s">
        <v>363</v>
      </c>
      <c r="L22" s="1" t="s">
        <v>369</v>
      </c>
      <c r="M22" s="1" t="s">
        <v>574</v>
      </c>
      <c r="N22" s="1" t="s">
        <v>575</v>
      </c>
      <c r="O22" s="1" t="s">
        <v>791</v>
      </c>
      <c r="P22" s="1" t="s">
        <v>424</v>
      </c>
      <c r="Q22" s="1" t="s">
        <v>596</v>
      </c>
      <c r="R22" s="1" t="s">
        <v>315</v>
      </c>
      <c r="S22" s="1" t="s">
        <v>336</v>
      </c>
      <c r="T22" s="1" t="s">
        <v>597</v>
      </c>
      <c r="U22" s="1">
        <v>2013</v>
      </c>
      <c r="V22" s="1" t="s">
        <v>345</v>
      </c>
      <c r="W22" s="1" t="s">
        <v>315</v>
      </c>
      <c r="X22" s="1" t="s">
        <v>306</v>
      </c>
      <c r="Y22" s="1" t="s">
        <v>307</v>
      </c>
      <c r="Z22" s="1" t="s">
        <v>315</v>
      </c>
      <c r="AA22" s="1" t="s">
        <v>315</v>
      </c>
      <c r="AB22" s="1" t="s">
        <v>295</v>
      </c>
      <c r="AC22" s="1" t="s">
        <v>659</v>
      </c>
      <c r="AD22" s="1" t="s">
        <v>598</v>
      </c>
      <c r="AE22" s="1" t="s">
        <v>601</v>
      </c>
      <c r="AF22" s="1" t="s">
        <v>599</v>
      </c>
      <c r="AG22" s="1" t="s">
        <v>600</v>
      </c>
      <c r="AH22" s="1" t="s">
        <v>602</v>
      </c>
      <c r="AI22" s="1" t="s">
        <v>362</v>
      </c>
      <c r="AK22" s="1" t="s">
        <v>605</v>
      </c>
      <c r="AL22" s="1" t="s">
        <v>315</v>
      </c>
      <c r="AM22" s="1">
        <v>244.73684210526301</v>
      </c>
      <c r="AN22" s="1" t="s">
        <v>315</v>
      </c>
      <c r="AO22" s="1">
        <v>28.19548872180502</v>
      </c>
      <c r="AP22" s="1">
        <v>3</v>
      </c>
      <c r="AQ22" s="1">
        <v>177.067669172932</v>
      </c>
      <c r="AR22" s="1" t="s">
        <v>315</v>
      </c>
      <c r="AS22" s="1">
        <v>29.323308270676989</v>
      </c>
      <c r="AT22" s="1">
        <v>3</v>
      </c>
      <c r="AU22" s="1" t="s">
        <v>606</v>
      </c>
    </row>
    <row r="23" spans="1:47">
      <c r="A23" s="1">
        <v>10</v>
      </c>
      <c r="B23" s="1">
        <v>1</v>
      </c>
      <c r="C23" s="1" t="s">
        <v>63</v>
      </c>
      <c r="D23" s="1" t="s">
        <v>64</v>
      </c>
      <c r="E23" s="1" t="s">
        <v>32</v>
      </c>
      <c r="F23" s="1">
        <v>2016</v>
      </c>
      <c r="G23" s="1" t="s">
        <v>445</v>
      </c>
      <c r="H23" s="1" t="s">
        <v>446</v>
      </c>
      <c r="I23" s="1">
        <v>47.328144000000002</v>
      </c>
      <c r="J23" s="1">
        <v>-61.790816</v>
      </c>
      <c r="K23" s="1" t="s">
        <v>367</v>
      </c>
      <c r="L23" s="1" t="s">
        <v>368</v>
      </c>
      <c r="M23" s="1" t="s">
        <v>574</v>
      </c>
      <c r="N23" s="1" t="s">
        <v>575</v>
      </c>
      <c r="O23" s="1" t="s">
        <v>791</v>
      </c>
      <c r="P23" s="1" t="s">
        <v>338</v>
      </c>
      <c r="Q23" s="1" t="s">
        <v>332</v>
      </c>
      <c r="R23" s="1" t="s">
        <v>577</v>
      </c>
      <c r="S23" s="1" t="s">
        <v>336</v>
      </c>
      <c r="T23" s="1" t="s">
        <v>578</v>
      </c>
      <c r="U23" s="1">
        <v>2010</v>
      </c>
      <c r="V23" s="1" t="s">
        <v>295</v>
      </c>
      <c r="W23" s="1" t="s">
        <v>579</v>
      </c>
      <c r="X23" s="1" t="s">
        <v>580</v>
      </c>
      <c r="Y23" s="1" t="s">
        <v>581</v>
      </c>
      <c r="Z23" s="1" t="s">
        <v>582</v>
      </c>
      <c r="AA23" s="1" t="s">
        <v>583</v>
      </c>
      <c r="AB23" s="1" t="s">
        <v>345</v>
      </c>
      <c r="AC23" s="1" t="s">
        <v>315</v>
      </c>
      <c r="AD23" s="1" t="s">
        <v>347</v>
      </c>
      <c r="AE23" s="1" t="s">
        <v>315</v>
      </c>
      <c r="AF23" s="1" t="s">
        <v>315</v>
      </c>
      <c r="AG23" s="1" t="s">
        <v>315</v>
      </c>
      <c r="AH23" s="1" t="s">
        <v>585</v>
      </c>
      <c r="AI23" s="11" t="s">
        <v>585</v>
      </c>
      <c r="AJ23" s="11" t="s">
        <v>587</v>
      </c>
      <c r="AK23" s="11" t="s">
        <v>584</v>
      </c>
      <c r="AL23" s="11" t="s">
        <v>315</v>
      </c>
      <c r="AM23" s="11">
        <v>5.2</v>
      </c>
      <c r="AN23" s="11" t="s">
        <v>315</v>
      </c>
      <c r="AO23" s="11">
        <v>1.58</v>
      </c>
      <c r="AP23" s="11">
        <v>12</v>
      </c>
      <c r="AQ23" s="11">
        <v>6</v>
      </c>
      <c r="AR23" s="11" t="s">
        <v>315</v>
      </c>
      <c r="AS23" s="11">
        <v>1.26</v>
      </c>
      <c r="AT23" s="11">
        <v>12</v>
      </c>
      <c r="AU23" s="1" t="s">
        <v>832</v>
      </c>
    </row>
    <row r="24" spans="1:47">
      <c r="A24" s="1">
        <v>11</v>
      </c>
      <c r="B24" s="1">
        <v>1</v>
      </c>
      <c r="C24" s="1" t="s">
        <v>65</v>
      </c>
      <c r="D24" s="1" t="s">
        <v>66</v>
      </c>
      <c r="E24" s="1" t="s">
        <v>67</v>
      </c>
      <c r="F24" s="1">
        <v>2015</v>
      </c>
      <c r="G24" s="1" t="s">
        <v>447</v>
      </c>
      <c r="H24" s="1" t="s">
        <v>448</v>
      </c>
      <c r="I24" s="1">
        <v>24.992799999999999</v>
      </c>
      <c r="J24" s="1">
        <v>-80.408799999999999</v>
      </c>
      <c r="K24" s="1" t="s">
        <v>366</v>
      </c>
      <c r="L24" s="1" t="s">
        <v>365</v>
      </c>
      <c r="M24" s="1" t="s">
        <v>574</v>
      </c>
      <c r="N24" s="1" t="s">
        <v>575</v>
      </c>
      <c r="O24" s="1" t="s">
        <v>791</v>
      </c>
      <c r="P24" s="1" t="s">
        <v>424</v>
      </c>
      <c r="Q24" s="1" t="s">
        <v>589</v>
      </c>
      <c r="R24" s="1" t="s">
        <v>315</v>
      </c>
      <c r="S24" s="1" t="s">
        <v>336</v>
      </c>
      <c r="T24" s="1" t="s">
        <v>578</v>
      </c>
      <c r="U24" s="1">
        <v>2013</v>
      </c>
      <c r="V24" s="1" t="s">
        <v>313</v>
      </c>
      <c r="W24" s="1" t="s">
        <v>590</v>
      </c>
      <c r="X24" s="1" t="s">
        <v>306</v>
      </c>
      <c r="Y24" s="1" t="s">
        <v>307</v>
      </c>
      <c r="Z24" s="1" t="s">
        <v>315</v>
      </c>
      <c r="AA24" s="1" t="s">
        <v>315</v>
      </c>
      <c r="AB24" s="1" t="s">
        <v>295</v>
      </c>
      <c r="AC24" s="1" t="s">
        <v>649</v>
      </c>
      <c r="AD24" s="1" t="s">
        <v>308</v>
      </c>
      <c r="AE24" s="1" t="s">
        <v>309</v>
      </c>
      <c r="AF24" s="1" t="s">
        <v>591</v>
      </c>
      <c r="AG24" s="1" t="s">
        <v>592</v>
      </c>
      <c r="AH24" s="1" t="s">
        <v>593</v>
      </c>
      <c r="AI24" s="1" t="s">
        <v>362</v>
      </c>
      <c r="AK24" s="1" t="s">
        <v>594</v>
      </c>
      <c r="AL24" s="1" t="s">
        <v>315</v>
      </c>
      <c r="AM24" s="1">
        <v>1.05</v>
      </c>
      <c r="AN24" s="1">
        <v>0.15945945945945006</v>
      </c>
      <c r="AO24" s="1" t="s">
        <v>315</v>
      </c>
      <c r="AP24" s="1">
        <v>18</v>
      </c>
      <c r="AQ24" s="1">
        <v>0.6</v>
      </c>
      <c r="AR24" s="1">
        <v>9.054054054054006E-2</v>
      </c>
      <c r="AS24" s="1" t="s">
        <v>315</v>
      </c>
      <c r="AT24" s="1">
        <v>28</v>
      </c>
      <c r="AU24" s="1" t="s">
        <v>595</v>
      </c>
    </row>
    <row r="25" spans="1:47">
      <c r="A25" s="1">
        <v>12</v>
      </c>
      <c r="B25" s="1">
        <v>1</v>
      </c>
      <c r="C25" s="1" t="s">
        <v>71</v>
      </c>
      <c r="D25" s="1" t="s">
        <v>72</v>
      </c>
      <c r="E25" s="1" t="s">
        <v>70</v>
      </c>
      <c r="F25" s="1">
        <v>2015</v>
      </c>
      <c r="G25" s="1" t="s">
        <v>450</v>
      </c>
      <c r="H25" s="1" t="s">
        <v>451</v>
      </c>
      <c r="I25" s="1">
        <v>26.029993000000001</v>
      </c>
      <c r="J25" s="1">
        <v>-77.379904999999994</v>
      </c>
      <c r="K25" s="1" t="s">
        <v>363</v>
      </c>
      <c r="L25" s="1" t="s">
        <v>382</v>
      </c>
      <c r="M25" s="1" t="s">
        <v>574</v>
      </c>
      <c r="N25" s="1" t="s">
        <v>575</v>
      </c>
      <c r="O25" s="1" t="s">
        <v>791</v>
      </c>
      <c r="P25" s="1" t="s">
        <v>424</v>
      </c>
      <c r="Q25" s="1" t="s">
        <v>333</v>
      </c>
      <c r="R25" s="1" t="s">
        <v>315</v>
      </c>
      <c r="S25" s="1" t="s">
        <v>336</v>
      </c>
      <c r="T25" s="1" t="s">
        <v>578</v>
      </c>
      <c r="U25" s="1">
        <v>2013</v>
      </c>
      <c r="V25" s="1" t="s">
        <v>295</v>
      </c>
      <c r="W25" s="1" t="s">
        <v>660</v>
      </c>
      <c r="X25" s="1" t="s">
        <v>661</v>
      </c>
      <c r="Y25" s="1" t="s">
        <v>662</v>
      </c>
      <c r="Z25" s="1" t="s">
        <v>663</v>
      </c>
      <c r="AA25" s="1" t="s">
        <v>664</v>
      </c>
      <c r="AB25" s="1" t="s">
        <v>295</v>
      </c>
      <c r="AC25" s="1" t="s">
        <v>659</v>
      </c>
      <c r="AD25" s="1" t="s">
        <v>598</v>
      </c>
      <c r="AE25" s="1" t="s">
        <v>601</v>
      </c>
      <c r="AF25" s="1" t="s">
        <v>599</v>
      </c>
      <c r="AG25" s="1" t="s">
        <v>600</v>
      </c>
      <c r="AH25" s="1" t="s">
        <v>593</v>
      </c>
      <c r="AI25" s="1" t="s">
        <v>362</v>
      </c>
      <c r="AK25" s="1" t="s">
        <v>318</v>
      </c>
      <c r="AL25" s="1" t="s">
        <v>315</v>
      </c>
      <c r="AM25" s="1">
        <v>0.68257372654155501</v>
      </c>
      <c r="AN25" s="1">
        <v>0.27077747989276102</v>
      </c>
      <c r="AO25" s="1" t="s">
        <v>315</v>
      </c>
      <c r="AP25" s="1">
        <v>25</v>
      </c>
      <c r="AQ25" s="1">
        <v>0.48954423592493201</v>
      </c>
      <c r="AR25" s="1">
        <v>0.21983914209115296</v>
      </c>
      <c r="AS25" s="1" t="s">
        <v>315</v>
      </c>
      <c r="AT25" s="1">
        <v>25</v>
      </c>
      <c r="AU25" s="1" t="s">
        <v>665</v>
      </c>
    </row>
    <row r="26" spans="1:47">
      <c r="A26" s="1">
        <v>13</v>
      </c>
      <c r="B26" s="11">
        <v>1</v>
      </c>
      <c r="C26" s="1" t="s">
        <v>73</v>
      </c>
      <c r="D26" s="1" t="s">
        <v>74</v>
      </c>
      <c r="E26" s="1" t="s">
        <v>75</v>
      </c>
      <c r="F26" s="1">
        <v>2014</v>
      </c>
      <c r="G26" s="1" t="s">
        <v>452</v>
      </c>
      <c r="H26" s="1" t="s">
        <v>453</v>
      </c>
      <c r="I26" s="1">
        <v>-23.5</v>
      </c>
      <c r="J26" s="1">
        <v>152.1</v>
      </c>
      <c r="K26" s="1" t="s">
        <v>375</v>
      </c>
      <c r="L26" s="1" t="s">
        <v>383</v>
      </c>
      <c r="M26" s="1" t="s">
        <v>645</v>
      </c>
      <c r="N26" s="1" t="s">
        <v>291</v>
      </c>
      <c r="O26" s="1" t="s">
        <v>292</v>
      </c>
      <c r="P26" s="1" t="s">
        <v>294</v>
      </c>
      <c r="Q26" s="1" t="s">
        <v>332</v>
      </c>
      <c r="S26" s="1" t="s">
        <v>336</v>
      </c>
      <c r="T26" s="11" t="s">
        <v>870</v>
      </c>
      <c r="U26" s="11">
        <v>2012</v>
      </c>
      <c r="V26" s="1" t="s">
        <v>295</v>
      </c>
      <c r="W26" s="1" t="s">
        <v>794</v>
      </c>
      <c r="X26" s="1" t="s">
        <v>306</v>
      </c>
      <c r="Y26" s="1" t="s">
        <v>307</v>
      </c>
      <c r="Z26" s="1" t="s">
        <v>895</v>
      </c>
      <c r="AA26" s="1" t="s">
        <v>896</v>
      </c>
      <c r="AB26" s="1" t="s">
        <v>295</v>
      </c>
      <c r="AC26" s="1" t="s">
        <v>724</v>
      </c>
      <c r="AD26" s="1" t="s">
        <v>308</v>
      </c>
      <c r="AE26" s="1" t="s">
        <v>309</v>
      </c>
      <c r="AF26" s="1" t="s">
        <v>722</v>
      </c>
      <c r="AG26" s="1" t="s">
        <v>995</v>
      </c>
      <c r="AH26" s="1" t="s">
        <v>593</v>
      </c>
      <c r="AI26" s="1" t="s">
        <v>362</v>
      </c>
      <c r="AJ26" s="1" t="s">
        <v>799</v>
      </c>
      <c r="AK26" s="1" t="s">
        <v>318</v>
      </c>
      <c r="AL26" s="1" t="s">
        <v>670</v>
      </c>
      <c r="AM26">
        <v>0.1482718894009212</v>
      </c>
      <c r="AN26" t="s">
        <v>315</v>
      </c>
      <c r="AO26">
        <v>7.9107028316019817E-2</v>
      </c>
      <c r="AP26">
        <v>8</v>
      </c>
      <c r="AQ26">
        <v>0.29253456221198099</v>
      </c>
      <c r="AR26" t="s">
        <v>315</v>
      </c>
      <c r="AS26">
        <v>8.8768249261310772E-2</v>
      </c>
      <c r="AT26">
        <v>5</v>
      </c>
      <c r="AU26" s="1" t="s">
        <v>1002</v>
      </c>
    </row>
    <row r="27" spans="1:47">
      <c r="A27" s="1">
        <v>13</v>
      </c>
      <c r="B27" s="11">
        <v>2</v>
      </c>
      <c r="C27" s="1" t="s">
        <v>73</v>
      </c>
      <c r="D27" s="1" t="s">
        <v>74</v>
      </c>
      <c r="E27" s="1" t="s">
        <v>75</v>
      </c>
      <c r="F27" s="1">
        <v>2014</v>
      </c>
      <c r="G27" s="1" t="s">
        <v>452</v>
      </c>
      <c r="H27" s="1" t="s">
        <v>453</v>
      </c>
      <c r="I27" s="1">
        <v>-23.5</v>
      </c>
      <c r="J27" s="1">
        <v>152.1</v>
      </c>
      <c r="K27" s="1" t="s">
        <v>375</v>
      </c>
      <c r="L27" s="1" t="s">
        <v>383</v>
      </c>
      <c r="M27" s="1" t="s">
        <v>645</v>
      </c>
      <c r="N27" s="1" t="s">
        <v>291</v>
      </c>
      <c r="O27" s="1" t="s">
        <v>292</v>
      </c>
      <c r="P27" s="1" t="s">
        <v>294</v>
      </c>
      <c r="Q27" s="1" t="s">
        <v>332</v>
      </c>
      <c r="S27" s="1" t="s">
        <v>336</v>
      </c>
      <c r="T27" s="11" t="s">
        <v>870</v>
      </c>
      <c r="U27" s="11">
        <v>2012</v>
      </c>
      <c r="V27" s="1" t="s">
        <v>295</v>
      </c>
      <c r="W27" s="1" t="s">
        <v>794</v>
      </c>
      <c r="X27" s="1" t="s">
        <v>306</v>
      </c>
      <c r="Y27" s="1" t="s">
        <v>307</v>
      </c>
      <c r="Z27" s="1" t="s">
        <v>895</v>
      </c>
      <c r="AA27" s="1" t="s">
        <v>896</v>
      </c>
      <c r="AB27" s="1" t="s">
        <v>295</v>
      </c>
      <c r="AC27" s="1" t="s">
        <v>724</v>
      </c>
      <c r="AD27" s="1" t="s">
        <v>308</v>
      </c>
      <c r="AE27" s="1" t="s">
        <v>309</v>
      </c>
      <c r="AF27" s="1" t="s">
        <v>722</v>
      </c>
      <c r="AG27" s="1" t="s">
        <v>995</v>
      </c>
      <c r="AH27" s="1" t="s">
        <v>593</v>
      </c>
      <c r="AI27" s="1" t="s">
        <v>362</v>
      </c>
      <c r="AJ27" s="1" t="s">
        <v>799</v>
      </c>
      <c r="AK27" s="1" t="s">
        <v>318</v>
      </c>
      <c r="AL27" s="1" t="s">
        <v>670</v>
      </c>
      <c r="AM27">
        <v>0.20202764976958482</v>
      </c>
      <c r="AN27" t="s">
        <v>315</v>
      </c>
      <c r="AO27">
        <v>0.1270018946939728</v>
      </c>
      <c r="AP27">
        <v>15</v>
      </c>
      <c r="AQ27">
        <v>0.17281105990783374</v>
      </c>
      <c r="AR27" t="s">
        <v>315</v>
      </c>
      <c r="AS27">
        <v>0.13547984032912938</v>
      </c>
      <c r="AT27">
        <v>8</v>
      </c>
      <c r="AU27" s="1" t="s">
        <v>1002</v>
      </c>
    </row>
    <row r="28" spans="1:47">
      <c r="A28" s="1">
        <v>13</v>
      </c>
      <c r="B28" s="11">
        <v>3</v>
      </c>
      <c r="C28" s="1" t="s">
        <v>73</v>
      </c>
      <c r="D28" s="1" t="s">
        <v>74</v>
      </c>
      <c r="E28" s="1" t="s">
        <v>75</v>
      </c>
      <c r="F28" s="1">
        <v>2014</v>
      </c>
      <c r="G28" s="1" t="s">
        <v>452</v>
      </c>
      <c r="H28" s="1" t="s">
        <v>453</v>
      </c>
      <c r="I28" s="1">
        <v>-23.5</v>
      </c>
      <c r="J28" s="1">
        <v>152.1</v>
      </c>
      <c r="K28" s="1" t="s">
        <v>375</v>
      </c>
      <c r="L28" s="1" t="s">
        <v>383</v>
      </c>
      <c r="M28" s="1" t="s">
        <v>645</v>
      </c>
      <c r="N28" s="1" t="s">
        <v>291</v>
      </c>
      <c r="O28" s="1" t="s">
        <v>292</v>
      </c>
      <c r="P28" s="1" t="s">
        <v>294</v>
      </c>
      <c r="Q28" s="1" t="s">
        <v>332</v>
      </c>
      <c r="S28" s="1" t="s">
        <v>336</v>
      </c>
      <c r="T28" s="11" t="s">
        <v>870</v>
      </c>
      <c r="U28" s="11">
        <v>2012</v>
      </c>
      <c r="V28" s="1" t="s">
        <v>295</v>
      </c>
      <c r="W28" s="1" t="s">
        <v>794</v>
      </c>
      <c r="X28" s="1" t="s">
        <v>306</v>
      </c>
      <c r="Y28" s="1" t="s">
        <v>307</v>
      </c>
      <c r="Z28" s="1" t="s">
        <v>895</v>
      </c>
      <c r="AA28" s="1" t="s">
        <v>896</v>
      </c>
      <c r="AB28" s="1" t="s">
        <v>295</v>
      </c>
      <c r="AC28" s="1" t="s">
        <v>724</v>
      </c>
      <c r="AD28" s="1" t="s">
        <v>308</v>
      </c>
      <c r="AE28" s="1" t="s">
        <v>309</v>
      </c>
      <c r="AF28" s="1" t="s">
        <v>722</v>
      </c>
      <c r="AG28" s="1" t="s">
        <v>995</v>
      </c>
      <c r="AH28" s="1" t="s">
        <v>593</v>
      </c>
      <c r="AI28" s="1" t="s">
        <v>362</v>
      </c>
      <c r="AJ28" s="1" t="s">
        <v>799</v>
      </c>
      <c r="AK28" s="1" t="s">
        <v>318</v>
      </c>
      <c r="AL28" s="1" t="s">
        <v>670</v>
      </c>
      <c r="AM28">
        <v>0.26912442396313302</v>
      </c>
      <c r="AN28" t="s">
        <v>315</v>
      </c>
      <c r="AO28">
        <v>7.539316979411595E-2</v>
      </c>
      <c r="AP28">
        <v>9</v>
      </c>
      <c r="AQ28">
        <v>0.14654377880184302</v>
      </c>
      <c r="AR28" t="s">
        <v>315</v>
      </c>
      <c r="AS28">
        <v>2.8061451332052293E-2</v>
      </c>
      <c r="AT28">
        <v>3</v>
      </c>
      <c r="AU28" s="1" t="s">
        <v>1002</v>
      </c>
    </row>
    <row r="29" spans="1:47">
      <c r="A29" s="1">
        <v>13</v>
      </c>
      <c r="B29" s="11">
        <v>4</v>
      </c>
      <c r="C29" s="1" t="s">
        <v>73</v>
      </c>
      <c r="D29" s="1" t="s">
        <v>74</v>
      </c>
      <c r="E29" s="1" t="s">
        <v>75</v>
      </c>
      <c r="F29" s="1">
        <v>2014</v>
      </c>
      <c r="G29" s="1" t="s">
        <v>452</v>
      </c>
      <c r="H29" s="1" t="s">
        <v>453</v>
      </c>
      <c r="I29" s="1">
        <v>-23.5</v>
      </c>
      <c r="J29" s="1">
        <v>152.1</v>
      </c>
      <c r="K29" s="1" t="s">
        <v>375</v>
      </c>
      <c r="L29" s="1" t="s">
        <v>383</v>
      </c>
      <c r="M29" s="1" t="s">
        <v>645</v>
      </c>
      <c r="N29" s="1" t="s">
        <v>291</v>
      </c>
      <c r="O29" s="1" t="s">
        <v>292</v>
      </c>
      <c r="P29" s="1" t="s">
        <v>294</v>
      </c>
      <c r="Q29" s="1" t="s">
        <v>332</v>
      </c>
      <c r="S29" s="1" t="s">
        <v>336</v>
      </c>
      <c r="T29" s="11" t="s">
        <v>870</v>
      </c>
      <c r="U29" s="11">
        <v>2012</v>
      </c>
      <c r="V29" s="1" t="s">
        <v>295</v>
      </c>
      <c r="W29" s="1" t="s">
        <v>794</v>
      </c>
      <c r="X29" s="1" t="s">
        <v>306</v>
      </c>
      <c r="Y29" s="1" t="s">
        <v>307</v>
      </c>
      <c r="Z29" s="1" t="s">
        <v>895</v>
      </c>
      <c r="AA29" s="1" t="s">
        <v>896</v>
      </c>
      <c r="AB29" s="1" t="s">
        <v>295</v>
      </c>
      <c r="AC29" s="1" t="s">
        <v>724</v>
      </c>
      <c r="AD29" s="1" t="s">
        <v>308</v>
      </c>
      <c r="AE29" s="1" t="s">
        <v>309</v>
      </c>
      <c r="AF29" s="1" t="s">
        <v>722</v>
      </c>
      <c r="AG29" s="1" t="s">
        <v>995</v>
      </c>
      <c r="AH29" s="1" t="s">
        <v>593</v>
      </c>
      <c r="AI29" s="1" t="s">
        <v>362</v>
      </c>
      <c r="AJ29" s="1" t="s">
        <v>799</v>
      </c>
      <c r="AK29" s="1" t="s">
        <v>318</v>
      </c>
      <c r="AL29" s="1" t="s">
        <v>670</v>
      </c>
      <c r="AM29">
        <v>0.16559139784946175</v>
      </c>
      <c r="AN29" t="s">
        <v>315</v>
      </c>
      <c r="AO29">
        <v>8.7648509684839587E-2</v>
      </c>
      <c r="AP29">
        <v>9</v>
      </c>
      <c r="AQ29">
        <v>0.13686635944700393</v>
      </c>
      <c r="AR29" t="s">
        <v>315</v>
      </c>
      <c r="AS29">
        <v>9.1104487306041884E-2</v>
      </c>
      <c r="AT29">
        <v>4</v>
      </c>
      <c r="AU29" s="1" t="s">
        <v>1002</v>
      </c>
    </row>
    <row r="30" spans="1:47">
      <c r="A30" s="1">
        <v>13</v>
      </c>
      <c r="B30" s="11">
        <v>5</v>
      </c>
      <c r="C30" s="1" t="s">
        <v>73</v>
      </c>
      <c r="D30" s="1" t="s">
        <v>74</v>
      </c>
      <c r="E30" s="1" t="s">
        <v>75</v>
      </c>
      <c r="F30" s="1">
        <v>2014</v>
      </c>
      <c r="G30" s="1" t="s">
        <v>452</v>
      </c>
      <c r="H30" s="1" t="s">
        <v>453</v>
      </c>
      <c r="I30" s="1">
        <v>-23.5</v>
      </c>
      <c r="J30" s="1">
        <v>152.1</v>
      </c>
      <c r="K30" s="1" t="s">
        <v>375</v>
      </c>
      <c r="L30" s="1" t="s">
        <v>383</v>
      </c>
      <c r="M30" s="1" t="s">
        <v>645</v>
      </c>
      <c r="N30" s="1" t="s">
        <v>291</v>
      </c>
      <c r="O30" s="1" t="s">
        <v>292</v>
      </c>
      <c r="P30" s="1" t="s">
        <v>294</v>
      </c>
      <c r="Q30" s="1" t="s">
        <v>332</v>
      </c>
      <c r="S30" s="1" t="s">
        <v>336</v>
      </c>
      <c r="T30" s="11" t="s">
        <v>870</v>
      </c>
      <c r="U30" s="11">
        <v>2012</v>
      </c>
      <c r="V30" s="1" t="s">
        <v>295</v>
      </c>
      <c r="W30" s="1" t="s">
        <v>794</v>
      </c>
      <c r="X30" s="1" t="s">
        <v>306</v>
      </c>
      <c r="Y30" s="1" t="s">
        <v>307</v>
      </c>
      <c r="Z30" s="1" t="s">
        <v>895</v>
      </c>
      <c r="AA30" s="1" t="s">
        <v>896</v>
      </c>
      <c r="AB30" s="1" t="s">
        <v>295</v>
      </c>
      <c r="AC30" s="1" t="s">
        <v>724</v>
      </c>
      <c r="AD30" s="1" t="s">
        <v>308</v>
      </c>
      <c r="AE30" s="1" t="s">
        <v>309</v>
      </c>
      <c r="AF30" s="1" t="s">
        <v>722</v>
      </c>
      <c r="AG30" s="1" t="s">
        <v>995</v>
      </c>
      <c r="AH30" s="1" t="s">
        <v>593</v>
      </c>
      <c r="AI30" s="1" t="s">
        <v>362</v>
      </c>
      <c r="AJ30" s="1" t="s">
        <v>799</v>
      </c>
      <c r="AK30" s="1" t="s">
        <v>318</v>
      </c>
      <c r="AL30" s="1" t="s">
        <v>670</v>
      </c>
      <c r="AM30">
        <v>0.25038402457757236</v>
      </c>
      <c r="AN30" t="s">
        <v>315</v>
      </c>
      <c r="AO30">
        <v>0.1637598955916621</v>
      </c>
      <c r="AP30">
        <v>9</v>
      </c>
      <c r="AQ30">
        <v>0.21497695852534501</v>
      </c>
      <c r="AR30" t="s">
        <v>315</v>
      </c>
      <c r="AS30">
        <v>5.3059468375287168E-2</v>
      </c>
      <c r="AT30">
        <v>4</v>
      </c>
      <c r="AU30" s="1" t="s">
        <v>1002</v>
      </c>
    </row>
    <row r="31" spans="1:47">
      <c r="A31" s="1">
        <v>14</v>
      </c>
      <c r="B31" s="11">
        <v>1</v>
      </c>
      <c r="C31" s="11" t="s">
        <v>84</v>
      </c>
      <c r="D31" s="1" t="s">
        <v>85</v>
      </c>
      <c r="E31" s="1" t="s">
        <v>86</v>
      </c>
      <c r="F31" s="1">
        <v>2014</v>
      </c>
      <c r="G31" s="1" t="s">
        <v>458</v>
      </c>
      <c r="H31" s="1" t="s">
        <v>459</v>
      </c>
      <c r="I31" s="1">
        <v>23.796953999999999</v>
      </c>
      <c r="J31" s="1">
        <v>-76.130757000000003</v>
      </c>
      <c r="K31" s="1" t="s">
        <v>363</v>
      </c>
      <c r="L31" s="1" t="s">
        <v>387</v>
      </c>
      <c r="M31" s="1" t="s">
        <v>574</v>
      </c>
      <c r="N31" s="1" t="s">
        <v>575</v>
      </c>
      <c r="O31" s="1" t="s">
        <v>791</v>
      </c>
      <c r="P31" s="1" t="s">
        <v>294</v>
      </c>
      <c r="Q31" s="1" t="s">
        <v>1100</v>
      </c>
      <c r="R31" s="1" t="s">
        <v>315</v>
      </c>
      <c r="S31" s="1" t="s">
        <v>336</v>
      </c>
      <c r="T31" s="1" t="s">
        <v>578</v>
      </c>
      <c r="U31" s="1">
        <v>2009</v>
      </c>
      <c r="V31" s="1" t="s">
        <v>295</v>
      </c>
      <c r="W31" s="1" t="s">
        <v>1103</v>
      </c>
      <c r="X31" s="1" t="s">
        <v>661</v>
      </c>
      <c r="Y31" s="1" t="s">
        <v>662</v>
      </c>
      <c r="Z31" s="1" t="s">
        <v>1101</v>
      </c>
      <c r="AA31" s="1" t="s">
        <v>1102</v>
      </c>
      <c r="AB31" s="1" t="s">
        <v>295</v>
      </c>
      <c r="AC31" s="1" t="s">
        <v>1097</v>
      </c>
      <c r="AD31" s="1" t="s">
        <v>618</v>
      </c>
      <c r="AE31" s="1" t="s">
        <v>621</v>
      </c>
      <c r="AF31" s="1" t="s">
        <v>1098</v>
      </c>
      <c r="AG31" s="1" t="s">
        <v>1099</v>
      </c>
      <c r="AH31" s="1" t="s">
        <v>714</v>
      </c>
      <c r="AI31" s="1" t="s">
        <v>714</v>
      </c>
      <c r="AJ31" s="1" t="s">
        <v>913</v>
      </c>
      <c r="AK31" s="1" t="s">
        <v>584</v>
      </c>
      <c r="AL31" s="1" t="s">
        <v>315</v>
      </c>
      <c r="AM31" s="1">
        <v>2.5999999999999999E-2</v>
      </c>
      <c r="AN31" s="1">
        <v>2E-3</v>
      </c>
      <c r="AO31" s="1" t="s">
        <v>315</v>
      </c>
      <c r="AP31" s="1">
        <v>10</v>
      </c>
      <c r="AQ31" s="1">
        <v>2.1000000000000001E-2</v>
      </c>
      <c r="AR31" s="1">
        <v>8.9999999999999998E-4</v>
      </c>
      <c r="AS31" s="1" t="s">
        <v>315</v>
      </c>
      <c r="AT31" s="1">
        <v>10</v>
      </c>
      <c r="AU31" s="1" t="s">
        <v>1104</v>
      </c>
    </row>
    <row r="32" spans="1:47">
      <c r="A32" s="1">
        <v>15</v>
      </c>
      <c r="B32" s="1">
        <v>1</v>
      </c>
      <c r="C32" s="1" t="s">
        <v>92</v>
      </c>
      <c r="D32" s="1" t="s">
        <v>93</v>
      </c>
      <c r="E32" s="1" t="s">
        <v>70</v>
      </c>
      <c r="F32" s="1">
        <v>2013</v>
      </c>
      <c r="G32" s="1" t="s">
        <v>460</v>
      </c>
      <c r="H32" s="1" t="s">
        <v>461</v>
      </c>
      <c r="I32" s="1">
        <v>41.643810000000002</v>
      </c>
      <c r="J32" s="1">
        <v>-70.710339000000005</v>
      </c>
      <c r="K32" s="1" t="s">
        <v>366</v>
      </c>
      <c r="L32" s="1" t="s">
        <v>391</v>
      </c>
      <c r="M32" s="1" t="s">
        <v>574</v>
      </c>
      <c r="N32" s="1" t="s">
        <v>575</v>
      </c>
      <c r="O32" s="1" t="s">
        <v>791</v>
      </c>
      <c r="P32" s="1" t="s">
        <v>338</v>
      </c>
      <c r="Q32" s="1" t="s">
        <v>700</v>
      </c>
      <c r="R32" s="1" t="s">
        <v>315</v>
      </c>
      <c r="S32" s="1" t="s">
        <v>335</v>
      </c>
      <c r="T32" s="1" t="s">
        <v>578</v>
      </c>
      <c r="U32" s="1">
        <v>2010</v>
      </c>
      <c r="V32" s="1" t="s">
        <v>295</v>
      </c>
      <c r="W32" s="1" t="s">
        <v>701</v>
      </c>
      <c r="X32" s="1" t="s">
        <v>656</v>
      </c>
      <c r="Y32" s="1" t="s">
        <v>581</v>
      </c>
      <c r="Z32" s="1" t="s">
        <v>702</v>
      </c>
      <c r="AA32" s="1" t="s">
        <v>703</v>
      </c>
      <c r="AB32" s="1" t="s">
        <v>295</v>
      </c>
      <c r="AC32" s="1" t="s">
        <v>704</v>
      </c>
      <c r="AD32" s="1" t="s">
        <v>618</v>
      </c>
      <c r="AE32" s="1" t="s">
        <v>621</v>
      </c>
      <c r="AF32" s="1" t="s">
        <v>705</v>
      </c>
      <c r="AG32" s="1" t="s">
        <v>706</v>
      </c>
      <c r="AH32" s="1" t="s">
        <v>593</v>
      </c>
      <c r="AI32" s="1" t="s">
        <v>362</v>
      </c>
      <c r="AJ32" s="1" t="s">
        <v>707</v>
      </c>
      <c r="AK32" s="1" t="s">
        <v>318</v>
      </c>
      <c r="AL32" s="1" t="s">
        <v>670</v>
      </c>
      <c r="AM32" s="1">
        <v>0.132079207920792</v>
      </c>
      <c r="AN32" s="1">
        <v>3.5643564356429847E-3</v>
      </c>
      <c r="AO32" s="1" t="s">
        <v>315</v>
      </c>
      <c r="AP32" s="1">
        <v>5</v>
      </c>
      <c r="AQ32" s="1">
        <v>6.0396039603960401E-2</v>
      </c>
      <c r="AR32" s="1">
        <v>5.5445544554455009E-3</v>
      </c>
      <c r="AS32" s="1" t="s">
        <v>315</v>
      </c>
      <c r="AT32" s="1">
        <v>5</v>
      </c>
      <c r="AU32" s="1" t="s">
        <v>708</v>
      </c>
    </row>
    <row r="33" spans="1:47">
      <c r="A33" s="1">
        <v>16</v>
      </c>
      <c r="B33" s="1">
        <v>1</v>
      </c>
      <c r="C33" s="1" t="s">
        <v>96</v>
      </c>
      <c r="D33" s="1" t="s">
        <v>97</v>
      </c>
      <c r="E33" s="1" t="s">
        <v>80</v>
      </c>
      <c r="F33" s="1">
        <v>2013</v>
      </c>
      <c r="G33" s="1" t="s">
        <v>462</v>
      </c>
      <c r="H33" s="1" t="s">
        <v>463</v>
      </c>
      <c r="I33" s="1">
        <v>24.547222000000001</v>
      </c>
      <c r="J33" s="1">
        <v>-81.394166999999996</v>
      </c>
      <c r="K33" s="1" t="s">
        <v>366</v>
      </c>
      <c r="L33" s="1" t="s">
        <v>365</v>
      </c>
      <c r="M33" s="1" t="s">
        <v>574</v>
      </c>
      <c r="N33" s="1" t="s">
        <v>575</v>
      </c>
      <c r="O33" s="1" t="s">
        <v>791</v>
      </c>
      <c r="P33" s="1" t="s">
        <v>424</v>
      </c>
      <c r="Q33" s="1" t="s">
        <v>709</v>
      </c>
      <c r="R33" s="1" t="s">
        <v>315</v>
      </c>
      <c r="S33" s="1" t="s">
        <v>336</v>
      </c>
      <c r="T33" s="11" t="s">
        <v>315</v>
      </c>
      <c r="U33" s="1" t="s">
        <v>710</v>
      </c>
      <c r="V33" s="1" t="s">
        <v>345</v>
      </c>
      <c r="W33" s="1" t="s">
        <v>315</v>
      </c>
      <c r="X33" s="1" t="s">
        <v>306</v>
      </c>
      <c r="Y33" s="1" t="s">
        <v>307</v>
      </c>
      <c r="Z33" s="1" t="s">
        <v>315</v>
      </c>
      <c r="AA33" s="1" t="s">
        <v>315</v>
      </c>
      <c r="AB33" s="1" t="s">
        <v>295</v>
      </c>
      <c r="AC33" s="1" t="s">
        <v>659</v>
      </c>
      <c r="AD33" s="1" t="s">
        <v>598</v>
      </c>
      <c r="AE33" s="1" t="s">
        <v>601</v>
      </c>
      <c r="AF33" s="1" t="s">
        <v>599</v>
      </c>
      <c r="AG33" s="1" t="s">
        <v>600</v>
      </c>
      <c r="AH33" s="1" t="s">
        <v>321</v>
      </c>
      <c r="AI33" s="1" t="s">
        <v>362</v>
      </c>
      <c r="AJ33" s="1" t="s">
        <v>711</v>
      </c>
      <c r="AK33" s="1" t="s">
        <v>712</v>
      </c>
      <c r="AL33" s="1" t="s">
        <v>315</v>
      </c>
      <c r="AM33" s="1">
        <v>5.7058823529411704</v>
      </c>
      <c r="AN33" s="1" t="s">
        <v>315</v>
      </c>
      <c r="AO33" s="1">
        <v>0.5228758169934693</v>
      </c>
      <c r="AP33" s="1">
        <v>12</v>
      </c>
      <c r="AQ33" s="1">
        <v>3.1568627450980302</v>
      </c>
      <c r="AR33" s="1" t="s">
        <v>315</v>
      </c>
      <c r="AS33" s="1">
        <v>0.26143790849673998</v>
      </c>
      <c r="AT33" s="1">
        <v>12</v>
      </c>
      <c r="AU33" s="1" t="s">
        <v>713</v>
      </c>
    </row>
    <row r="34" spans="1:47">
      <c r="A34" s="1">
        <v>17</v>
      </c>
      <c r="B34" s="1">
        <v>1</v>
      </c>
      <c r="C34" s="1" t="s">
        <v>98</v>
      </c>
      <c r="D34" s="1" t="s">
        <v>99</v>
      </c>
      <c r="E34" s="1" t="s">
        <v>38</v>
      </c>
      <c r="F34" s="1">
        <v>2013</v>
      </c>
      <c r="G34" s="1" t="s">
        <v>443</v>
      </c>
      <c r="H34" s="1" t="s">
        <v>444</v>
      </c>
      <c r="I34" s="1">
        <v>26.334697999999999</v>
      </c>
      <c r="J34" s="1">
        <v>-76.954438999999994</v>
      </c>
      <c r="K34" s="1" t="s">
        <v>363</v>
      </c>
      <c r="L34" s="1" t="s">
        <v>369</v>
      </c>
      <c r="M34" s="1" t="s">
        <v>574</v>
      </c>
      <c r="N34" s="1" t="s">
        <v>575</v>
      </c>
      <c r="O34" s="1" t="s">
        <v>791</v>
      </c>
      <c r="P34" s="1" t="s">
        <v>424</v>
      </c>
      <c r="Q34" s="1" t="s">
        <v>596</v>
      </c>
      <c r="R34" s="1" t="s">
        <v>577</v>
      </c>
      <c r="S34" s="1" t="s">
        <v>336</v>
      </c>
      <c r="T34" s="1" t="s">
        <v>578</v>
      </c>
      <c r="U34" s="1">
        <v>2011</v>
      </c>
      <c r="V34" s="1" t="s">
        <v>345</v>
      </c>
      <c r="W34" s="1" t="s">
        <v>315</v>
      </c>
      <c r="X34" s="1" t="s">
        <v>306</v>
      </c>
      <c r="Y34" s="1" t="s">
        <v>307</v>
      </c>
      <c r="Z34" s="1" t="s">
        <v>315</v>
      </c>
      <c r="AA34" s="1" t="s">
        <v>315</v>
      </c>
      <c r="AB34" s="1" t="s">
        <v>295</v>
      </c>
      <c r="AC34" s="1" t="s">
        <v>659</v>
      </c>
      <c r="AD34" s="1" t="s">
        <v>598</v>
      </c>
      <c r="AE34" s="1" t="s">
        <v>601</v>
      </c>
      <c r="AF34" s="1" t="s">
        <v>599</v>
      </c>
      <c r="AG34" s="1" t="s">
        <v>600</v>
      </c>
      <c r="AH34" s="1" t="s">
        <v>714</v>
      </c>
      <c r="AI34" s="1" t="s">
        <v>714</v>
      </c>
      <c r="AJ34" s="1" t="s">
        <v>711</v>
      </c>
      <c r="AK34" s="1" t="s">
        <v>318</v>
      </c>
      <c r="AL34" s="1" t="s">
        <v>670</v>
      </c>
      <c r="AM34" s="1">
        <v>23.8</v>
      </c>
      <c r="AN34" s="1" t="s">
        <v>315</v>
      </c>
      <c r="AO34" s="1">
        <v>7.5</v>
      </c>
      <c r="AP34" s="1">
        <v>4</v>
      </c>
      <c r="AQ34" s="1">
        <v>12.9</v>
      </c>
      <c r="AR34" s="1" t="s">
        <v>315</v>
      </c>
      <c r="AS34" s="1">
        <v>3.1</v>
      </c>
      <c r="AT34" s="11">
        <v>4</v>
      </c>
      <c r="AU34" s="1" t="s">
        <v>715</v>
      </c>
    </row>
    <row r="35" spans="1:47">
      <c r="A35" s="1">
        <v>18</v>
      </c>
      <c r="B35" s="11">
        <v>1</v>
      </c>
      <c r="C35" s="1" t="s">
        <v>100</v>
      </c>
      <c r="D35" s="1" t="s">
        <v>101</v>
      </c>
      <c r="E35" s="1" t="s">
        <v>86</v>
      </c>
      <c r="F35" s="1">
        <v>2013</v>
      </c>
      <c r="G35" s="1" t="s">
        <v>464</v>
      </c>
      <c r="H35" s="1" t="s">
        <v>465</v>
      </c>
      <c r="I35" s="1">
        <v>23.774999999999999</v>
      </c>
      <c r="J35" s="1">
        <v>-76.008332999999993</v>
      </c>
      <c r="K35" s="1" t="s">
        <v>363</v>
      </c>
      <c r="L35" s="1" t="s">
        <v>392</v>
      </c>
      <c r="M35" s="1" t="s">
        <v>574</v>
      </c>
      <c r="N35" s="1" t="s">
        <v>575</v>
      </c>
      <c r="O35" s="1" t="s">
        <v>791</v>
      </c>
      <c r="P35" s="1" t="s">
        <v>294</v>
      </c>
      <c r="Q35" s="1" t="s">
        <v>716</v>
      </c>
      <c r="R35" s="1" t="s">
        <v>315</v>
      </c>
      <c r="S35" s="1" t="s">
        <v>336</v>
      </c>
      <c r="T35" s="11" t="s">
        <v>315</v>
      </c>
      <c r="U35" s="11" t="s">
        <v>1126</v>
      </c>
      <c r="V35" s="1" t="s">
        <v>345</v>
      </c>
      <c r="W35" s="1" t="s">
        <v>315</v>
      </c>
      <c r="X35" s="1" t="s">
        <v>661</v>
      </c>
      <c r="Y35" s="1" t="s">
        <v>662</v>
      </c>
      <c r="Z35" s="1" t="s">
        <v>315</v>
      </c>
      <c r="AA35" s="1" t="s">
        <v>315</v>
      </c>
      <c r="AB35" s="1" t="s">
        <v>295</v>
      </c>
      <c r="AC35" s="1" t="s">
        <v>719</v>
      </c>
      <c r="AD35" s="1" t="s">
        <v>308</v>
      </c>
      <c r="AE35" s="1" t="s">
        <v>309</v>
      </c>
      <c r="AF35" s="1" t="s">
        <v>718</v>
      </c>
      <c r="AG35" s="1" t="s">
        <v>717</v>
      </c>
      <c r="AH35" s="11" t="s">
        <v>593</v>
      </c>
      <c r="AI35" s="11" t="s">
        <v>362</v>
      </c>
      <c r="AJ35" s="1" t="s">
        <v>721</v>
      </c>
      <c r="AL35" s="1" t="s">
        <v>670</v>
      </c>
      <c r="AM35" s="7">
        <v>29.109589041096015</v>
      </c>
      <c r="AN35" s="7">
        <v>1.7123287671236027</v>
      </c>
      <c r="AO35" s="11" t="s">
        <v>315</v>
      </c>
      <c r="AP35" s="11">
        <v>15</v>
      </c>
      <c r="AQ35" s="7">
        <v>30.479452054793995</v>
      </c>
      <c r="AR35" s="7">
        <v>2.9460018037818907</v>
      </c>
      <c r="AS35" s="11" t="s">
        <v>315</v>
      </c>
      <c r="AT35" s="11">
        <v>15</v>
      </c>
      <c r="AU35" s="1" t="s">
        <v>1119</v>
      </c>
    </row>
    <row r="36" spans="1:47">
      <c r="A36" s="1">
        <v>18</v>
      </c>
      <c r="B36" s="11">
        <v>2</v>
      </c>
      <c r="C36" s="1" t="s">
        <v>100</v>
      </c>
      <c r="D36" s="1" t="s">
        <v>101</v>
      </c>
      <c r="E36" s="1" t="s">
        <v>86</v>
      </c>
      <c r="F36" s="1">
        <v>2013</v>
      </c>
      <c r="G36" s="1" t="s">
        <v>464</v>
      </c>
      <c r="H36" s="1" t="s">
        <v>465</v>
      </c>
      <c r="I36" s="1">
        <v>23.774999999999999</v>
      </c>
      <c r="J36" s="1">
        <v>-76.008332999999993</v>
      </c>
      <c r="K36" s="1" t="s">
        <v>363</v>
      </c>
      <c r="L36" s="1" t="s">
        <v>392</v>
      </c>
      <c r="M36" s="1" t="s">
        <v>574</v>
      </c>
      <c r="N36" s="1" t="s">
        <v>575</v>
      </c>
      <c r="O36" s="1" t="s">
        <v>791</v>
      </c>
      <c r="P36" s="1" t="s">
        <v>294</v>
      </c>
      <c r="Q36" s="1" t="s">
        <v>716</v>
      </c>
      <c r="R36" s="1" t="s">
        <v>315</v>
      </c>
      <c r="S36" s="1" t="s">
        <v>336</v>
      </c>
      <c r="T36" s="11" t="s">
        <v>315</v>
      </c>
      <c r="U36" s="11" t="s">
        <v>1126</v>
      </c>
      <c r="V36" s="1" t="s">
        <v>345</v>
      </c>
      <c r="W36" s="1" t="s">
        <v>315</v>
      </c>
      <c r="X36" s="1" t="s">
        <v>661</v>
      </c>
      <c r="Y36" s="1" t="s">
        <v>662</v>
      </c>
      <c r="Z36" s="1" t="s">
        <v>315</v>
      </c>
      <c r="AA36" s="1" t="s">
        <v>315</v>
      </c>
      <c r="AB36" s="1" t="s">
        <v>345</v>
      </c>
      <c r="AC36" s="1" t="s">
        <v>315</v>
      </c>
      <c r="AD36" s="1" t="s">
        <v>936</v>
      </c>
      <c r="AE36" s="1" t="s">
        <v>958</v>
      </c>
      <c r="AF36" s="1" t="s">
        <v>315</v>
      </c>
      <c r="AG36" s="1" t="s">
        <v>315</v>
      </c>
      <c r="AH36" s="11" t="s">
        <v>593</v>
      </c>
      <c r="AI36" s="11" t="s">
        <v>362</v>
      </c>
      <c r="AJ36" s="1" t="s">
        <v>721</v>
      </c>
      <c r="AL36" s="1" t="s">
        <v>315</v>
      </c>
      <c r="AM36" s="11">
        <v>0.33625954198473201</v>
      </c>
      <c r="AN36" s="11">
        <v>1.2595419847328981E-2</v>
      </c>
      <c r="AO36" s="11" t="s">
        <v>315</v>
      </c>
      <c r="AP36" s="11">
        <v>15</v>
      </c>
      <c r="AQ36" s="11">
        <v>0.26297709923664098</v>
      </c>
      <c r="AR36" s="11">
        <v>4.5801526717550445E-3</v>
      </c>
      <c r="AS36" s="11" t="s">
        <v>315</v>
      </c>
      <c r="AT36" s="11">
        <v>15</v>
      </c>
      <c r="AU36" s="1" t="s">
        <v>1120</v>
      </c>
    </row>
    <row r="37" spans="1:47">
      <c r="A37" s="1">
        <v>18</v>
      </c>
      <c r="B37" s="11">
        <v>3</v>
      </c>
      <c r="C37" s="1" t="s">
        <v>100</v>
      </c>
      <c r="D37" s="1" t="s">
        <v>101</v>
      </c>
      <c r="E37" s="1" t="s">
        <v>86</v>
      </c>
      <c r="F37" s="1">
        <v>2013</v>
      </c>
      <c r="G37" s="1" t="s">
        <v>464</v>
      </c>
      <c r="H37" s="1" t="s">
        <v>465</v>
      </c>
      <c r="I37" s="1">
        <v>23.774999999999999</v>
      </c>
      <c r="J37" s="1">
        <v>-76.008332999999993</v>
      </c>
      <c r="K37" s="1" t="s">
        <v>363</v>
      </c>
      <c r="L37" s="1" t="s">
        <v>392</v>
      </c>
      <c r="M37" s="1" t="s">
        <v>574</v>
      </c>
      <c r="N37" s="1" t="s">
        <v>575</v>
      </c>
      <c r="O37" s="1" t="s">
        <v>791</v>
      </c>
      <c r="P37" s="1" t="s">
        <v>294</v>
      </c>
      <c r="Q37" s="1" t="s">
        <v>716</v>
      </c>
      <c r="R37" s="1" t="s">
        <v>315</v>
      </c>
      <c r="S37" s="1" t="s">
        <v>336</v>
      </c>
      <c r="T37" s="11" t="s">
        <v>315</v>
      </c>
      <c r="U37" s="11" t="s">
        <v>1126</v>
      </c>
      <c r="V37" s="1" t="s">
        <v>345</v>
      </c>
      <c r="W37" s="1" t="s">
        <v>315</v>
      </c>
      <c r="X37" s="1" t="s">
        <v>661</v>
      </c>
      <c r="Y37" s="1" t="s">
        <v>662</v>
      </c>
      <c r="Z37" s="1" t="s">
        <v>315</v>
      </c>
      <c r="AA37" s="1" t="s">
        <v>315</v>
      </c>
      <c r="AB37" s="1" t="s">
        <v>345</v>
      </c>
      <c r="AC37" s="1" t="s">
        <v>315</v>
      </c>
      <c r="AD37" s="1" t="s">
        <v>936</v>
      </c>
      <c r="AE37" s="1" t="s">
        <v>958</v>
      </c>
      <c r="AF37" s="1" t="s">
        <v>315</v>
      </c>
      <c r="AG37" s="1" t="s">
        <v>315</v>
      </c>
      <c r="AH37" s="11" t="s">
        <v>593</v>
      </c>
      <c r="AI37" s="11" t="s">
        <v>362</v>
      </c>
      <c r="AJ37" s="1" t="s">
        <v>721</v>
      </c>
      <c r="AL37" s="1" t="s">
        <v>315</v>
      </c>
      <c r="AM37" s="11">
        <v>0.32480916030534301</v>
      </c>
      <c r="AN37" s="11">
        <v>1.030534351144996E-2</v>
      </c>
      <c r="AO37" s="11" t="s">
        <v>315</v>
      </c>
      <c r="AP37" s="11">
        <v>15</v>
      </c>
      <c r="AQ37" s="11">
        <v>0.33511450381679297</v>
      </c>
      <c r="AR37" s="11">
        <v>1.0305343511451015E-2</v>
      </c>
      <c r="AS37" s="11" t="s">
        <v>315</v>
      </c>
      <c r="AT37" s="11">
        <v>15</v>
      </c>
      <c r="AU37" s="1" t="s">
        <v>1121</v>
      </c>
    </row>
    <row r="38" spans="1:47">
      <c r="A38" s="1">
        <v>18</v>
      </c>
      <c r="B38" s="11">
        <v>4</v>
      </c>
      <c r="C38" s="1" t="s">
        <v>100</v>
      </c>
      <c r="D38" s="1" t="s">
        <v>101</v>
      </c>
      <c r="E38" s="1" t="s">
        <v>86</v>
      </c>
      <c r="F38" s="1">
        <v>2013</v>
      </c>
      <c r="G38" s="1" t="s">
        <v>464</v>
      </c>
      <c r="H38" s="1" t="s">
        <v>465</v>
      </c>
      <c r="I38" s="1">
        <v>23.774999999999999</v>
      </c>
      <c r="J38" s="1">
        <v>-76.008332999999993</v>
      </c>
      <c r="K38" s="1" t="s">
        <v>363</v>
      </c>
      <c r="L38" s="1" t="s">
        <v>392</v>
      </c>
      <c r="M38" s="1" t="s">
        <v>574</v>
      </c>
      <c r="N38" s="1" t="s">
        <v>575</v>
      </c>
      <c r="O38" s="1" t="s">
        <v>791</v>
      </c>
      <c r="P38" s="1" t="s">
        <v>294</v>
      </c>
      <c r="Q38" s="1" t="s">
        <v>716</v>
      </c>
      <c r="R38" s="1" t="s">
        <v>315</v>
      </c>
      <c r="S38" s="1" t="s">
        <v>336</v>
      </c>
      <c r="T38" s="11" t="s">
        <v>315</v>
      </c>
      <c r="U38" s="11" t="s">
        <v>1126</v>
      </c>
      <c r="V38" s="1" t="s">
        <v>345</v>
      </c>
      <c r="W38" s="1" t="s">
        <v>315</v>
      </c>
      <c r="X38" s="1" t="s">
        <v>661</v>
      </c>
      <c r="Y38" s="1" t="s">
        <v>662</v>
      </c>
      <c r="Z38" s="1" t="s">
        <v>315</v>
      </c>
      <c r="AA38" s="1" t="s">
        <v>315</v>
      </c>
      <c r="AB38" s="1" t="s">
        <v>345</v>
      </c>
      <c r="AC38" s="1" t="s">
        <v>315</v>
      </c>
      <c r="AD38" s="1" t="s">
        <v>936</v>
      </c>
      <c r="AE38" s="1" t="s">
        <v>958</v>
      </c>
      <c r="AF38" s="1" t="s">
        <v>315</v>
      </c>
      <c r="AG38" s="1" t="s">
        <v>315</v>
      </c>
      <c r="AH38" s="11" t="s">
        <v>593</v>
      </c>
      <c r="AI38" s="11" t="s">
        <v>362</v>
      </c>
      <c r="AJ38" s="1" t="s">
        <v>721</v>
      </c>
      <c r="AL38" s="1" t="s">
        <v>315</v>
      </c>
      <c r="AM38" s="11">
        <v>0.30992366412213701</v>
      </c>
      <c r="AN38" s="11">
        <v>1.1450381679388999E-2</v>
      </c>
      <c r="AO38" s="11" t="s">
        <v>315</v>
      </c>
      <c r="AP38" s="11">
        <v>15</v>
      </c>
      <c r="AQ38" s="11">
        <v>0.33053435114503799</v>
      </c>
      <c r="AR38" s="11">
        <v>9.1603053435110326E-3</v>
      </c>
      <c r="AS38" s="11" t="s">
        <v>315</v>
      </c>
      <c r="AT38" s="11">
        <v>15</v>
      </c>
      <c r="AU38" s="1" t="s">
        <v>1122</v>
      </c>
    </row>
    <row r="39" spans="1:47">
      <c r="A39" s="1">
        <v>18</v>
      </c>
      <c r="B39" s="11">
        <v>5</v>
      </c>
      <c r="C39" s="1" t="s">
        <v>100</v>
      </c>
      <c r="D39" s="1" t="s">
        <v>101</v>
      </c>
      <c r="E39" s="1" t="s">
        <v>86</v>
      </c>
      <c r="F39" s="1">
        <v>2013</v>
      </c>
      <c r="G39" s="1" t="s">
        <v>464</v>
      </c>
      <c r="H39" s="1" t="s">
        <v>465</v>
      </c>
      <c r="I39" s="1">
        <v>23.774999999999999</v>
      </c>
      <c r="J39" s="1">
        <v>-76.008332999999993</v>
      </c>
      <c r="K39" s="1" t="s">
        <v>363</v>
      </c>
      <c r="L39" s="1" t="s">
        <v>392</v>
      </c>
      <c r="M39" s="1" t="s">
        <v>574</v>
      </c>
      <c r="N39" s="1" t="s">
        <v>575</v>
      </c>
      <c r="O39" s="1" t="s">
        <v>791</v>
      </c>
      <c r="P39" s="1" t="s">
        <v>294</v>
      </c>
      <c r="Q39" s="1" t="s">
        <v>716</v>
      </c>
      <c r="R39" s="1" t="s">
        <v>315</v>
      </c>
      <c r="S39" s="1" t="s">
        <v>336</v>
      </c>
      <c r="T39" s="11" t="s">
        <v>315</v>
      </c>
      <c r="U39" s="11" t="s">
        <v>1126</v>
      </c>
      <c r="V39" s="1" t="s">
        <v>345</v>
      </c>
      <c r="W39" s="1" t="s">
        <v>315</v>
      </c>
      <c r="X39" s="1" t="s">
        <v>661</v>
      </c>
      <c r="Y39" s="1" t="s">
        <v>662</v>
      </c>
      <c r="Z39" s="1" t="s">
        <v>315</v>
      </c>
      <c r="AA39" s="1" t="s">
        <v>315</v>
      </c>
      <c r="AB39" s="1" t="s">
        <v>295</v>
      </c>
      <c r="AC39" s="1" t="s">
        <v>719</v>
      </c>
      <c r="AD39" s="1" t="s">
        <v>308</v>
      </c>
      <c r="AE39" s="1" t="s">
        <v>309</v>
      </c>
      <c r="AF39" s="1" t="s">
        <v>718</v>
      </c>
      <c r="AG39" s="1" t="s">
        <v>717</v>
      </c>
      <c r="AH39" s="11" t="s">
        <v>593</v>
      </c>
      <c r="AI39" s="11" t="s">
        <v>362</v>
      </c>
      <c r="AJ39" s="1" t="s">
        <v>721</v>
      </c>
      <c r="AL39" s="1" t="s">
        <v>315</v>
      </c>
      <c r="AM39" s="11">
        <v>403.40909090909003</v>
      </c>
      <c r="AN39" s="11">
        <v>6.8181818181819835</v>
      </c>
      <c r="AO39" s="11" t="s">
        <v>315</v>
      </c>
      <c r="AP39" s="11">
        <v>15</v>
      </c>
      <c r="AQ39" s="11">
        <v>401.136363636363</v>
      </c>
      <c r="AR39" s="11">
        <v>7.9545454545460075</v>
      </c>
      <c r="AS39" s="11" t="s">
        <v>315</v>
      </c>
      <c r="AT39" s="11">
        <v>15</v>
      </c>
      <c r="AU39" s="1" t="s">
        <v>1123</v>
      </c>
    </row>
    <row r="40" spans="1:47">
      <c r="A40" s="1">
        <v>18</v>
      </c>
      <c r="B40" s="11">
        <v>6</v>
      </c>
      <c r="C40" s="1" t="s">
        <v>100</v>
      </c>
      <c r="D40" s="1" t="s">
        <v>101</v>
      </c>
      <c r="E40" s="1" t="s">
        <v>86</v>
      </c>
      <c r="F40" s="1">
        <v>2013</v>
      </c>
      <c r="G40" s="1" t="s">
        <v>464</v>
      </c>
      <c r="H40" s="1" t="s">
        <v>465</v>
      </c>
      <c r="I40" s="1">
        <v>23.774999999999999</v>
      </c>
      <c r="J40" s="1">
        <v>-76.008332999999993</v>
      </c>
      <c r="K40" s="1" t="s">
        <v>363</v>
      </c>
      <c r="L40" s="1" t="s">
        <v>392</v>
      </c>
      <c r="M40" s="1" t="s">
        <v>574</v>
      </c>
      <c r="N40" s="1" t="s">
        <v>575</v>
      </c>
      <c r="O40" s="1" t="s">
        <v>791</v>
      </c>
      <c r="P40" s="1" t="s">
        <v>294</v>
      </c>
      <c r="Q40" s="1" t="s">
        <v>716</v>
      </c>
      <c r="R40" s="1" t="s">
        <v>315</v>
      </c>
      <c r="S40" s="1" t="s">
        <v>336</v>
      </c>
      <c r="T40" s="11" t="s">
        <v>315</v>
      </c>
      <c r="U40" s="11" t="s">
        <v>1126</v>
      </c>
      <c r="V40" s="1" t="s">
        <v>345</v>
      </c>
      <c r="W40" s="1" t="s">
        <v>315</v>
      </c>
      <c r="X40" s="1" t="s">
        <v>661</v>
      </c>
      <c r="Y40" s="1" t="s">
        <v>662</v>
      </c>
      <c r="Z40" s="1" t="s">
        <v>315</v>
      </c>
      <c r="AA40" s="1" t="s">
        <v>315</v>
      </c>
      <c r="AB40" s="1" t="s">
        <v>295</v>
      </c>
      <c r="AC40" s="1" t="s">
        <v>719</v>
      </c>
      <c r="AD40" s="1" t="s">
        <v>308</v>
      </c>
      <c r="AE40" s="1" t="s">
        <v>309</v>
      </c>
      <c r="AF40" s="1" t="s">
        <v>718</v>
      </c>
      <c r="AG40" s="1" t="s">
        <v>717</v>
      </c>
      <c r="AH40" s="11" t="s">
        <v>593</v>
      </c>
      <c r="AI40" s="11" t="s">
        <v>362</v>
      </c>
      <c r="AJ40" s="1" t="s">
        <v>721</v>
      </c>
      <c r="AL40" s="1" t="s">
        <v>315</v>
      </c>
      <c r="AM40" s="11">
        <v>415.90909090909099</v>
      </c>
      <c r="AN40" s="11">
        <v>10.227272727272009</v>
      </c>
      <c r="AO40" s="11" t="s">
        <v>315</v>
      </c>
      <c r="AP40" s="11">
        <v>15</v>
      </c>
      <c r="AQ40" s="11">
        <v>438.636363636363</v>
      </c>
      <c r="AR40" s="11">
        <v>4.5454545454550157</v>
      </c>
      <c r="AS40" s="11" t="s">
        <v>315</v>
      </c>
      <c r="AT40" s="11">
        <v>15</v>
      </c>
      <c r="AU40" s="1" t="s">
        <v>1124</v>
      </c>
    </row>
    <row r="41" spans="1:47">
      <c r="A41" s="1">
        <v>18</v>
      </c>
      <c r="B41" s="11">
        <v>7</v>
      </c>
      <c r="C41" s="1" t="s">
        <v>100</v>
      </c>
      <c r="D41" s="1" t="s">
        <v>101</v>
      </c>
      <c r="E41" s="1" t="s">
        <v>86</v>
      </c>
      <c r="F41" s="1">
        <v>2013</v>
      </c>
      <c r="G41" s="1" t="s">
        <v>464</v>
      </c>
      <c r="H41" s="1" t="s">
        <v>465</v>
      </c>
      <c r="I41" s="1">
        <v>23.774999999999999</v>
      </c>
      <c r="J41" s="1">
        <v>-76.008332999999993</v>
      </c>
      <c r="K41" s="1" t="s">
        <v>363</v>
      </c>
      <c r="L41" s="1" t="s">
        <v>392</v>
      </c>
      <c r="M41" s="1" t="s">
        <v>574</v>
      </c>
      <c r="N41" s="1" t="s">
        <v>575</v>
      </c>
      <c r="O41" s="1" t="s">
        <v>791</v>
      </c>
      <c r="P41" s="1" t="s">
        <v>294</v>
      </c>
      <c r="Q41" s="1" t="s">
        <v>716</v>
      </c>
      <c r="R41" s="1" t="s">
        <v>315</v>
      </c>
      <c r="S41" s="1" t="s">
        <v>336</v>
      </c>
      <c r="T41" s="11" t="s">
        <v>315</v>
      </c>
      <c r="U41" s="11" t="s">
        <v>1126</v>
      </c>
      <c r="V41" s="1" t="s">
        <v>345</v>
      </c>
      <c r="W41" s="1" t="s">
        <v>315</v>
      </c>
      <c r="X41" s="1" t="s">
        <v>661</v>
      </c>
      <c r="Y41" s="1" t="s">
        <v>662</v>
      </c>
      <c r="Z41" s="1" t="s">
        <v>315</v>
      </c>
      <c r="AA41" s="1" t="s">
        <v>315</v>
      </c>
      <c r="AB41" s="1" t="s">
        <v>295</v>
      </c>
      <c r="AC41" s="1" t="s">
        <v>719</v>
      </c>
      <c r="AD41" s="1" t="s">
        <v>308</v>
      </c>
      <c r="AE41" s="1" t="s">
        <v>309</v>
      </c>
      <c r="AF41" s="1" t="s">
        <v>718</v>
      </c>
      <c r="AG41" s="1" t="s">
        <v>717</v>
      </c>
      <c r="AH41" s="11" t="s">
        <v>593</v>
      </c>
      <c r="AI41" s="11" t="s">
        <v>362</v>
      </c>
      <c r="AJ41" s="1" t="s">
        <v>721</v>
      </c>
      <c r="AL41" s="1" t="s">
        <v>315</v>
      </c>
      <c r="AM41" s="11">
        <v>465.90909090909003</v>
      </c>
      <c r="AN41" s="11">
        <v>7.9545454545459506</v>
      </c>
      <c r="AO41" s="11" t="s">
        <v>315</v>
      </c>
      <c r="AP41" s="11">
        <v>15</v>
      </c>
      <c r="AQ41" s="11">
        <v>512.5</v>
      </c>
      <c r="AR41" s="11">
        <v>10.227272727271952</v>
      </c>
      <c r="AS41" s="11" t="s">
        <v>315</v>
      </c>
      <c r="AT41" s="11">
        <v>15</v>
      </c>
      <c r="AU41" s="1" t="s">
        <v>1125</v>
      </c>
    </row>
    <row r="42" spans="1:47">
      <c r="A42" s="1">
        <v>18</v>
      </c>
      <c r="B42" s="11">
        <v>8</v>
      </c>
      <c r="C42" s="1" t="s">
        <v>100</v>
      </c>
      <c r="D42" s="1" t="s">
        <v>101</v>
      </c>
      <c r="E42" s="1" t="s">
        <v>86</v>
      </c>
      <c r="F42" s="1">
        <v>2013</v>
      </c>
      <c r="G42" s="1" t="s">
        <v>464</v>
      </c>
      <c r="H42" s="1" t="s">
        <v>465</v>
      </c>
      <c r="I42" s="1">
        <v>23.774999999999999</v>
      </c>
      <c r="J42" s="1">
        <v>-76.008332999999993</v>
      </c>
      <c r="K42" s="1" t="s">
        <v>363</v>
      </c>
      <c r="L42" s="1" t="s">
        <v>392</v>
      </c>
      <c r="M42" s="1" t="s">
        <v>574</v>
      </c>
      <c r="N42" s="1" t="s">
        <v>575</v>
      </c>
      <c r="O42" s="1" t="s">
        <v>791</v>
      </c>
      <c r="P42" s="1" t="s">
        <v>294</v>
      </c>
      <c r="Q42" s="1" t="s">
        <v>716</v>
      </c>
      <c r="R42" s="1" t="s">
        <v>315</v>
      </c>
      <c r="S42" s="1" t="s">
        <v>336</v>
      </c>
      <c r="T42" s="11" t="s">
        <v>315</v>
      </c>
      <c r="U42" s="11" t="s">
        <v>720</v>
      </c>
      <c r="V42" s="1" t="s">
        <v>345</v>
      </c>
      <c r="W42" s="1" t="s">
        <v>315</v>
      </c>
      <c r="X42" s="1" t="s">
        <v>661</v>
      </c>
      <c r="Y42" s="1" t="s">
        <v>662</v>
      </c>
      <c r="Z42" s="1" t="s">
        <v>315</v>
      </c>
      <c r="AA42" s="1" t="s">
        <v>315</v>
      </c>
      <c r="AB42" s="1" t="s">
        <v>345</v>
      </c>
      <c r="AC42" s="1" t="s">
        <v>315</v>
      </c>
      <c r="AD42" s="1" t="s">
        <v>308</v>
      </c>
      <c r="AE42" s="1" t="s">
        <v>309</v>
      </c>
      <c r="AF42" s="1" t="s">
        <v>315</v>
      </c>
      <c r="AG42" s="1" t="s">
        <v>315</v>
      </c>
      <c r="AH42" s="11" t="s">
        <v>744</v>
      </c>
      <c r="AI42" s="11" t="s">
        <v>362</v>
      </c>
      <c r="AJ42" s="1" t="s">
        <v>721</v>
      </c>
      <c r="AK42" s="1" t="s">
        <v>1105</v>
      </c>
      <c r="AL42" s="1" t="s">
        <v>315</v>
      </c>
      <c r="AM42" s="11">
        <v>17.9296875</v>
      </c>
      <c r="AN42" s="11">
        <v>0.9375</v>
      </c>
      <c r="AO42" s="11" t="s">
        <v>315</v>
      </c>
      <c r="AP42" s="11">
        <v>50</v>
      </c>
      <c r="AQ42" s="11">
        <v>1.9921875</v>
      </c>
      <c r="AR42" s="11">
        <v>0.46874999999998979</v>
      </c>
      <c r="AS42" s="11" t="s">
        <v>315</v>
      </c>
      <c r="AT42" s="11">
        <v>50</v>
      </c>
      <c r="AU42" s="1" t="s">
        <v>1106</v>
      </c>
    </row>
    <row r="43" spans="1:47">
      <c r="A43" s="1">
        <v>18</v>
      </c>
      <c r="B43" s="11">
        <v>9</v>
      </c>
      <c r="C43" s="1" t="s">
        <v>100</v>
      </c>
      <c r="D43" s="1" t="s">
        <v>101</v>
      </c>
      <c r="E43" s="1" t="s">
        <v>86</v>
      </c>
      <c r="F43" s="1">
        <v>2013</v>
      </c>
      <c r="G43" s="1" t="s">
        <v>464</v>
      </c>
      <c r="H43" s="1" t="s">
        <v>465</v>
      </c>
      <c r="I43" s="1">
        <v>23.774999999999999</v>
      </c>
      <c r="J43" s="1">
        <v>-76.008332999999993</v>
      </c>
      <c r="K43" s="1" t="s">
        <v>363</v>
      </c>
      <c r="L43" s="1" t="s">
        <v>392</v>
      </c>
      <c r="M43" s="1" t="s">
        <v>574</v>
      </c>
      <c r="N43" s="1" t="s">
        <v>575</v>
      </c>
      <c r="O43" s="1" t="s">
        <v>791</v>
      </c>
      <c r="P43" s="1" t="s">
        <v>294</v>
      </c>
      <c r="Q43" s="1" t="s">
        <v>716</v>
      </c>
      <c r="R43" s="1" t="s">
        <v>315</v>
      </c>
      <c r="S43" s="1" t="s">
        <v>336</v>
      </c>
      <c r="T43" s="11" t="s">
        <v>315</v>
      </c>
      <c r="U43" s="11" t="s">
        <v>720</v>
      </c>
      <c r="V43" s="1" t="s">
        <v>345</v>
      </c>
      <c r="W43" s="1" t="s">
        <v>315</v>
      </c>
      <c r="X43" s="1" t="s">
        <v>661</v>
      </c>
      <c r="Y43" s="1" t="s">
        <v>662</v>
      </c>
      <c r="Z43" s="1" t="s">
        <v>315</v>
      </c>
      <c r="AA43" s="1" t="s">
        <v>315</v>
      </c>
      <c r="AB43" s="1" t="s">
        <v>345</v>
      </c>
      <c r="AC43" s="1" t="s">
        <v>315</v>
      </c>
      <c r="AD43" s="1" t="s">
        <v>308</v>
      </c>
      <c r="AE43" s="1" t="s">
        <v>309</v>
      </c>
      <c r="AF43" s="1" t="s">
        <v>315</v>
      </c>
      <c r="AG43" s="1" t="s">
        <v>315</v>
      </c>
      <c r="AH43" s="11" t="s">
        <v>744</v>
      </c>
      <c r="AI43" s="11" t="s">
        <v>362</v>
      </c>
      <c r="AJ43" s="1" t="s">
        <v>721</v>
      </c>
      <c r="AK43" s="1" t="s">
        <v>1105</v>
      </c>
      <c r="AL43" s="1" t="s">
        <v>315</v>
      </c>
      <c r="AM43" s="11">
        <v>10.1953125</v>
      </c>
      <c r="AN43" s="11">
        <v>0.8203125</v>
      </c>
      <c r="AO43" s="11" t="s">
        <v>315</v>
      </c>
      <c r="AP43" s="11">
        <v>60</v>
      </c>
      <c r="AQ43" s="11">
        <v>1.52343749999999</v>
      </c>
      <c r="AR43" s="11">
        <v>0.234375</v>
      </c>
      <c r="AS43" s="11" t="s">
        <v>315</v>
      </c>
      <c r="AT43" s="11">
        <v>60</v>
      </c>
      <c r="AU43" s="1" t="s">
        <v>1108</v>
      </c>
    </row>
    <row r="44" spans="1:47">
      <c r="A44" s="1">
        <v>18</v>
      </c>
      <c r="B44" s="11">
        <v>10</v>
      </c>
      <c r="C44" s="1" t="s">
        <v>100</v>
      </c>
      <c r="D44" s="1" t="s">
        <v>101</v>
      </c>
      <c r="E44" s="1" t="s">
        <v>86</v>
      </c>
      <c r="F44" s="1">
        <v>2013</v>
      </c>
      <c r="G44" s="1" t="s">
        <v>464</v>
      </c>
      <c r="H44" s="1" t="s">
        <v>465</v>
      </c>
      <c r="I44" s="1">
        <v>23.774999999999999</v>
      </c>
      <c r="J44" s="1">
        <v>-76.008332999999993</v>
      </c>
      <c r="K44" s="1" t="s">
        <v>363</v>
      </c>
      <c r="L44" s="1" t="s">
        <v>392</v>
      </c>
      <c r="M44" s="1" t="s">
        <v>574</v>
      </c>
      <c r="N44" s="1" t="s">
        <v>575</v>
      </c>
      <c r="O44" s="1" t="s">
        <v>791</v>
      </c>
      <c r="P44" s="1" t="s">
        <v>294</v>
      </c>
      <c r="Q44" s="1" t="s">
        <v>716</v>
      </c>
      <c r="R44" s="1" t="s">
        <v>315</v>
      </c>
      <c r="S44" s="1" t="s">
        <v>336</v>
      </c>
      <c r="T44" s="11" t="s">
        <v>315</v>
      </c>
      <c r="U44" s="11" t="s">
        <v>720</v>
      </c>
      <c r="V44" s="1" t="s">
        <v>345</v>
      </c>
      <c r="W44" s="1" t="s">
        <v>315</v>
      </c>
      <c r="X44" s="1" t="s">
        <v>661</v>
      </c>
      <c r="Y44" s="1" t="s">
        <v>662</v>
      </c>
      <c r="Z44" s="1" t="s">
        <v>315</v>
      </c>
      <c r="AA44" s="1" t="s">
        <v>315</v>
      </c>
      <c r="AB44" s="1" t="s">
        <v>345</v>
      </c>
      <c r="AC44" s="1" t="s">
        <v>315</v>
      </c>
      <c r="AD44" s="1" t="s">
        <v>308</v>
      </c>
      <c r="AE44" s="1" t="s">
        <v>309</v>
      </c>
      <c r="AF44" s="1" t="s">
        <v>315</v>
      </c>
      <c r="AG44" s="1" t="s">
        <v>315</v>
      </c>
      <c r="AH44" s="11" t="s">
        <v>744</v>
      </c>
      <c r="AI44" s="11" t="s">
        <v>362</v>
      </c>
      <c r="AJ44" s="1" t="s">
        <v>721</v>
      </c>
      <c r="AK44" s="1" t="s">
        <v>1105</v>
      </c>
      <c r="AL44" s="1" t="s">
        <v>315</v>
      </c>
      <c r="AM44" s="11">
        <v>3.8671874999999898</v>
      </c>
      <c r="AN44" s="11">
        <v>0.93750000000001021</v>
      </c>
      <c r="AO44" s="11" t="s">
        <v>315</v>
      </c>
      <c r="AP44" s="11">
        <v>60</v>
      </c>
      <c r="AQ44" s="11">
        <v>0.9375</v>
      </c>
      <c r="AR44" s="11">
        <v>0.23437499999999001</v>
      </c>
      <c r="AS44" s="11" t="s">
        <v>315</v>
      </c>
      <c r="AT44" s="11">
        <v>60</v>
      </c>
      <c r="AU44" s="1" t="s">
        <v>1110</v>
      </c>
    </row>
    <row r="45" spans="1:47">
      <c r="A45" s="1">
        <v>18</v>
      </c>
      <c r="B45" s="11">
        <v>11</v>
      </c>
      <c r="C45" s="1" t="s">
        <v>100</v>
      </c>
      <c r="D45" s="1" t="s">
        <v>101</v>
      </c>
      <c r="E45" s="1" t="s">
        <v>86</v>
      </c>
      <c r="F45" s="1">
        <v>2013</v>
      </c>
      <c r="G45" s="1" t="s">
        <v>464</v>
      </c>
      <c r="H45" s="1" t="s">
        <v>465</v>
      </c>
      <c r="I45" s="1">
        <v>23.774999999999999</v>
      </c>
      <c r="J45" s="1">
        <v>-76.008332999999993</v>
      </c>
      <c r="K45" s="1" t="s">
        <v>363</v>
      </c>
      <c r="L45" s="1" t="s">
        <v>392</v>
      </c>
      <c r="M45" s="1" t="s">
        <v>574</v>
      </c>
      <c r="N45" s="1" t="s">
        <v>575</v>
      </c>
      <c r="O45" s="1" t="s">
        <v>791</v>
      </c>
      <c r="P45" s="1" t="s">
        <v>294</v>
      </c>
      <c r="Q45" s="1" t="s">
        <v>716</v>
      </c>
      <c r="R45" s="1" t="s">
        <v>315</v>
      </c>
      <c r="S45" s="1" t="s">
        <v>336</v>
      </c>
      <c r="T45" s="11" t="s">
        <v>315</v>
      </c>
      <c r="U45" s="11" t="s">
        <v>720</v>
      </c>
      <c r="V45" s="1" t="s">
        <v>345</v>
      </c>
      <c r="W45" s="1" t="s">
        <v>315</v>
      </c>
      <c r="X45" s="1" t="s">
        <v>661</v>
      </c>
      <c r="Y45" s="1" t="s">
        <v>662</v>
      </c>
      <c r="Z45" s="1" t="s">
        <v>315</v>
      </c>
      <c r="AA45" s="1" t="s">
        <v>315</v>
      </c>
      <c r="AB45" s="1" t="s">
        <v>345</v>
      </c>
      <c r="AC45" s="1" t="s">
        <v>315</v>
      </c>
      <c r="AD45" s="1" t="s">
        <v>308</v>
      </c>
      <c r="AE45" s="1" t="s">
        <v>309</v>
      </c>
      <c r="AF45" s="1" t="s">
        <v>315</v>
      </c>
      <c r="AG45" s="1" t="s">
        <v>315</v>
      </c>
      <c r="AH45" s="11" t="s">
        <v>744</v>
      </c>
      <c r="AI45" s="11" t="s">
        <v>362</v>
      </c>
      <c r="AJ45" s="1" t="s">
        <v>721</v>
      </c>
      <c r="AK45" s="1" t="s">
        <v>1105</v>
      </c>
      <c r="AL45" s="1" t="s">
        <v>315</v>
      </c>
      <c r="AM45" s="11">
        <v>16.640625</v>
      </c>
      <c r="AN45" s="11">
        <v>0.8203125</v>
      </c>
      <c r="AO45" s="11" t="s">
        <v>315</v>
      </c>
      <c r="AP45" s="11">
        <v>60</v>
      </c>
      <c r="AQ45" s="11">
        <v>4.2187499999999902</v>
      </c>
      <c r="AR45" s="11">
        <v>0.46875000000000977</v>
      </c>
      <c r="AS45" s="11" t="s">
        <v>315</v>
      </c>
      <c r="AT45" s="11">
        <v>60</v>
      </c>
      <c r="AU45" s="1" t="s">
        <v>1112</v>
      </c>
    </row>
    <row r="46" spans="1:47">
      <c r="A46" s="1">
        <v>18</v>
      </c>
      <c r="B46" s="11">
        <v>12</v>
      </c>
      <c r="C46" s="1" t="s">
        <v>100</v>
      </c>
      <c r="D46" s="1" t="s">
        <v>101</v>
      </c>
      <c r="E46" s="1" t="s">
        <v>86</v>
      </c>
      <c r="F46" s="1">
        <v>2013</v>
      </c>
      <c r="G46" s="1" t="s">
        <v>464</v>
      </c>
      <c r="H46" s="1" t="s">
        <v>465</v>
      </c>
      <c r="I46" s="1">
        <v>23.774999999999999</v>
      </c>
      <c r="J46" s="1">
        <v>-76.008332999999993</v>
      </c>
      <c r="K46" s="1" t="s">
        <v>363</v>
      </c>
      <c r="L46" s="1" t="s">
        <v>392</v>
      </c>
      <c r="M46" s="1" t="s">
        <v>574</v>
      </c>
      <c r="N46" s="1" t="s">
        <v>575</v>
      </c>
      <c r="O46" s="1" t="s">
        <v>791</v>
      </c>
      <c r="P46" s="1" t="s">
        <v>294</v>
      </c>
      <c r="Q46" s="1" t="s">
        <v>716</v>
      </c>
      <c r="R46" s="1" t="s">
        <v>315</v>
      </c>
      <c r="S46" s="1" t="s">
        <v>336</v>
      </c>
      <c r="T46" s="11" t="s">
        <v>315</v>
      </c>
      <c r="U46" s="11" t="s">
        <v>720</v>
      </c>
      <c r="V46" s="1" t="s">
        <v>345</v>
      </c>
      <c r="W46" s="1" t="s">
        <v>315</v>
      </c>
      <c r="X46" s="1" t="s">
        <v>661</v>
      </c>
      <c r="Y46" s="1" t="s">
        <v>662</v>
      </c>
      <c r="Z46" s="1" t="s">
        <v>315</v>
      </c>
      <c r="AA46" s="1" t="s">
        <v>315</v>
      </c>
      <c r="AB46" s="1" t="s">
        <v>345</v>
      </c>
      <c r="AC46" s="1" t="s">
        <v>315</v>
      </c>
      <c r="AD46" s="1" t="s">
        <v>308</v>
      </c>
      <c r="AE46" s="1" t="s">
        <v>309</v>
      </c>
      <c r="AF46" s="1" t="s">
        <v>315</v>
      </c>
      <c r="AG46" s="1" t="s">
        <v>315</v>
      </c>
      <c r="AH46" s="11" t="s">
        <v>744</v>
      </c>
      <c r="AI46" s="11" t="s">
        <v>362</v>
      </c>
      <c r="AJ46" s="1" t="s">
        <v>721</v>
      </c>
      <c r="AK46" s="1" t="s">
        <v>1105</v>
      </c>
      <c r="AL46" s="1" t="s">
        <v>315</v>
      </c>
      <c r="AM46" s="11">
        <v>1.40624999999999</v>
      </c>
      <c r="AN46" s="11">
        <v>0.23437500000000999</v>
      </c>
      <c r="AO46" s="11" t="s">
        <v>315</v>
      </c>
      <c r="AP46" s="11">
        <v>60</v>
      </c>
      <c r="AQ46" s="11">
        <v>1.2890625</v>
      </c>
      <c r="AR46" s="11">
        <v>0.3515625</v>
      </c>
      <c r="AS46" s="11" t="s">
        <v>315</v>
      </c>
      <c r="AT46" s="11">
        <v>60</v>
      </c>
      <c r="AU46" s="1" t="s">
        <v>1114</v>
      </c>
    </row>
    <row r="47" spans="1:47">
      <c r="A47" s="1">
        <v>18</v>
      </c>
      <c r="B47" s="11">
        <v>13</v>
      </c>
      <c r="C47" s="1" t="s">
        <v>100</v>
      </c>
      <c r="D47" s="1" t="s">
        <v>101</v>
      </c>
      <c r="E47" s="1" t="s">
        <v>86</v>
      </c>
      <c r="F47" s="1">
        <v>2013</v>
      </c>
      <c r="G47" s="1" t="s">
        <v>464</v>
      </c>
      <c r="H47" s="1" t="s">
        <v>465</v>
      </c>
      <c r="I47" s="1">
        <v>23.774999999999999</v>
      </c>
      <c r="J47" s="1">
        <v>-76.008332999999993</v>
      </c>
      <c r="K47" s="1" t="s">
        <v>363</v>
      </c>
      <c r="L47" s="1" t="s">
        <v>392</v>
      </c>
      <c r="M47" s="1" t="s">
        <v>574</v>
      </c>
      <c r="N47" s="1" t="s">
        <v>575</v>
      </c>
      <c r="O47" s="1" t="s">
        <v>791</v>
      </c>
      <c r="P47" s="1" t="s">
        <v>294</v>
      </c>
      <c r="Q47" s="1" t="s">
        <v>716</v>
      </c>
      <c r="R47" s="1" t="s">
        <v>315</v>
      </c>
      <c r="S47" s="1" t="s">
        <v>336</v>
      </c>
      <c r="T47" s="11" t="s">
        <v>315</v>
      </c>
      <c r="U47" s="11" t="s">
        <v>720</v>
      </c>
      <c r="V47" s="1" t="s">
        <v>345</v>
      </c>
      <c r="W47" s="1" t="s">
        <v>315</v>
      </c>
      <c r="X47" s="1" t="s">
        <v>661</v>
      </c>
      <c r="Y47" s="1" t="s">
        <v>662</v>
      </c>
      <c r="Z47" s="1" t="s">
        <v>315</v>
      </c>
      <c r="AA47" s="1" t="s">
        <v>315</v>
      </c>
      <c r="AB47" s="1" t="s">
        <v>345</v>
      </c>
      <c r="AC47" s="1" t="s">
        <v>315</v>
      </c>
      <c r="AD47" s="1" t="s">
        <v>618</v>
      </c>
      <c r="AE47" s="1" t="s">
        <v>315</v>
      </c>
      <c r="AF47" s="1" t="s">
        <v>315</v>
      </c>
      <c r="AG47" s="1" t="s">
        <v>315</v>
      </c>
      <c r="AH47" s="11" t="s">
        <v>744</v>
      </c>
      <c r="AI47" s="11" t="s">
        <v>362</v>
      </c>
      <c r="AJ47" s="1" t="s">
        <v>721</v>
      </c>
      <c r="AK47" s="1" t="s">
        <v>1105</v>
      </c>
      <c r="AL47" s="1" t="s">
        <v>315</v>
      </c>
      <c r="AM47" s="11">
        <v>19.921875</v>
      </c>
      <c r="AN47" s="11">
        <v>1.4062499999999005</v>
      </c>
      <c r="AO47" s="11" t="s">
        <v>315</v>
      </c>
      <c r="AP47" s="11">
        <v>50</v>
      </c>
      <c r="AQ47" s="11">
        <v>7.96875</v>
      </c>
      <c r="AR47" s="11">
        <v>0.703125</v>
      </c>
      <c r="AS47" s="11" t="s">
        <v>315</v>
      </c>
      <c r="AT47" s="11">
        <v>50</v>
      </c>
      <c r="AU47" s="1" t="s">
        <v>1107</v>
      </c>
    </row>
    <row r="48" spans="1:47">
      <c r="A48" s="1">
        <v>18</v>
      </c>
      <c r="B48" s="11">
        <v>14</v>
      </c>
      <c r="C48" s="1" t="s">
        <v>100</v>
      </c>
      <c r="D48" s="1" t="s">
        <v>101</v>
      </c>
      <c r="E48" s="1" t="s">
        <v>86</v>
      </c>
      <c r="F48" s="1">
        <v>2013</v>
      </c>
      <c r="G48" s="1" t="s">
        <v>464</v>
      </c>
      <c r="H48" s="1" t="s">
        <v>465</v>
      </c>
      <c r="I48" s="1">
        <v>23.774999999999999</v>
      </c>
      <c r="J48" s="1">
        <v>-76.008332999999993</v>
      </c>
      <c r="K48" s="1" t="s">
        <v>363</v>
      </c>
      <c r="L48" s="1" t="s">
        <v>392</v>
      </c>
      <c r="M48" s="1" t="s">
        <v>574</v>
      </c>
      <c r="N48" s="1" t="s">
        <v>575</v>
      </c>
      <c r="O48" s="1" t="s">
        <v>791</v>
      </c>
      <c r="P48" s="1" t="s">
        <v>294</v>
      </c>
      <c r="Q48" s="1" t="s">
        <v>716</v>
      </c>
      <c r="R48" s="1" t="s">
        <v>315</v>
      </c>
      <c r="S48" s="1" t="s">
        <v>336</v>
      </c>
      <c r="T48" s="11" t="s">
        <v>315</v>
      </c>
      <c r="U48" s="11" t="s">
        <v>720</v>
      </c>
      <c r="V48" s="1" t="s">
        <v>345</v>
      </c>
      <c r="W48" s="1" t="s">
        <v>315</v>
      </c>
      <c r="X48" s="1" t="s">
        <v>661</v>
      </c>
      <c r="Y48" s="1" t="s">
        <v>662</v>
      </c>
      <c r="Z48" s="1" t="s">
        <v>315</v>
      </c>
      <c r="AA48" s="1" t="s">
        <v>315</v>
      </c>
      <c r="AB48" s="1" t="s">
        <v>345</v>
      </c>
      <c r="AC48" s="1" t="s">
        <v>315</v>
      </c>
      <c r="AD48" s="1" t="s">
        <v>618</v>
      </c>
      <c r="AE48" s="1" t="s">
        <v>315</v>
      </c>
      <c r="AF48" s="1" t="s">
        <v>315</v>
      </c>
      <c r="AG48" s="1" t="s">
        <v>315</v>
      </c>
      <c r="AH48" s="11" t="s">
        <v>744</v>
      </c>
      <c r="AI48" s="11" t="s">
        <v>362</v>
      </c>
      <c r="AJ48" s="1" t="s">
        <v>721</v>
      </c>
      <c r="AK48" s="1" t="s">
        <v>1105</v>
      </c>
      <c r="AL48" s="1" t="s">
        <v>315</v>
      </c>
      <c r="AM48" s="11">
        <v>11.249999999999901</v>
      </c>
      <c r="AN48" s="11">
        <v>0.70312500000009948</v>
      </c>
      <c r="AO48" s="11" t="s">
        <v>315</v>
      </c>
      <c r="AP48" s="11">
        <v>60</v>
      </c>
      <c r="AQ48" s="11">
        <v>5.3906250000000098</v>
      </c>
      <c r="AR48" s="11">
        <v>0.70312499999998046</v>
      </c>
      <c r="AS48" s="11" t="s">
        <v>315</v>
      </c>
      <c r="AT48" s="11">
        <v>60</v>
      </c>
      <c r="AU48" s="1" t="s">
        <v>1109</v>
      </c>
    </row>
    <row r="49" spans="1:47">
      <c r="A49" s="1">
        <v>18</v>
      </c>
      <c r="B49" s="11">
        <v>15</v>
      </c>
      <c r="C49" s="1" t="s">
        <v>100</v>
      </c>
      <c r="D49" s="1" t="s">
        <v>101</v>
      </c>
      <c r="E49" s="1" t="s">
        <v>86</v>
      </c>
      <c r="F49" s="1">
        <v>2013</v>
      </c>
      <c r="G49" s="1" t="s">
        <v>464</v>
      </c>
      <c r="H49" s="1" t="s">
        <v>465</v>
      </c>
      <c r="I49" s="1">
        <v>23.774999999999999</v>
      </c>
      <c r="J49" s="1">
        <v>-76.008332999999993</v>
      </c>
      <c r="K49" s="1" t="s">
        <v>363</v>
      </c>
      <c r="L49" s="1" t="s">
        <v>392</v>
      </c>
      <c r="M49" s="1" t="s">
        <v>574</v>
      </c>
      <c r="N49" s="1" t="s">
        <v>575</v>
      </c>
      <c r="O49" s="1" t="s">
        <v>791</v>
      </c>
      <c r="P49" s="1" t="s">
        <v>294</v>
      </c>
      <c r="Q49" s="1" t="s">
        <v>716</v>
      </c>
      <c r="R49" s="1" t="s">
        <v>315</v>
      </c>
      <c r="S49" s="1" t="s">
        <v>336</v>
      </c>
      <c r="T49" s="11" t="s">
        <v>315</v>
      </c>
      <c r="U49" s="11" t="s">
        <v>720</v>
      </c>
      <c r="V49" s="1" t="s">
        <v>345</v>
      </c>
      <c r="W49" s="1" t="s">
        <v>315</v>
      </c>
      <c r="X49" s="1" t="s">
        <v>661</v>
      </c>
      <c r="Y49" s="1" t="s">
        <v>662</v>
      </c>
      <c r="Z49" s="1" t="s">
        <v>315</v>
      </c>
      <c r="AA49" s="1" t="s">
        <v>315</v>
      </c>
      <c r="AB49" s="1" t="s">
        <v>345</v>
      </c>
      <c r="AC49" s="1" t="s">
        <v>315</v>
      </c>
      <c r="AD49" s="1" t="s">
        <v>618</v>
      </c>
      <c r="AE49" s="1" t="s">
        <v>315</v>
      </c>
      <c r="AF49" s="1" t="s">
        <v>315</v>
      </c>
      <c r="AG49" s="1" t="s">
        <v>315</v>
      </c>
      <c r="AH49" s="11" t="s">
        <v>744</v>
      </c>
      <c r="AI49" s="11" t="s">
        <v>362</v>
      </c>
      <c r="AJ49" s="1" t="s">
        <v>721</v>
      </c>
      <c r="AK49" s="1" t="s">
        <v>1105</v>
      </c>
      <c r="AL49" s="1" t="s">
        <v>315</v>
      </c>
      <c r="AM49" s="11">
        <v>11.953125</v>
      </c>
      <c r="AN49" s="11">
        <v>0.93749999999990052</v>
      </c>
      <c r="AO49" s="11" t="s">
        <v>315</v>
      </c>
      <c r="AP49" s="11">
        <v>60</v>
      </c>
      <c r="AQ49" s="11">
        <v>30.46875</v>
      </c>
      <c r="AR49" s="11">
        <v>0.703125</v>
      </c>
      <c r="AS49" s="11" t="s">
        <v>315</v>
      </c>
      <c r="AT49" s="11">
        <v>60</v>
      </c>
      <c r="AU49" s="1" t="s">
        <v>1111</v>
      </c>
    </row>
    <row r="50" spans="1:47">
      <c r="A50" s="1">
        <v>18</v>
      </c>
      <c r="B50" s="11">
        <v>16</v>
      </c>
      <c r="C50" s="1" t="s">
        <v>100</v>
      </c>
      <c r="D50" s="1" t="s">
        <v>101</v>
      </c>
      <c r="E50" s="1" t="s">
        <v>86</v>
      </c>
      <c r="F50" s="1">
        <v>2013</v>
      </c>
      <c r="G50" s="1" t="s">
        <v>464</v>
      </c>
      <c r="H50" s="1" t="s">
        <v>465</v>
      </c>
      <c r="I50" s="1">
        <v>23.774999999999999</v>
      </c>
      <c r="J50" s="1">
        <v>-76.008332999999993</v>
      </c>
      <c r="K50" s="1" t="s">
        <v>363</v>
      </c>
      <c r="L50" s="1" t="s">
        <v>392</v>
      </c>
      <c r="M50" s="1" t="s">
        <v>574</v>
      </c>
      <c r="N50" s="1" t="s">
        <v>575</v>
      </c>
      <c r="O50" s="1" t="s">
        <v>791</v>
      </c>
      <c r="P50" s="1" t="s">
        <v>294</v>
      </c>
      <c r="Q50" s="1" t="s">
        <v>716</v>
      </c>
      <c r="R50" s="1" t="s">
        <v>315</v>
      </c>
      <c r="S50" s="1" t="s">
        <v>336</v>
      </c>
      <c r="T50" s="11" t="s">
        <v>315</v>
      </c>
      <c r="U50" s="11" t="s">
        <v>720</v>
      </c>
      <c r="V50" s="1" t="s">
        <v>345</v>
      </c>
      <c r="W50" s="1" t="s">
        <v>315</v>
      </c>
      <c r="X50" s="1" t="s">
        <v>661</v>
      </c>
      <c r="Y50" s="1" t="s">
        <v>662</v>
      </c>
      <c r="Z50" s="1" t="s">
        <v>315</v>
      </c>
      <c r="AA50" s="1" t="s">
        <v>315</v>
      </c>
      <c r="AB50" s="1" t="s">
        <v>345</v>
      </c>
      <c r="AC50" s="1" t="s">
        <v>315</v>
      </c>
      <c r="AD50" s="1" t="s">
        <v>618</v>
      </c>
      <c r="AE50" s="1" t="s">
        <v>315</v>
      </c>
      <c r="AF50" s="1" t="s">
        <v>315</v>
      </c>
      <c r="AG50" s="1" t="s">
        <v>315</v>
      </c>
      <c r="AH50" s="11" t="s">
        <v>744</v>
      </c>
      <c r="AI50" s="11" t="s">
        <v>362</v>
      </c>
      <c r="AJ50" s="1" t="s">
        <v>721</v>
      </c>
      <c r="AK50" s="1" t="s">
        <v>1105</v>
      </c>
      <c r="AL50" s="1" t="s">
        <v>315</v>
      </c>
      <c r="AM50" s="11">
        <v>8.9062499999999893</v>
      </c>
      <c r="AN50" s="11">
        <v>0.93750000000002132</v>
      </c>
      <c r="AO50" s="11" t="s">
        <v>315</v>
      </c>
      <c r="AP50" s="11">
        <v>60</v>
      </c>
      <c r="AQ50" s="11">
        <v>2.34375</v>
      </c>
      <c r="AR50" s="11">
        <v>0.46874999999998979</v>
      </c>
      <c r="AS50" s="11" t="s">
        <v>315</v>
      </c>
      <c r="AT50" s="11">
        <v>60</v>
      </c>
      <c r="AU50" s="1" t="s">
        <v>1113</v>
      </c>
    </row>
    <row r="51" spans="1:47">
      <c r="A51" s="1">
        <v>18</v>
      </c>
      <c r="B51" s="11">
        <v>17</v>
      </c>
      <c r="C51" s="1" t="s">
        <v>100</v>
      </c>
      <c r="D51" s="1" t="s">
        <v>101</v>
      </c>
      <c r="E51" s="1" t="s">
        <v>86</v>
      </c>
      <c r="F51" s="1">
        <v>2013</v>
      </c>
      <c r="G51" s="1" t="s">
        <v>464</v>
      </c>
      <c r="H51" s="1" t="s">
        <v>465</v>
      </c>
      <c r="I51" s="1">
        <v>23.774999999999999</v>
      </c>
      <c r="J51" s="1">
        <v>-76.008332999999993</v>
      </c>
      <c r="K51" s="1" t="s">
        <v>363</v>
      </c>
      <c r="L51" s="1" t="s">
        <v>392</v>
      </c>
      <c r="M51" s="1" t="s">
        <v>574</v>
      </c>
      <c r="N51" s="1" t="s">
        <v>575</v>
      </c>
      <c r="O51" s="1" t="s">
        <v>791</v>
      </c>
      <c r="P51" s="1" t="s">
        <v>294</v>
      </c>
      <c r="Q51" s="1" t="s">
        <v>716</v>
      </c>
      <c r="R51" s="1" t="s">
        <v>315</v>
      </c>
      <c r="S51" s="1" t="s">
        <v>336</v>
      </c>
      <c r="T51" s="11" t="s">
        <v>315</v>
      </c>
      <c r="U51" s="11" t="s">
        <v>720</v>
      </c>
      <c r="V51" s="1" t="s">
        <v>345</v>
      </c>
      <c r="W51" s="1" t="s">
        <v>315</v>
      </c>
      <c r="X51" s="1" t="s">
        <v>661</v>
      </c>
      <c r="Y51" s="1" t="s">
        <v>662</v>
      </c>
      <c r="Z51" s="1" t="s">
        <v>315</v>
      </c>
      <c r="AA51" s="1" t="s">
        <v>315</v>
      </c>
      <c r="AB51" s="1" t="s">
        <v>345</v>
      </c>
      <c r="AC51" s="1" t="s">
        <v>315</v>
      </c>
      <c r="AD51" s="1" t="s">
        <v>618</v>
      </c>
      <c r="AE51" s="1" t="s">
        <v>315</v>
      </c>
      <c r="AF51" s="1" t="s">
        <v>315</v>
      </c>
      <c r="AG51" s="1" t="s">
        <v>315</v>
      </c>
      <c r="AH51" s="11" t="s">
        <v>744</v>
      </c>
      <c r="AI51" s="11" t="s">
        <v>362</v>
      </c>
      <c r="AJ51" s="1" t="s">
        <v>721</v>
      </c>
      <c r="AK51" s="1" t="s">
        <v>1105</v>
      </c>
      <c r="AL51" s="1" t="s">
        <v>315</v>
      </c>
      <c r="AM51" s="11">
        <v>3.046875</v>
      </c>
      <c r="AN51" s="11">
        <v>0.46875</v>
      </c>
      <c r="AO51" s="11" t="s">
        <v>315</v>
      </c>
      <c r="AP51" s="11">
        <v>60</v>
      </c>
      <c r="AQ51" s="11">
        <v>1.875</v>
      </c>
      <c r="AR51" s="11">
        <v>0.46875</v>
      </c>
      <c r="AS51" s="11" t="s">
        <v>315</v>
      </c>
      <c r="AT51" s="11">
        <v>60</v>
      </c>
      <c r="AU51" s="1" t="s">
        <v>1115</v>
      </c>
    </row>
    <row r="52" spans="1:47">
      <c r="A52" s="1">
        <v>19</v>
      </c>
      <c r="B52" s="1">
        <v>1</v>
      </c>
      <c r="C52" s="1" t="s">
        <v>105</v>
      </c>
      <c r="D52" s="1" t="s">
        <v>106</v>
      </c>
      <c r="E52" s="1" t="s">
        <v>75</v>
      </c>
      <c r="F52" s="1">
        <v>2011</v>
      </c>
      <c r="G52" s="1" t="s">
        <v>466</v>
      </c>
      <c r="H52" s="1" t="s">
        <v>467</v>
      </c>
      <c r="I52" s="1">
        <v>-17.453870999999999</v>
      </c>
      <c r="J52" s="1">
        <v>149.84287900000001</v>
      </c>
      <c r="K52" s="1" t="s">
        <v>394</v>
      </c>
      <c r="L52" s="1" t="s">
        <v>395</v>
      </c>
      <c r="M52" s="1" t="s">
        <v>645</v>
      </c>
      <c r="N52" s="1" t="s">
        <v>291</v>
      </c>
      <c r="O52" s="1" t="s">
        <v>292</v>
      </c>
      <c r="P52" s="1" t="s">
        <v>294</v>
      </c>
      <c r="Q52" s="1" t="s">
        <v>332</v>
      </c>
      <c r="R52" s="1" t="s">
        <v>315</v>
      </c>
      <c r="S52" s="1" t="s">
        <v>336</v>
      </c>
      <c r="T52" s="11" t="s">
        <v>315</v>
      </c>
      <c r="U52" s="1">
        <v>2008</v>
      </c>
      <c r="V52" s="1" t="s">
        <v>345</v>
      </c>
      <c r="W52" s="1" t="s">
        <v>315</v>
      </c>
      <c r="X52" s="1" t="s">
        <v>306</v>
      </c>
      <c r="Y52" s="1" t="s">
        <v>307</v>
      </c>
      <c r="Z52" s="1" t="s">
        <v>315</v>
      </c>
      <c r="AA52" s="1" t="s">
        <v>315</v>
      </c>
      <c r="AB52" s="1" t="s">
        <v>295</v>
      </c>
      <c r="AC52" s="1" t="s">
        <v>724</v>
      </c>
      <c r="AD52" s="1" t="s">
        <v>308</v>
      </c>
      <c r="AE52" s="1" t="s">
        <v>611</v>
      </c>
      <c r="AF52" s="1" t="s">
        <v>722</v>
      </c>
      <c r="AG52" s="1" t="s">
        <v>723</v>
      </c>
      <c r="AH52" s="1" t="s">
        <v>714</v>
      </c>
      <c r="AI52" s="1" t="s">
        <v>714</v>
      </c>
      <c r="AJ52" s="1" t="s">
        <v>725</v>
      </c>
      <c r="AK52" s="1" t="s">
        <v>318</v>
      </c>
      <c r="AL52" s="1" t="s">
        <v>670</v>
      </c>
      <c r="AM52" s="1">
        <v>1.7100000000000001E-2</v>
      </c>
      <c r="AN52" s="5"/>
      <c r="AO52" s="5"/>
      <c r="AP52" s="1">
        <v>10</v>
      </c>
      <c r="AQ52" s="1">
        <v>1.38E-2</v>
      </c>
      <c r="AR52" s="5"/>
      <c r="AS52" s="5"/>
      <c r="AT52" s="11">
        <v>10</v>
      </c>
      <c r="AU52" s="1" t="s">
        <v>898</v>
      </c>
    </row>
    <row r="53" spans="1:47">
      <c r="A53" s="1">
        <v>20</v>
      </c>
      <c r="B53" s="1">
        <v>1</v>
      </c>
      <c r="C53" s="1" t="s">
        <v>115</v>
      </c>
      <c r="D53" s="1" t="s">
        <v>116</v>
      </c>
      <c r="E53" s="1" t="s">
        <v>117</v>
      </c>
      <c r="F53" s="1">
        <v>2009</v>
      </c>
      <c r="G53" s="1" t="s">
        <v>468</v>
      </c>
      <c r="H53" s="1" t="s">
        <v>469</v>
      </c>
      <c r="I53" s="1">
        <v>-32.65</v>
      </c>
      <c r="J53" s="1">
        <v>152.86666700000001</v>
      </c>
      <c r="K53" s="1" t="s">
        <v>375</v>
      </c>
      <c r="L53" s="1" t="s">
        <v>399</v>
      </c>
      <c r="M53" s="1" t="s">
        <v>645</v>
      </c>
      <c r="N53" s="1" t="s">
        <v>291</v>
      </c>
      <c r="O53" s="1" t="s">
        <v>292</v>
      </c>
      <c r="P53" s="1" t="s">
        <v>425</v>
      </c>
      <c r="Q53" s="1" t="s">
        <v>726</v>
      </c>
      <c r="R53" s="1" t="s">
        <v>315</v>
      </c>
      <c r="S53" s="1" t="s">
        <v>336</v>
      </c>
      <c r="T53" s="11" t="s">
        <v>597</v>
      </c>
      <c r="U53" s="1">
        <v>2005</v>
      </c>
      <c r="V53" s="1" t="s">
        <v>295</v>
      </c>
      <c r="W53" s="1" t="s">
        <v>727</v>
      </c>
      <c r="X53" s="1" t="s">
        <v>661</v>
      </c>
      <c r="Y53" s="1" t="s">
        <v>309</v>
      </c>
      <c r="Z53" s="1" t="s">
        <v>729</v>
      </c>
      <c r="AA53" s="1" t="s">
        <v>730</v>
      </c>
      <c r="AB53" s="1" t="s">
        <v>345</v>
      </c>
      <c r="AC53" s="1" t="s">
        <v>315</v>
      </c>
      <c r="AD53" s="1" t="s">
        <v>347</v>
      </c>
      <c r="AE53" s="1" t="s">
        <v>315</v>
      </c>
      <c r="AF53" s="1" t="s">
        <v>315</v>
      </c>
      <c r="AG53" s="1" t="s">
        <v>315</v>
      </c>
      <c r="AH53" s="1" t="s">
        <v>828</v>
      </c>
      <c r="AI53" s="1" t="s">
        <v>362</v>
      </c>
      <c r="AJ53" s="1" t="s">
        <v>732</v>
      </c>
      <c r="AK53" s="1" t="s">
        <v>584</v>
      </c>
      <c r="AL53" s="1" t="s">
        <v>315</v>
      </c>
      <c r="AM53">
        <v>5.7251908396946529</v>
      </c>
      <c r="AN53">
        <v>0.57389148486144603</v>
      </c>
      <c r="AO53" s="1" t="s">
        <v>315</v>
      </c>
      <c r="AP53" s="1">
        <v>6</v>
      </c>
      <c r="AQ53">
        <v>-0.27480916030533609</v>
      </c>
      <c r="AR53">
        <v>0.45801526717556962</v>
      </c>
      <c r="AS53" s="1" t="s">
        <v>315</v>
      </c>
      <c r="AT53" s="11">
        <v>6</v>
      </c>
      <c r="AU53" s="1" t="s">
        <v>737</v>
      </c>
    </row>
    <row r="54" spans="1:47">
      <c r="A54" s="1">
        <v>20</v>
      </c>
      <c r="B54" s="11">
        <v>2</v>
      </c>
      <c r="C54" s="1" t="s">
        <v>115</v>
      </c>
      <c r="D54" s="1" t="s">
        <v>116</v>
      </c>
      <c r="E54" s="1" t="s">
        <v>117</v>
      </c>
      <c r="F54" s="1">
        <v>2009</v>
      </c>
      <c r="G54" s="1" t="s">
        <v>468</v>
      </c>
      <c r="H54" s="1" t="s">
        <v>469</v>
      </c>
      <c r="I54" s="1">
        <v>-32.65</v>
      </c>
      <c r="J54" s="1">
        <v>152.86666700000001</v>
      </c>
      <c r="K54" s="1" t="s">
        <v>375</v>
      </c>
      <c r="L54" s="1" t="s">
        <v>399</v>
      </c>
      <c r="M54" s="1" t="s">
        <v>645</v>
      </c>
      <c r="N54" s="1" t="s">
        <v>291</v>
      </c>
      <c r="O54" s="1" t="s">
        <v>292</v>
      </c>
      <c r="P54" s="1" t="s">
        <v>425</v>
      </c>
      <c r="Q54" s="1" t="s">
        <v>726</v>
      </c>
      <c r="R54" s="1" t="s">
        <v>315</v>
      </c>
      <c r="S54" s="1" t="s">
        <v>336</v>
      </c>
      <c r="T54" s="11" t="s">
        <v>597</v>
      </c>
      <c r="U54" s="1">
        <v>2005</v>
      </c>
      <c r="V54" s="1" t="s">
        <v>295</v>
      </c>
      <c r="W54" s="1" t="s">
        <v>727</v>
      </c>
      <c r="X54" s="1" t="s">
        <v>661</v>
      </c>
      <c r="Y54" s="1" t="s">
        <v>309</v>
      </c>
      <c r="Z54" s="1" t="s">
        <v>729</v>
      </c>
      <c r="AA54" s="1" t="s">
        <v>730</v>
      </c>
      <c r="AB54" s="1" t="s">
        <v>345</v>
      </c>
      <c r="AC54" s="1" t="s">
        <v>315</v>
      </c>
      <c r="AD54" s="1" t="s">
        <v>347</v>
      </c>
      <c r="AE54" s="1" t="s">
        <v>315</v>
      </c>
      <c r="AF54" s="1" t="s">
        <v>315</v>
      </c>
      <c r="AG54" s="1" t="s">
        <v>315</v>
      </c>
      <c r="AH54" s="1" t="s">
        <v>731</v>
      </c>
      <c r="AI54" s="1" t="s">
        <v>362</v>
      </c>
      <c r="AJ54" s="1" t="s">
        <v>732</v>
      </c>
      <c r="AK54" s="1" t="s">
        <v>736</v>
      </c>
      <c r="AL54" s="1" t="s">
        <v>315</v>
      </c>
      <c r="AM54" s="12">
        <v>39.8507462686567</v>
      </c>
      <c r="AN54" s="12">
        <v>5.0746268656715969</v>
      </c>
      <c r="AO54" s="1" t="s">
        <v>315</v>
      </c>
      <c r="AP54" s="1">
        <v>3</v>
      </c>
      <c r="AQ54" s="12">
        <v>32.686567164179102</v>
      </c>
      <c r="AR54" s="12">
        <v>1.7910447761193993</v>
      </c>
      <c r="AS54" s="1" t="s">
        <v>315</v>
      </c>
      <c r="AT54" s="11">
        <v>3</v>
      </c>
      <c r="AU54" s="1" t="s">
        <v>890</v>
      </c>
    </row>
    <row r="55" spans="1:47">
      <c r="A55" s="1">
        <v>20</v>
      </c>
      <c r="B55" s="11">
        <v>3</v>
      </c>
      <c r="C55" s="1" t="s">
        <v>115</v>
      </c>
      <c r="D55" s="1" t="s">
        <v>116</v>
      </c>
      <c r="E55" s="1" t="s">
        <v>117</v>
      </c>
      <c r="F55" s="1">
        <v>2009</v>
      </c>
      <c r="G55" s="1" t="s">
        <v>468</v>
      </c>
      <c r="H55" s="1" t="s">
        <v>469</v>
      </c>
      <c r="I55" s="1">
        <v>-32.65</v>
      </c>
      <c r="J55" s="1">
        <v>152.86666700000001</v>
      </c>
      <c r="K55" s="1" t="s">
        <v>375</v>
      </c>
      <c r="L55" s="1" t="s">
        <v>399</v>
      </c>
      <c r="M55" s="1" t="s">
        <v>645</v>
      </c>
      <c r="N55" s="1" t="s">
        <v>291</v>
      </c>
      <c r="O55" s="1" t="s">
        <v>292</v>
      </c>
      <c r="P55" s="1" t="s">
        <v>425</v>
      </c>
      <c r="Q55" s="1" t="s">
        <v>726</v>
      </c>
      <c r="R55" s="1" t="s">
        <v>315</v>
      </c>
      <c r="S55" s="1" t="s">
        <v>336</v>
      </c>
      <c r="T55" s="11" t="s">
        <v>597</v>
      </c>
      <c r="U55" s="1">
        <v>2005</v>
      </c>
      <c r="V55" s="1" t="s">
        <v>295</v>
      </c>
      <c r="W55" s="1" t="s">
        <v>727</v>
      </c>
      <c r="X55" s="1" t="s">
        <v>661</v>
      </c>
      <c r="Y55" s="1" t="s">
        <v>309</v>
      </c>
      <c r="Z55" s="1" t="s">
        <v>729</v>
      </c>
      <c r="AA55" s="1" t="s">
        <v>730</v>
      </c>
      <c r="AB55" s="1" t="s">
        <v>345</v>
      </c>
      <c r="AC55" s="1" t="s">
        <v>315</v>
      </c>
      <c r="AD55" s="1" t="s">
        <v>347</v>
      </c>
      <c r="AE55" s="1" t="s">
        <v>315</v>
      </c>
      <c r="AF55" s="1" t="s">
        <v>315</v>
      </c>
      <c r="AG55" s="1" t="s">
        <v>315</v>
      </c>
      <c r="AH55" s="1" t="s">
        <v>731</v>
      </c>
      <c r="AI55" s="1" t="s">
        <v>362</v>
      </c>
      <c r="AJ55" s="1" t="s">
        <v>732</v>
      </c>
      <c r="AK55" s="1" t="s">
        <v>736</v>
      </c>
      <c r="AL55" s="1" t="s">
        <v>315</v>
      </c>
      <c r="AM55" s="11">
        <v>37.164179104477597</v>
      </c>
      <c r="AN55" s="12">
        <v>8.3582089552238017</v>
      </c>
      <c r="AO55" s="1" t="s">
        <v>315</v>
      </c>
      <c r="AP55" s="1">
        <v>3</v>
      </c>
      <c r="AQ55" s="12">
        <v>28.805970149253699</v>
      </c>
      <c r="AR55" s="12">
        <v>2.6865671641790989</v>
      </c>
      <c r="AS55" s="1" t="s">
        <v>315</v>
      </c>
      <c r="AT55" s="11">
        <v>3</v>
      </c>
      <c r="AU55" s="1" t="s">
        <v>891</v>
      </c>
    </row>
    <row r="56" spans="1:47">
      <c r="A56" s="1">
        <v>20</v>
      </c>
      <c r="B56" s="11">
        <v>4</v>
      </c>
      <c r="C56" s="1" t="s">
        <v>115</v>
      </c>
      <c r="D56" s="1" t="s">
        <v>116</v>
      </c>
      <c r="E56" s="1" t="s">
        <v>117</v>
      </c>
      <c r="F56" s="1">
        <v>2009</v>
      </c>
      <c r="G56" s="1" t="s">
        <v>468</v>
      </c>
      <c r="H56" s="1" t="s">
        <v>469</v>
      </c>
      <c r="I56" s="1">
        <v>-32.65</v>
      </c>
      <c r="J56" s="1">
        <v>152.86666700000001</v>
      </c>
      <c r="K56" s="1" t="s">
        <v>375</v>
      </c>
      <c r="L56" s="1" t="s">
        <v>399</v>
      </c>
      <c r="M56" s="1" t="s">
        <v>645</v>
      </c>
      <c r="N56" s="1" t="s">
        <v>291</v>
      </c>
      <c r="O56" s="1" t="s">
        <v>292</v>
      </c>
      <c r="P56" s="1" t="s">
        <v>425</v>
      </c>
      <c r="Q56" s="1" t="s">
        <v>726</v>
      </c>
      <c r="R56" s="1" t="s">
        <v>315</v>
      </c>
      <c r="S56" s="1" t="s">
        <v>336</v>
      </c>
      <c r="T56" s="11" t="s">
        <v>597</v>
      </c>
      <c r="U56" s="1">
        <v>2005</v>
      </c>
      <c r="V56" s="1" t="s">
        <v>295</v>
      </c>
      <c r="W56" s="1" t="s">
        <v>727</v>
      </c>
      <c r="X56" s="1" t="s">
        <v>661</v>
      </c>
      <c r="Y56" s="1" t="s">
        <v>309</v>
      </c>
      <c r="Z56" s="1" t="s">
        <v>729</v>
      </c>
      <c r="AA56" s="1" t="s">
        <v>730</v>
      </c>
      <c r="AB56" s="1" t="s">
        <v>345</v>
      </c>
      <c r="AC56" s="1" t="s">
        <v>315</v>
      </c>
      <c r="AD56" s="1" t="s">
        <v>347</v>
      </c>
      <c r="AE56" s="1" t="s">
        <v>315</v>
      </c>
      <c r="AF56" s="1" t="s">
        <v>315</v>
      </c>
      <c r="AG56" s="1" t="s">
        <v>315</v>
      </c>
      <c r="AH56" s="1" t="s">
        <v>731</v>
      </c>
      <c r="AI56" s="1" t="s">
        <v>362</v>
      </c>
      <c r="AJ56" s="1" t="s">
        <v>732</v>
      </c>
      <c r="AK56" s="1" t="s">
        <v>736</v>
      </c>
      <c r="AL56" s="1" t="s">
        <v>315</v>
      </c>
      <c r="AM56" s="11">
        <v>52.388059701492502</v>
      </c>
      <c r="AN56" s="12">
        <v>1.7910447761193993</v>
      </c>
      <c r="AO56" s="1" t="s">
        <v>315</v>
      </c>
      <c r="AP56" s="1">
        <v>3</v>
      </c>
      <c r="AQ56" s="12">
        <v>23.432835820895502</v>
      </c>
      <c r="AR56" s="12">
        <v>2.388059701492498</v>
      </c>
      <c r="AS56" s="1" t="s">
        <v>315</v>
      </c>
      <c r="AT56" s="11">
        <v>3</v>
      </c>
      <c r="AU56" s="1" t="s">
        <v>892</v>
      </c>
    </row>
    <row r="57" spans="1:47">
      <c r="A57" s="1">
        <v>20</v>
      </c>
      <c r="B57" s="11">
        <v>5</v>
      </c>
      <c r="C57" s="1" t="s">
        <v>115</v>
      </c>
      <c r="D57" s="1" t="s">
        <v>116</v>
      </c>
      <c r="E57" s="1" t="s">
        <v>117</v>
      </c>
      <c r="F57" s="1">
        <v>2009</v>
      </c>
      <c r="G57" s="1" t="s">
        <v>468</v>
      </c>
      <c r="H57" s="1" t="s">
        <v>469</v>
      </c>
      <c r="I57" s="1">
        <v>-32.65</v>
      </c>
      <c r="J57" s="1">
        <v>152.86666700000001</v>
      </c>
      <c r="K57" s="1" t="s">
        <v>375</v>
      </c>
      <c r="L57" s="1" t="s">
        <v>399</v>
      </c>
      <c r="M57" s="1" t="s">
        <v>645</v>
      </c>
      <c r="N57" s="1" t="s">
        <v>291</v>
      </c>
      <c r="O57" s="1" t="s">
        <v>292</v>
      </c>
      <c r="P57" s="1" t="s">
        <v>425</v>
      </c>
      <c r="Q57" s="1" t="s">
        <v>726</v>
      </c>
      <c r="R57" s="1" t="s">
        <v>315</v>
      </c>
      <c r="S57" s="1" t="s">
        <v>336</v>
      </c>
      <c r="T57" s="11" t="s">
        <v>597</v>
      </c>
      <c r="U57" s="1">
        <v>2005</v>
      </c>
      <c r="V57" s="1" t="s">
        <v>295</v>
      </c>
      <c r="W57" s="1" t="s">
        <v>727</v>
      </c>
      <c r="X57" s="1" t="s">
        <v>661</v>
      </c>
      <c r="Y57" s="1" t="s">
        <v>309</v>
      </c>
      <c r="Z57" s="1" t="s">
        <v>729</v>
      </c>
      <c r="AA57" s="1" t="s">
        <v>730</v>
      </c>
      <c r="AB57" s="1" t="s">
        <v>345</v>
      </c>
      <c r="AC57" s="1" t="s">
        <v>315</v>
      </c>
      <c r="AD57" s="1" t="s">
        <v>347</v>
      </c>
      <c r="AE57" s="1" t="s">
        <v>315</v>
      </c>
      <c r="AF57" s="1" t="s">
        <v>315</v>
      </c>
      <c r="AG57" s="1" t="s">
        <v>315</v>
      </c>
      <c r="AH57" s="1" t="s">
        <v>731</v>
      </c>
      <c r="AI57" s="1" t="s">
        <v>362</v>
      </c>
      <c r="AJ57" s="1" t="s">
        <v>732</v>
      </c>
      <c r="AK57" s="1" t="s">
        <v>736</v>
      </c>
      <c r="AL57" s="1" t="s">
        <v>315</v>
      </c>
      <c r="AM57" s="11">
        <v>52.089552238805901</v>
      </c>
      <c r="AN57" s="12">
        <v>3.8805970149253994</v>
      </c>
      <c r="AO57" s="1" t="s">
        <v>315</v>
      </c>
      <c r="AP57" s="1">
        <v>3</v>
      </c>
      <c r="AQ57" s="12">
        <v>39.8507462686567</v>
      </c>
      <c r="AR57" s="12">
        <v>2.0895522388059007</v>
      </c>
      <c r="AS57" s="1" t="s">
        <v>315</v>
      </c>
      <c r="AT57" s="11">
        <v>3</v>
      </c>
      <c r="AU57" s="1" t="s">
        <v>893</v>
      </c>
    </row>
    <row r="58" spans="1:47">
      <c r="A58" s="1">
        <v>20</v>
      </c>
      <c r="B58" s="11">
        <v>6</v>
      </c>
      <c r="C58" s="1" t="s">
        <v>115</v>
      </c>
      <c r="D58" s="1" t="s">
        <v>116</v>
      </c>
      <c r="E58" s="1" t="s">
        <v>117</v>
      </c>
      <c r="F58" s="1">
        <v>2009</v>
      </c>
      <c r="G58" s="1" t="s">
        <v>468</v>
      </c>
      <c r="H58" s="1" t="s">
        <v>469</v>
      </c>
      <c r="I58" s="1">
        <v>-32.65</v>
      </c>
      <c r="J58" s="1">
        <v>152.86666700000001</v>
      </c>
      <c r="K58" s="1" t="s">
        <v>375</v>
      </c>
      <c r="L58" s="1" t="s">
        <v>399</v>
      </c>
      <c r="M58" s="1" t="s">
        <v>645</v>
      </c>
      <c r="N58" s="1" t="s">
        <v>291</v>
      </c>
      <c r="O58" s="1" t="s">
        <v>292</v>
      </c>
      <c r="P58" s="1" t="s">
        <v>425</v>
      </c>
      <c r="Q58" s="1" t="s">
        <v>726</v>
      </c>
      <c r="R58" s="1" t="s">
        <v>315</v>
      </c>
      <c r="S58" s="1" t="s">
        <v>336</v>
      </c>
      <c r="T58" s="11" t="s">
        <v>597</v>
      </c>
      <c r="U58" s="1">
        <v>2005</v>
      </c>
      <c r="V58" s="1" t="s">
        <v>295</v>
      </c>
      <c r="W58" s="1" t="s">
        <v>727</v>
      </c>
      <c r="X58" s="1" t="s">
        <v>661</v>
      </c>
      <c r="Y58" s="1" t="s">
        <v>309</v>
      </c>
      <c r="Z58" s="1" t="s">
        <v>729</v>
      </c>
      <c r="AA58" s="1" t="s">
        <v>730</v>
      </c>
      <c r="AB58" s="1" t="s">
        <v>345</v>
      </c>
      <c r="AC58" s="1" t="s">
        <v>315</v>
      </c>
      <c r="AD58" s="1" t="s">
        <v>347</v>
      </c>
      <c r="AE58" s="1" t="s">
        <v>315</v>
      </c>
      <c r="AF58" s="1" t="s">
        <v>315</v>
      </c>
      <c r="AG58" s="1" t="s">
        <v>315</v>
      </c>
      <c r="AH58" s="1" t="s">
        <v>731</v>
      </c>
      <c r="AI58" s="1" t="s">
        <v>362</v>
      </c>
      <c r="AJ58" s="1" t="s">
        <v>732</v>
      </c>
      <c r="AK58" s="1" t="s">
        <v>736</v>
      </c>
      <c r="AL58" s="1" t="s">
        <v>315</v>
      </c>
      <c r="AM58" s="11">
        <v>35.373134328358198</v>
      </c>
      <c r="AN58" s="12">
        <v>2.3880597014925016</v>
      </c>
      <c r="AO58" s="1" t="s">
        <v>315</v>
      </c>
      <c r="AP58" s="1">
        <v>3</v>
      </c>
      <c r="AQ58" s="12">
        <v>39.8507462686567</v>
      </c>
      <c r="AR58" s="12">
        <v>2.0895522388059007</v>
      </c>
      <c r="AS58" s="1" t="s">
        <v>315</v>
      </c>
      <c r="AT58" s="11">
        <v>3</v>
      </c>
      <c r="AU58" s="1" t="s">
        <v>894</v>
      </c>
    </row>
    <row r="59" spans="1:47">
      <c r="A59" s="1">
        <v>21</v>
      </c>
      <c r="B59" s="11">
        <v>1</v>
      </c>
      <c r="C59" s="1" t="s">
        <v>120</v>
      </c>
      <c r="D59" s="1" t="s">
        <v>121</v>
      </c>
      <c r="E59" s="1" t="s">
        <v>117</v>
      </c>
      <c r="F59" s="1">
        <v>2009</v>
      </c>
      <c r="G59" s="1" t="s">
        <v>474</v>
      </c>
      <c r="H59" s="1" t="s">
        <v>475</v>
      </c>
      <c r="I59" s="1">
        <v>38.303702999999999</v>
      </c>
      <c r="J59" s="1">
        <v>-123.089941</v>
      </c>
      <c r="K59" s="1" t="s">
        <v>366</v>
      </c>
      <c r="L59" s="1" t="s">
        <v>400</v>
      </c>
      <c r="M59" s="1" t="s">
        <v>574</v>
      </c>
      <c r="N59" s="1" t="s">
        <v>291</v>
      </c>
      <c r="O59" s="1" t="s">
        <v>791</v>
      </c>
      <c r="P59" s="1" t="s">
        <v>338</v>
      </c>
      <c r="Q59" s="1" t="s">
        <v>739</v>
      </c>
      <c r="R59" s="1" t="s">
        <v>315</v>
      </c>
      <c r="S59" s="1" t="s">
        <v>336</v>
      </c>
      <c r="T59" s="1" t="s">
        <v>578</v>
      </c>
      <c r="U59" s="1" t="s">
        <v>738</v>
      </c>
      <c r="V59" s="1" t="s">
        <v>295</v>
      </c>
      <c r="W59" s="1" t="s">
        <v>579</v>
      </c>
      <c r="X59" s="1" t="s">
        <v>580</v>
      </c>
      <c r="Y59" s="1" t="s">
        <v>581</v>
      </c>
      <c r="Z59" s="1" t="s">
        <v>582</v>
      </c>
      <c r="AA59" s="1" t="s">
        <v>743</v>
      </c>
      <c r="AB59" s="1" t="s">
        <v>295</v>
      </c>
      <c r="AC59" s="1" t="s">
        <v>742</v>
      </c>
      <c r="AD59" s="1" t="s">
        <v>618</v>
      </c>
      <c r="AE59" s="1" t="s">
        <v>642</v>
      </c>
      <c r="AF59" s="1" t="s">
        <v>740</v>
      </c>
      <c r="AG59" s="1" t="s">
        <v>741</v>
      </c>
      <c r="AH59" s="1" t="s">
        <v>744</v>
      </c>
      <c r="AI59" s="1" t="s">
        <v>362</v>
      </c>
      <c r="AJ59" s="1" t="s">
        <v>745</v>
      </c>
      <c r="AK59" s="1" t="s">
        <v>318</v>
      </c>
      <c r="AL59" s="1" t="s">
        <v>670</v>
      </c>
      <c r="AM59">
        <v>25.243902439024403</v>
      </c>
      <c r="AN59">
        <v>5.5964848319921074</v>
      </c>
      <c r="AO59" s="1" t="s">
        <v>315</v>
      </c>
      <c r="AP59" s="1">
        <v>26</v>
      </c>
      <c r="AQ59" s="7">
        <v>7.1951219499999999</v>
      </c>
      <c r="AR59" s="7">
        <v>3.44282786</v>
      </c>
      <c r="AS59" s="1" t="s">
        <v>315</v>
      </c>
      <c r="AT59" s="1">
        <v>23</v>
      </c>
      <c r="AU59" s="1" t="s">
        <v>746</v>
      </c>
    </row>
    <row r="60" spans="1:47">
      <c r="A60" s="1">
        <v>22</v>
      </c>
      <c r="B60" s="11">
        <v>1</v>
      </c>
      <c r="C60" s="1" t="s">
        <v>122</v>
      </c>
      <c r="D60" s="1" t="s">
        <v>123</v>
      </c>
      <c r="E60" s="1" t="s">
        <v>70</v>
      </c>
      <c r="F60" s="1">
        <v>2008</v>
      </c>
      <c r="G60" s="1" t="s">
        <v>478</v>
      </c>
      <c r="H60" s="1" t="s">
        <v>479</v>
      </c>
      <c r="I60" s="1">
        <v>55.375503999999999</v>
      </c>
      <c r="J60" s="1">
        <v>10.967093</v>
      </c>
      <c r="K60" s="1" t="s">
        <v>401</v>
      </c>
      <c r="L60" s="1" t="s">
        <v>402</v>
      </c>
      <c r="M60" s="1" t="s">
        <v>652</v>
      </c>
      <c r="N60" s="1" t="s">
        <v>575</v>
      </c>
      <c r="O60" s="1" t="s">
        <v>791</v>
      </c>
      <c r="P60" s="1" t="s">
        <v>338</v>
      </c>
      <c r="Q60" s="1" t="s">
        <v>333</v>
      </c>
      <c r="R60" s="1" t="s">
        <v>315</v>
      </c>
      <c r="S60" s="1" t="s">
        <v>335</v>
      </c>
      <c r="T60" s="1" t="s">
        <v>578</v>
      </c>
      <c r="U60" s="1">
        <v>2004</v>
      </c>
      <c r="V60" s="1" t="s">
        <v>295</v>
      </c>
      <c r="W60" s="1" t="s">
        <v>579</v>
      </c>
      <c r="X60" s="1" t="s">
        <v>580</v>
      </c>
      <c r="Y60" s="1" t="s">
        <v>581</v>
      </c>
      <c r="Z60" s="1" t="s">
        <v>582</v>
      </c>
      <c r="AA60" s="1" t="s">
        <v>583</v>
      </c>
      <c r="AB60" s="1" t="s">
        <v>295</v>
      </c>
      <c r="AC60" s="1" t="s">
        <v>675</v>
      </c>
      <c r="AD60" s="1" t="s">
        <v>598</v>
      </c>
      <c r="AE60" s="1" t="s">
        <v>601</v>
      </c>
      <c r="AF60" s="1" t="s">
        <v>676</v>
      </c>
      <c r="AG60" s="1" t="s">
        <v>677</v>
      </c>
      <c r="AH60" s="1" t="s">
        <v>585</v>
      </c>
      <c r="AI60" s="1" t="s">
        <v>585</v>
      </c>
      <c r="AJ60" s="1" t="s">
        <v>747</v>
      </c>
      <c r="AK60" s="1" t="s">
        <v>755</v>
      </c>
      <c r="AL60" s="1" t="s">
        <v>315</v>
      </c>
      <c r="AM60" s="1">
        <v>5.4</v>
      </c>
      <c r="AN60" s="1">
        <v>0.4</v>
      </c>
      <c r="AO60" s="1" t="s">
        <v>315</v>
      </c>
      <c r="AP60" s="1">
        <v>3</v>
      </c>
      <c r="AQ60" s="1">
        <v>9.1</v>
      </c>
      <c r="AR60" s="1">
        <v>0.7</v>
      </c>
      <c r="AS60" s="1" t="s">
        <v>315</v>
      </c>
      <c r="AT60" s="1">
        <v>3</v>
      </c>
      <c r="AU60" s="1" t="s">
        <v>750</v>
      </c>
    </row>
    <row r="61" spans="1:47">
      <c r="A61" s="1">
        <v>22</v>
      </c>
      <c r="B61" s="11">
        <v>2</v>
      </c>
      <c r="C61" s="1" t="s">
        <v>122</v>
      </c>
      <c r="D61" s="1" t="s">
        <v>123</v>
      </c>
      <c r="E61" s="1" t="s">
        <v>70</v>
      </c>
      <c r="F61" s="1">
        <v>2008</v>
      </c>
      <c r="G61" s="1" t="s">
        <v>478</v>
      </c>
      <c r="H61" s="1" t="s">
        <v>479</v>
      </c>
      <c r="I61" s="1">
        <v>55.375503999999999</v>
      </c>
      <c r="J61" s="1">
        <v>10.967093</v>
      </c>
      <c r="K61" s="1" t="s">
        <v>401</v>
      </c>
      <c r="L61" s="1" t="s">
        <v>402</v>
      </c>
      <c r="M61" s="1" t="s">
        <v>652</v>
      </c>
      <c r="N61" s="1" t="s">
        <v>575</v>
      </c>
      <c r="O61" s="1" t="s">
        <v>791</v>
      </c>
      <c r="P61" s="1" t="s">
        <v>338</v>
      </c>
      <c r="Q61" s="1" t="s">
        <v>333</v>
      </c>
      <c r="R61" s="1" t="s">
        <v>315</v>
      </c>
      <c r="S61" s="1" t="s">
        <v>335</v>
      </c>
      <c r="T61" s="1" t="s">
        <v>578</v>
      </c>
      <c r="U61" s="1">
        <v>2004</v>
      </c>
      <c r="V61" s="1" t="s">
        <v>295</v>
      </c>
      <c r="W61" s="1" t="s">
        <v>579</v>
      </c>
      <c r="X61" s="1" t="s">
        <v>580</v>
      </c>
      <c r="Y61" s="1" t="s">
        <v>581</v>
      </c>
      <c r="Z61" s="1" t="s">
        <v>582</v>
      </c>
      <c r="AA61" s="1" t="s">
        <v>583</v>
      </c>
      <c r="AB61" s="1" t="s">
        <v>295</v>
      </c>
      <c r="AC61" s="1" t="s">
        <v>675</v>
      </c>
      <c r="AD61" s="1" t="s">
        <v>598</v>
      </c>
      <c r="AE61" s="1" t="s">
        <v>601</v>
      </c>
      <c r="AF61" s="1" t="s">
        <v>676</v>
      </c>
      <c r="AG61" s="1" t="s">
        <v>677</v>
      </c>
      <c r="AH61" s="1" t="s">
        <v>585</v>
      </c>
      <c r="AI61" s="1" t="s">
        <v>585</v>
      </c>
      <c r="AJ61" s="1" t="s">
        <v>747</v>
      </c>
      <c r="AK61" s="1" t="s">
        <v>605</v>
      </c>
      <c r="AL61" s="1" t="s">
        <v>315</v>
      </c>
      <c r="AM61" s="1">
        <v>37</v>
      </c>
      <c r="AN61" s="1">
        <v>3</v>
      </c>
      <c r="AO61" s="1" t="s">
        <v>315</v>
      </c>
      <c r="AP61" s="1">
        <v>3</v>
      </c>
      <c r="AQ61" s="1">
        <v>38.700000000000003</v>
      </c>
      <c r="AR61" s="1">
        <v>4.8</v>
      </c>
      <c r="AS61" s="1" t="s">
        <v>315</v>
      </c>
      <c r="AT61" s="1">
        <v>3</v>
      </c>
      <c r="AU61" s="1" t="s">
        <v>750</v>
      </c>
    </row>
    <row r="62" spans="1:47">
      <c r="A62" s="1">
        <v>22</v>
      </c>
      <c r="B62" s="11">
        <v>3</v>
      </c>
      <c r="C62" s="1" t="s">
        <v>122</v>
      </c>
      <c r="D62" s="1" t="s">
        <v>123</v>
      </c>
      <c r="E62" s="1" t="s">
        <v>70</v>
      </c>
      <c r="F62" s="1">
        <v>2008</v>
      </c>
      <c r="G62" s="1" t="s">
        <v>478</v>
      </c>
      <c r="H62" s="1" t="s">
        <v>479</v>
      </c>
      <c r="I62" s="1">
        <v>55.375503999999999</v>
      </c>
      <c r="J62" s="1">
        <v>10.967093</v>
      </c>
      <c r="K62" s="1" t="s">
        <v>401</v>
      </c>
      <c r="L62" s="1" t="s">
        <v>402</v>
      </c>
      <c r="M62" s="1" t="s">
        <v>652</v>
      </c>
      <c r="N62" s="1" t="s">
        <v>575</v>
      </c>
      <c r="O62" s="1" t="s">
        <v>791</v>
      </c>
      <c r="P62" s="1" t="s">
        <v>338</v>
      </c>
      <c r="Q62" s="1" t="s">
        <v>333</v>
      </c>
      <c r="R62" s="1" t="s">
        <v>315</v>
      </c>
      <c r="S62" s="1" t="s">
        <v>335</v>
      </c>
      <c r="T62" s="1" t="s">
        <v>578</v>
      </c>
      <c r="U62" s="1">
        <v>2004</v>
      </c>
      <c r="V62" s="1" t="s">
        <v>295</v>
      </c>
      <c r="W62" s="1" t="s">
        <v>579</v>
      </c>
      <c r="X62" s="1" t="s">
        <v>580</v>
      </c>
      <c r="Y62" s="1" t="s">
        <v>581</v>
      </c>
      <c r="Z62" s="1" t="s">
        <v>582</v>
      </c>
      <c r="AA62" s="1" t="s">
        <v>583</v>
      </c>
      <c r="AB62" s="1" t="s">
        <v>295</v>
      </c>
      <c r="AC62" s="1" t="s">
        <v>675</v>
      </c>
      <c r="AD62" s="1" t="s">
        <v>598</v>
      </c>
      <c r="AE62" s="1" t="s">
        <v>601</v>
      </c>
      <c r="AF62" s="1" t="s">
        <v>676</v>
      </c>
      <c r="AG62" s="1" t="s">
        <v>677</v>
      </c>
      <c r="AH62" s="1" t="s">
        <v>585</v>
      </c>
      <c r="AI62" s="1" t="s">
        <v>585</v>
      </c>
      <c r="AJ62" s="1" t="s">
        <v>747</v>
      </c>
      <c r="AK62" s="1" t="s">
        <v>749</v>
      </c>
      <c r="AL62" s="1" t="s">
        <v>315</v>
      </c>
      <c r="AM62" s="1">
        <v>134.69999999999999</v>
      </c>
      <c r="AN62" s="1">
        <v>6.4</v>
      </c>
      <c r="AO62" s="1" t="s">
        <v>315</v>
      </c>
      <c r="AP62" s="1">
        <v>3</v>
      </c>
      <c r="AQ62" s="1">
        <v>156.30000000000001</v>
      </c>
      <c r="AR62" s="1">
        <v>9.8000000000000007</v>
      </c>
      <c r="AS62" s="1" t="s">
        <v>315</v>
      </c>
      <c r="AT62" s="1">
        <v>3</v>
      </c>
      <c r="AU62" s="1" t="s">
        <v>750</v>
      </c>
    </row>
    <row r="63" spans="1:47">
      <c r="A63" s="1">
        <v>22</v>
      </c>
      <c r="B63" s="11">
        <v>4</v>
      </c>
      <c r="C63" s="1" t="s">
        <v>122</v>
      </c>
      <c r="D63" s="1" t="s">
        <v>123</v>
      </c>
      <c r="E63" s="1" t="s">
        <v>70</v>
      </c>
      <c r="F63" s="1">
        <v>2008</v>
      </c>
      <c r="G63" s="1" t="s">
        <v>478</v>
      </c>
      <c r="H63" s="1" t="s">
        <v>479</v>
      </c>
      <c r="I63" s="1">
        <v>55.375503999999999</v>
      </c>
      <c r="J63" s="1">
        <v>10.967093</v>
      </c>
      <c r="K63" s="1" t="s">
        <v>401</v>
      </c>
      <c r="L63" s="1" t="s">
        <v>402</v>
      </c>
      <c r="M63" s="1" t="s">
        <v>652</v>
      </c>
      <c r="N63" s="1" t="s">
        <v>575</v>
      </c>
      <c r="O63" s="1" t="s">
        <v>791</v>
      </c>
      <c r="P63" s="1" t="s">
        <v>338</v>
      </c>
      <c r="Q63" s="1" t="s">
        <v>333</v>
      </c>
      <c r="R63" s="1" t="s">
        <v>315</v>
      </c>
      <c r="S63" s="1" t="s">
        <v>335</v>
      </c>
      <c r="T63" s="1" t="s">
        <v>610</v>
      </c>
      <c r="U63" s="1">
        <v>2005</v>
      </c>
      <c r="V63" s="1" t="s">
        <v>295</v>
      </c>
      <c r="W63" s="1" t="s">
        <v>579</v>
      </c>
      <c r="X63" s="1" t="s">
        <v>580</v>
      </c>
      <c r="Y63" s="1" t="s">
        <v>581</v>
      </c>
      <c r="Z63" s="1" t="s">
        <v>582</v>
      </c>
      <c r="AA63" s="1" t="s">
        <v>583</v>
      </c>
      <c r="AB63" s="1" t="s">
        <v>295</v>
      </c>
      <c r="AC63" s="1" t="s">
        <v>753</v>
      </c>
      <c r="AD63" s="1" t="s">
        <v>618</v>
      </c>
      <c r="AE63" s="1" t="s">
        <v>348</v>
      </c>
      <c r="AF63" s="1" t="s">
        <v>752</v>
      </c>
      <c r="AG63" s="1" t="s">
        <v>751</v>
      </c>
      <c r="AH63" s="1" t="s">
        <v>754</v>
      </c>
      <c r="AI63" s="1" t="s">
        <v>362</v>
      </c>
      <c r="AJ63" s="1" t="s">
        <v>748</v>
      </c>
      <c r="AK63" s="1" t="s">
        <v>658</v>
      </c>
      <c r="AL63" s="1" t="s">
        <v>315</v>
      </c>
      <c r="AM63" s="1">
        <v>4.3343283582089498</v>
      </c>
      <c r="AN63" s="1">
        <v>0.85970149253730987</v>
      </c>
      <c r="AO63" s="1" t="s">
        <v>315</v>
      </c>
      <c r="AP63" s="1">
        <v>20</v>
      </c>
      <c r="AQ63" s="1">
        <v>0.17910447761194001</v>
      </c>
      <c r="AR63" s="1">
        <v>2.3880597014924981E-2</v>
      </c>
      <c r="AS63" s="1" t="s">
        <v>315</v>
      </c>
      <c r="AT63" s="1">
        <v>20</v>
      </c>
      <c r="AU63" s="1" t="s">
        <v>759</v>
      </c>
    </row>
    <row r="64" spans="1:47">
      <c r="A64" s="1">
        <v>22</v>
      </c>
      <c r="B64" s="11">
        <v>5</v>
      </c>
      <c r="C64" s="1" t="s">
        <v>122</v>
      </c>
      <c r="D64" s="1" t="s">
        <v>123</v>
      </c>
      <c r="E64" s="1" t="s">
        <v>70</v>
      </c>
      <c r="F64" s="1">
        <v>2008</v>
      </c>
      <c r="G64" s="1" t="s">
        <v>478</v>
      </c>
      <c r="H64" s="1" t="s">
        <v>479</v>
      </c>
      <c r="I64" s="1">
        <v>55.375503999999999</v>
      </c>
      <c r="J64" s="1">
        <v>10.967093</v>
      </c>
      <c r="K64" s="1" t="s">
        <v>401</v>
      </c>
      <c r="L64" s="1" t="s">
        <v>402</v>
      </c>
      <c r="M64" s="1" t="s">
        <v>652</v>
      </c>
      <c r="N64" s="1" t="s">
        <v>575</v>
      </c>
      <c r="O64" s="1" t="s">
        <v>791</v>
      </c>
      <c r="P64" s="1" t="s">
        <v>338</v>
      </c>
      <c r="Q64" s="1" t="s">
        <v>333</v>
      </c>
      <c r="R64" s="1" t="s">
        <v>315</v>
      </c>
      <c r="S64" s="1" t="s">
        <v>335</v>
      </c>
      <c r="T64" s="1" t="s">
        <v>610</v>
      </c>
      <c r="U64" s="1">
        <v>2005</v>
      </c>
      <c r="V64" s="1" t="s">
        <v>295</v>
      </c>
      <c r="W64" s="1" t="s">
        <v>579</v>
      </c>
      <c r="X64" s="1" t="s">
        <v>580</v>
      </c>
      <c r="Y64" s="1" t="s">
        <v>581</v>
      </c>
      <c r="Z64" s="1" t="s">
        <v>582</v>
      </c>
      <c r="AA64" s="1" t="s">
        <v>583</v>
      </c>
      <c r="AB64" s="1" t="s">
        <v>295</v>
      </c>
      <c r="AC64" s="1" t="s">
        <v>675</v>
      </c>
      <c r="AD64" s="1" t="s">
        <v>598</v>
      </c>
      <c r="AE64" s="1" t="s">
        <v>601</v>
      </c>
      <c r="AF64" s="1" t="s">
        <v>676</v>
      </c>
      <c r="AG64" s="1" t="s">
        <v>677</v>
      </c>
      <c r="AH64" s="1" t="s">
        <v>754</v>
      </c>
      <c r="AI64" s="1" t="s">
        <v>362</v>
      </c>
      <c r="AJ64" s="1" t="s">
        <v>748</v>
      </c>
      <c r="AK64" s="1" t="s">
        <v>755</v>
      </c>
      <c r="AL64" s="1" t="s">
        <v>315</v>
      </c>
      <c r="AM64" s="1">
        <v>4.8340080971659898</v>
      </c>
      <c r="AN64" s="1">
        <v>4.8582995951409913E-2</v>
      </c>
      <c r="AO64" s="1" t="s">
        <v>315</v>
      </c>
      <c r="AP64" s="1">
        <v>20</v>
      </c>
      <c r="AQ64" s="1">
        <v>5.2955465587044497</v>
      </c>
      <c r="AR64" s="1">
        <v>0.19433198380567074</v>
      </c>
      <c r="AS64" s="1" t="s">
        <v>315</v>
      </c>
      <c r="AT64" s="1">
        <v>20</v>
      </c>
      <c r="AU64" s="1" t="s">
        <v>758</v>
      </c>
    </row>
    <row r="65" spans="1:47">
      <c r="A65" s="1">
        <v>22</v>
      </c>
      <c r="B65" s="11">
        <v>6</v>
      </c>
      <c r="C65" s="1" t="s">
        <v>122</v>
      </c>
      <c r="D65" s="1" t="s">
        <v>123</v>
      </c>
      <c r="E65" s="1" t="s">
        <v>70</v>
      </c>
      <c r="F65" s="1">
        <v>2008</v>
      </c>
      <c r="G65" s="1" t="s">
        <v>478</v>
      </c>
      <c r="H65" s="1" t="s">
        <v>479</v>
      </c>
      <c r="I65" s="1">
        <v>55.375503999999999</v>
      </c>
      <c r="J65" s="1">
        <v>10.967093</v>
      </c>
      <c r="K65" s="1" t="s">
        <v>401</v>
      </c>
      <c r="L65" s="1" t="s">
        <v>402</v>
      </c>
      <c r="M65" s="1" t="s">
        <v>652</v>
      </c>
      <c r="N65" s="1" t="s">
        <v>575</v>
      </c>
      <c r="O65" s="1" t="s">
        <v>791</v>
      </c>
      <c r="P65" s="1" t="s">
        <v>338</v>
      </c>
      <c r="Q65" s="1" t="s">
        <v>333</v>
      </c>
      <c r="R65" s="1" t="s">
        <v>315</v>
      </c>
      <c r="S65" s="1" t="s">
        <v>335</v>
      </c>
      <c r="T65" s="1" t="s">
        <v>610</v>
      </c>
      <c r="U65" s="1">
        <v>2005</v>
      </c>
      <c r="V65" s="1" t="s">
        <v>295</v>
      </c>
      <c r="W65" s="1" t="s">
        <v>579</v>
      </c>
      <c r="X65" s="1" t="s">
        <v>580</v>
      </c>
      <c r="Y65" s="1" t="s">
        <v>581</v>
      </c>
      <c r="Z65" s="1" t="s">
        <v>582</v>
      </c>
      <c r="AA65" s="1" t="s">
        <v>583</v>
      </c>
      <c r="AB65" s="1" t="s">
        <v>295</v>
      </c>
      <c r="AC65" s="1" t="s">
        <v>675</v>
      </c>
      <c r="AD65" s="1" t="s">
        <v>598</v>
      </c>
      <c r="AE65" s="1" t="s">
        <v>601</v>
      </c>
      <c r="AF65" s="1" t="s">
        <v>676</v>
      </c>
      <c r="AG65" s="1" t="s">
        <v>677</v>
      </c>
      <c r="AH65" s="1" t="s">
        <v>754</v>
      </c>
      <c r="AI65" s="1" t="s">
        <v>362</v>
      </c>
      <c r="AJ65" s="1" t="s">
        <v>748</v>
      </c>
      <c r="AK65" s="1" t="s">
        <v>756</v>
      </c>
      <c r="AL65" s="1" t="s">
        <v>670</v>
      </c>
      <c r="AM65" s="1">
        <v>6.9647058823529395E-2</v>
      </c>
      <c r="AN65" s="1">
        <v>2.5098039215686041E-3</v>
      </c>
      <c r="AO65" s="1" t="s">
        <v>315</v>
      </c>
      <c r="AP65" s="1">
        <v>5</v>
      </c>
      <c r="AQ65" s="1">
        <v>0.12737254901960701</v>
      </c>
      <c r="AR65" s="1">
        <v>6.9019607843139874E-3</v>
      </c>
      <c r="AS65" s="1" t="s">
        <v>315</v>
      </c>
      <c r="AT65" s="1">
        <v>5</v>
      </c>
      <c r="AU65" s="1" t="s">
        <v>757</v>
      </c>
    </row>
    <row r="66" spans="1:47">
      <c r="A66" s="1">
        <v>23</v>
      </c>
      <c r="B66" s="11">
        <v>1</v>
      </c>
      <c r="C66" s="1" t="s">
        <v>124</v>
      </c>
      <c r="D66" s="1" t="s">
        <v>125</v>
      </c>
      <c r="E66" s="1" t="s">
        <v>35</v>
      </c>
      <c r="F66" s="1">
        <v>2008</v>
      </c>
      <c r="G66" s="1" t="s">
        <v>466</v>
      </c>
      <c r="H66" s="1" t="s">
        <v>467</v>
      </c>
      <c r="I66" s="1">
        <v>-17.453870999999999</v>
      </c>
      <c r="J66" s="1">
        <v>149.84287900000001</v>
      </c>
      <c r="K66" s="1" t="s">
        <v>394</v>
      </c>
      <c r="L66" s="1" t="s">
        <v>395</v>
      </c>
      <c r="M66" s="1" t="s">
        <v>645</v>
      </c>
      <c r="N66" s="1" t="s">
        <v>291</v>
      </c>
      <c r="O66" s="1" t="s">
        <v>292</v>
      </c>
      <c r="P66" s="1" t="s">
        <v>294</v>
      </c>
      <c r="Q66" s="1" t="s">
        <v>332</v>
      </c>
      <c r="R66" s="1" t="s">
        <v>315</v>
      </c>
      <c r="S66" s="1" t="s">
        <v>336</v>
      </c>
      <c r="T66" s="1" t="s">
        <v>578</v>
      </c>
      <c r="U66" s="1">
        <v>2005</v>
      </c>
      <c r="V66" s="1" t="s">
        <v>313</v>
      </c>
      <c r="W66" s="1" t="s">
        <v>314</v>
      </c>
      <c r="X66" s="1" t="s">
        <v>306</v>
      </c>
      <c r="Y66" s="1" t="s">
        <v>307</v>
      </c>
      <c r="Z66" s="1" t="s">
        <v>315</v>
      </c>
      <c r="AA66" s="1" t="s">
        <v>315</v>
      </c>
      <c r="AB66" s="1" t="s">
        <v>295</v>
      </c>
      <c r="AC66" s="1" t="s">
        <v>724</v>
      </c>
      <c r="AD66" s="1" t="s">
        <v>308</v>
      </c>
      <c r="AE66" s="1" t="s">
        <v>309</v>
      </c>
      <c r="AF66" s="1" t="s">
        <v>310</v>
      </c>
      <c r="AG66" s="1" t="s">
        <v>311</v>
      </c>
      <c r="AH66" s="1" t="s">
        <v>321</v>
      </c>
      <c r="AI66" s="1" t="s">
        <v>362</v>
      </c>
      <c r="AJ66" s="1" t="s">
        <v>725</v>
      </c>
      <c r="AK66" s="1" t="s">
        <v>760</v>
      </c>
      <c r="AL66" s="1" t="s">
        <v>670</v>
      </c>
      <c r="AM66" s="1">
        <v>0.58963585434173604</v>
      </c>
      <c r="AN66" s="1">
        <v>4.4817927170868965E-2</v>
      </c>
      <c r="AO66" s="1" t="s">
        <v>315</v>
      </c>
      <c r="AP66" s="1">
        <v>10</v>
      </c>
      <c r="AQ66" s="1">
        <v>0.42577030812324901</v>
      </c>
      <c r="AR66" s="1">
        <v>4.7619047619047006E-2</v>
      </c>
      <c r="AS66" s="1" t="s">
        <v>315</v>
      </c>
      <c r="AT66" s="1">
        <v>10</v>
      </c>
      <c r="AU66" s="1" t="s">
        <v>324</v>
      </c>
    </row>
    <row r="67" spans="1:47">
      <c r="A67" s="1">
        <v>24</v>
      </c>
      <c r="B67" s="11">
        <v>1</v>
      </c>
      <c r="C67" s="1" t="s">
        <v>126</v>
      </c>
      <c r="D67" s="1" t="s">
        <v>127</v>
      </c>
      <c r="E67" s="1" t="s">
        <v>128</v>
      </c>
      <c r="F67" s="1">
        <v>2008</v>
      </c>
      <c r="G67" s="1" t="s">
        <v>476</v>
      </c>
      <c r="H67" s="1" t="s">
        <v>477</v>
      </c>
      <c r="I67" s="1">
        <v>54.818859000000003</v>
      </c>
      <c r="J67" s="1">
        <v>9.9408399999999997</v>
      </c>
      <c r="K67" s="1" t="s">
        <v>401</v>
      </c>
      <c r="L67" s="1" t="s">
        <v>403</v>
      </c>
      <c r="M67" s="1" t="s">
        <v>652</v>
      </c>
      <c r="N67" s="1" t="s">
        <v>575</v>
      </c>
      <c r="O67" s="1" t="s">
        <v>791</v>
      </c>
      <c r="P67" s="1" t="s">
        <v>338</v>
      </c>
      <c r="Q67" s="1" t="s">
        <v>761</v>
      </c>
      <c r="R67" s="1" t="s">
        <v>762</v>
      </c>
      <c r="S67" s="1" t="s">
        <v>336</v>
      </c>
      <c r="T67" s="1" t="s">
        <v>578</v>
      </c>
      <c r="U67" s="1">
        <v>2004</v>
      </c>
      <c r="V67" s="1" t="s">
        <v>295</v>
      </c>
      <c r="W67" s="1" t="s">
        <v>579</v>
      </c>
      <c r="X67" s="1" t="s">
        <v>580</v>
      </c>
      <c r="Y67" s="1" t="s">
        <v>581</v>
      </c>
      <c r="Z67" s="1" t="s">
        <v>582</v>
      </c>
      <c r="AA67" s="1" t="s">
        <v>583</v>
      </c>
      <c r="AB67" s="1" t="s">
        <v>295</v>
      </c>
      <c r="AC67" s="1" t="s">
        <v>675</v>
      </c>
      <c r="AD67" s="1" t="s">
        <v>598</v>
      </c>
      <c r="AE67" s="1" t="s">
        <v>601</v>
      </c>
      <c r="AF67" s="1" t="s">
        <v>676</v>
      </c>
      <c r="AG67" s="1" t="s">
        <v>677</v>
      </c>
      <c r="AH67" s="1" t="s">
        <v>763</v>
      </c>
      <c r="AI67" s="1" t="s">
        <v>764</v>
      </c>
      <c r="AJ67" s="1" t="s">
        <v>745</v>
      </c>
      <c r="AK67" s="1" t="s">
        <v>756</v>
      </c>
      <c r="AL67" s="1" t="s">
        <v>670</v>
      </c>
      <c r="AM67" s="1">
        <v>0.12</v>
      </c>
      <c r="AN67" s="1">
        <v>0.01</v>
      </c>
      <c r="AO67" s="1" t="s">
        <v>315</v>
      </c>
      <c r="AP67" s="1">
        <v>10</v>
      </c>
      <c r="AQ67" s="1">
        <v>0.14000000000000001</v>
      </c>
      <c r="AR67" s="1">
        <v>0.02</v>
      </c>
      <c r="AS67" s="1" t="s">
        <v>315</v>
      </c>
      <c r="AT67" s="1">
        <v>10</v>
      </c>
      <c r="AU67" s="1" t="s">
        <v>776</v>
      </c>
    </row>
    <row r="68" spans="1:47">
      <c r="A68" s="1">
        <v>24</v>
      </c>
      <c r="B68" s="11">
        <v>2</v>
      </c>
      <c r="C68" s="1" t="s">
        <v>126</v>
      </c>
      <c r="D68" s="1" t="s">
        <v>127</v>
      </c>
      <c r="E68" s="1" t="s">
        <v>128</v>
      </c>
      <c r="F68" s="1">
        <v>2008</v>
      </c>
      <c r="G68" s="1" t="s">
        <v>476</v>
      </c>
      <c r="H68" s="1" t="s">
        <v>477</v>
      </c>
      <c r="I68" s="1">
        <v>54.818859000000003</v>
      </c>
      <c r="J68" s="1">
        <v>9.9408399999999997</v>
      </c>
      <c r="K68" s="1" t="s">
        <v>401</v>
      </c>
      <c r="L68" s="1" t="s">
        <v>403</v>
      </c>
      <c r="M68" s="1" t="s">
        <v>652</v>
      </c>
      <c r="N68" s="1" t="s">
        <v>575</v>
      </c>
      <c r="O68" s="1" t="s">
        <v>791</v>
      </c>
      <c r="P68" s="1" t="s">
        <v>338</v>
      </c>
      <c r="Q68" s="1" t="s">
        <v>761</v>
      </c>
      <c r="R68" s="1" t="s">
        <v>762</v>
      </c>
      <c r="S68" s="1" t="s">
        <v>336</v>
      </c>
      <c r="T68" s="1" t="s">
        <v>578</v>
      </c>
      <c r="U68" s="1">
        <v>2004</v>
      </c>
      <c r="V68" s="1" t="s">
        <v>295</v>
      </c>
      <c r="W68" s="1" t="s">
        <v>579</v>
      </c>
      <c r="X68" s="1" t="s">
        <v>580</v>
      </c>
      <c r="Y68" s="1" t="s">
        <v>581</v>
      </c>
      <c r="Z68" s="1" t="s">
        <v>582</v>
      </c>
      <c r="AA68" s="1" t="s">
        <v>583</v>
      </c>
      <c r="AB68" s="1" t="s">
        <v>295</v>
      </c>
      <c r="AC68" s="1" t="s">
        <v>675</v>
      </c>
      <c r="AD68" s="1" t="s">
        <v>598</v>
      </c>
      <c r="AE68" s="1" t="s">
        <v>601</v>
      </c>
      <c r="AF68" s="1" t="s">
        <v>676</v>
      </c>
      <c r="AG68" s="1" t="s">
        <v>677</v>
      </c>
      <c r="AH68" s="1" t="s">
        <v>763</v>
      </c>
      <c r="AI68" s="1" t="s">
        <v>764</v>
      </c>
      <c r="AJ68" s="1" t="s">
        <v>745</v>
      </c>
      <c r="AK68" s="1" t="s">
        <v>605</v>
      </c>
      <c r="AL68" s="1" t="s">
        <v>315</v>
      </c>
      <c r="AM68" s="1">
        <v>452</v>
      </c>
      <c r="AN68" s="1">
        <v>65</v>
      </c>
      <c r="AO68" s="1" t="s">
        <v>315</v>
      </c>
      <c r="AP68" s="1">
        <v>8</v>
      </c>
      <c r="AQ68" s="1">
        <v>413</v>
      </c>
      <c r="AR68" s="1">
        <v>28</v>
      </c>
      <c r="AS68" s="1" t="s">
        <v>315</v>
      </c>
      <c r="AT68" s="1">
        <v>8</v>
      </c>
      <c r="AU68" s="1" t="s">
        <v>773</v>
      </c>
    </row>
    <row r="69" spans="1:47">
      <c r="A69" s="1">
        <v>24</v>
      </c>
      <c r="B69" s="11">
        <v>3</v>
      </c>
      <c r="C69" s="1" t="s">
        <v>126</v>
      </c>
      <c r="D69" s="1" t="s">
        <v>127</v>
      </c>
      <c r="E69" s="1" t="s">
        <v>128</v>
      </c>
      <c r="F69" s="1">
        <v>2008</v>
      </c>
      <c r="G69" s="1" t="s">
        <v>476</v>
      </c>
      <c r="H69" s="1" t="s">
        <v>477</v>
      </c>
      <c r="I69" s="1">
        <v>54.818859000000003</v>
      </c>
      <c r="J69" s="1">
        <v>9.9408399999999997</v>
      </c>
      <c r="K69" s="1" t="s">
        <v>401</v>
      </c>
      <c r="L69" s="1" t="s">
        <v>403</v>
      </c>
      <c r="M69" s="1" t="s">
        <v>652</v>
      </c>
      <c r="N69" s="1" t="s">
        <v>575</v>
      </c>
      <c r="O69" s="1" t="s">
        <v>791</v>
      </c>
      <c r="P69" s="1" t="s">
        <v>338</v>
      </c>
      <c r="Q69" s="1" t="s">
        <v>761</v>
      </c>
      <c r="R69" s="1" t="s">
        <v>762</v>
      </c>
      <c r="S69" s="1" t="s">
        <v>336</v>
      </c>
      <c r="T69" s="1" t="s">
        <v>578</v>
      </c>
      <c r="U69" s="1">
        <v>2004</v>
      </c>
      <c r="V69" s="1" t="s">
        <v>295</v>
      </c>
      <c r="W69" s="1" t="s">
        <v>579</v>
      </c>
      <c r="X69" s="1" t="s">
        <v>580</v>
      </c>
      <c r="Y69" s="1" t="s">
        <v>581</v>
      </c>
      <c r="Z69" s="1" t="s">
        <v>582</v>
      </c>
      <c r="AA69" s="1" t="s">
        <v>583</v>
      </c>
      <c r="AB69" s="1" t="s">
        <v>295</v>
      </c>
      <c r="AC69" s="1" t="s">
        <v>675</v>
      </c>
      <c r="AD69" s="1" t="s">
        <v>598</v>
      </c>
      <c r="AE69" s="1" t="s">
        <v>601</v>
      </c>
      <c r="AF69" s="1" t="s">
        <v>676</v>
      </c>
      <c r="AG69" s="1" t="s">
        <v>677</v>
      </c>
      <c r="AH69" s="1" t="s">
        <v>763</v>
      </c>
      <c r="AI69" s="1" t="s">
        <v>764</v>
      </c>
      <c r="AJ69" s="1" t="s">
        <v>745</v>
      </c>
      <c r="AK69" s="1" t="s">
        <v>772</v>
      </c>
      <c r="AL69" s="1" t="s">
        <v>315</v>
      </c>
      <c r="AM69" s="1">
        <v>49.4</v>
      </c>
      <c r="AN69" s="1">
        <v>1.3</v>
      </c>
      <c r="AO69" s="1" t="s">
        <v>315</v>
      </c>
      <c r="AP69" s="1">
        <v>30</v>
      </c>
      <c r="AQ69" s="1">
        <v>58.2</v>
      </c>
      <c r="AR69" s="1">
        <v>1.5</v>
      </c>
      <c r="AS69" s="1" t="s">
        <v>315</v>
      </c>
      <c r="AT69" s="1">
        <v>30</v>
      </c>
      <c r="AU69" s="1" t="s">
        <v>776</v>
      </c>
    </row>
    <row r="70" spans="1:47">
      <c r="A70" s="1">
        <v>24</v>
      </c>
      <c r="B70" s="11">
        <v>4</v>
      </c>
      <c r="C70" s="1" t="s">
        <v>126</v>
      </c>
      <c r="D70" s="1" t="s">
        <v>127</v>
      </c>
      <c r="E70" s="1" t="s">
        <v>128</v>
      </c>
      <c r="F70" s="1">
        <v>2008</v>
      </c>
      <c r="G70" s="1" t="s">
        <v>476</v>
      </c>
      <c r="H70" s="1" t="s">
        <v>477</v>
      </c>
      <c r="I70" s="1">
        <v>54.818859000000003</v>
      </c>
      <c r="J70" s="1">
        <v>9.9408399999999997</v>
      </c>
      <c r="K70" s="1" t="s">
        <v>401</v>
      </c>
      <c r="L70" s="1" t="s">
        <v>403</v>
      </c>
      <c r="M70" s="1" t="s">
        <v>652</v>
      </c>
      <c r="N70" s="1" t="s">
        <v>575</v>
      </c>
      <c r="O70" s="1" t="s">
        <v>791</v>
      </c>
      <c r="P70" s="1" t="s">
        <v>338</v>
      </c>
      <c r="Q70" s="1" t="s">
        <v>761</v>
      </c>
      <c r="R70" s="1" t="s">
        <v>762</v>
      </c>
      <c r="S70" s="1" t="s">
        <v>336</v>
      </c>
      <c r="T70" s="1" t="s">
        <v>578</v>
      </c>
      <c r="U70" s="1">
        <v>2004</v>
      </c>
      <c r="V70" s="1" t="s">
        <v>295</v>
      </c>
      <c r="W70" s="1" t="s">
        <v>579</v>
      </c>
      <c r="X70" s="1" t="s">
        <v>580</v>
      </c>
      <c r="Y70" s="1" t="s">
        <v>581</v>
      </c>
      <c r="Z70" s="1" t="s">
        <v>582</v>
      </c>
      <c r="AA70" s="1" t="s">
        <v>583</v>
      </c>
      <c r="AB70" s="1" t="s">
        <v>295</v>
      </c>
      <c r="AC70" s="1" t="s">
        <v>675</v>
      </c>
      <c r="AD70" s="1" t="s">
        <v>598</v>
      </c>
      <c r="AE70" s="1" t="s">
        <v>601</v>
      </c>
      <c r="AF70" s="1" t="s">
        <v>676</v>
      </c>
      <c r="AG70" s="1" t="s">
        <v>677</v>
      </c>
      <c r="AH70" s="1" t="s">
        <v>763</v>
      </c>
      <c r="AI70" s="1" t="s">
        <v>764</v>
      </c>
      <c r="AJ70" s="1" t="s">
        <v>745</v>
      </c>
      <c r="AK70" s="1" t="s">
        <v>755</v>
      </c>
      <c r="AL70" s="1" t="s">
        <v>315</v>
      </c>
      <c r="AM70" s="1">
        <v>5.0999999999999996</v>
      </c>
      <c r="AN70" s="1">
        <v>0.09</v>
      </c>
      <c r="AO70" s="1" t="s">
        <v>315</v>
      </c>
      <c r="AP70" s="1">
        <v>30</v>
      </c>
      <c r="AQ70" s="1">
        <v>6.2</v>
      </c>
      <c r="AR70" s="1">
        <v>0.09</v>
      </c>
      <c r="AS70" s="1" t="s">
        <v>315</v>
      </c>
      <c r="AT70" s="1">
        <v>30</v>
      </c>
      <c r="AU70" s="1" t="s">
        <v>775</v>
      </c>
    </row>
    <row r="71" spans="1:47">
      <c r="A71" s="1">
        <v>24</v>
      </c>
      <c r="B71" s="11">
        <v>5</v>
      </c>
      <c r="C71" s="1" t="s">
        <v>126</v>
      </c>
      <c r="D71" s="1" t="s">
        <v>127</v>
      </c>
      <c r="E71" s="1" t="s">
        <v>128</v>
      </c>
      <c r="F71" s="1">
        <v>2008</v>
      </c>
      <c r="G71" s="1" t="s">
        <v>476</v>
      </c>
      <c r="H71" s="1" t="s">
        <v>477</v>
      </c>
      <c r="I71" s="1">
        <v>54.818859000000003</v>
      </c>
      <c r="J71" s="1">
        <v>9.9408399999999997</v>
      </c>
      <c r="K71" s="1" t="s">
        <v>401</v>
      </c>
      <c r="L71" s="1" t="s">
        <v>403</v>
      </c>
      <c r="M71" s="1" t="s">
        <v>652</v>
      </c>
      <c r="N71" s="1" t="s">
        <v>575</v>
      </c>
      <c r="O71" s="1" t="s">
        <v>791</v>
      </c>
      <c r="P71" s="1" t="s">
        <v>338</v>
      </c>
      <c r="Q71" s="1" t="s">
        <v>761</v>
      </c>
      <c r="R71" s="1" t="s">
        <v>762</v>
      </c>
      <c r="S71" s="1" t="s">
        <v>336</v>
      </c>
      <c r="T71" s="1" t="s">
        <v>578</v>
      </c>
      <c r="U71" s="1">
        <v>2004</v>
      </c>
      <c r="V71" s="1" t="s">
        <v>295</v>
      </c>
      <c r="W71" s="1" t="s">
        <v>579</v>
      </c>
      <c r="X71" s="1" t="s">
        <v>580</v>
      </c>
      <c r="Y71" s="1" t="s">
        <v>581</v>
      </c>
      <c r="Z71" s="1" t="s">
        <v>582</v>
      </c>
      <c r="AA71" s="1" t="s">
        <v>583</v>
      </c>
      <c r="AB71" s="1" t="s">
        <v>295</v>
      </c>
      <c r="AC71" s="1" t="s">
        <v>675</v>
      </c>
      <c r="AD71" s="1" t="s">
        <v>598</v>
      </c>
      <c r="AE71" s="1" t="s">
        <v>601</v>
      </c>
      <c r="AF71" s="1" t="s">
        <v>676</v>
      </c>
      <c r="AG71" s="1" t="s">
        <v>677</v>
      </c>
      <c r="AH71" s="1" t="s">
        <v>763</v>
      </c>
      <c r="AI71" s="1" t="s">
        <v>764</v>
      </c>
      <c r="AJ71" s="1" t="s">
        <v>745</v>
      </c>
      <c r="AK71" s="1" t="s">
        <v>749</v>
      </c>
      <c r="AL71" s="1" t="s">
        <v>315</v>
      </c>
      <c r="AM71" s="1">
        <v>596</v>
      </c>
      <c r="AN71" s="1">
        <v>49</v>
      </c>
      <c r="AO71" s="1" t="s">
        <v>315</v>
      </c>
      <c r="AP71" s="1">
        <v>3</v>
      </c>
      <c r="AQ71" s="1">
        <v>655</v>
      </c>
      <c r="AR71" s="1">
        <v>53</v>
      </c>
      <c r="AS71" s="1" t="s">
        <v>315</v>
      </c>
      <c r="AT71" s="1">
        <v>3</v>
      </c>
      <c r="AU71" s="1" t="s">
        <v>774</v>
      </c>
    </row>
    <row r="72" spans="1:47">
      <c r="A72" s="1">
        <v>24</v>
      </c>
      <c r="B72" s="11">
        <v>6</v>
      </c>
      <c r="C72" s="1" t="s">
        <v>126</v>
      </c>
      <c r="D72" s="1" t="s">
        <v>127</v>
      </c>
      <c r="E72" s="1" t="s">
        <v>128</v>
      </c>
      <c r="F72" s="1">
        <v>2008</v>
      </c>
      <c r="G72" s="1" t="s">
        <v>476</v>
      </c>
      <c r="H72" s="1" t="s">
        <v>477</v>
      </c>
      <c r="I72" s="1">
        <v>54.818859000000003</v>
      </c>
      <c r="J72" s="1">
        <v>9.9408399999999997</v>
      </c>
      <c r="K72" s="1" t="s">
        <v>401</v>
      </c>
      <c r="L72" s="1" t="s">
        <v>403</v>
      </c>
      <c r="M72" s="1" t="s">
        <v>652</v>
      </c>
      <c r="N72" s="1" t="s">
        <v>575</v>
      </c>
      <c r="O72" s="1" t="s">
        <v>791</v>
      </c>
      <c r="P72" s="1" t="s">
        <v>338</v>
      </c>
      <c r="Q72" s="1" t="s">
        <v>761</v>
      </c>
      <c r="R72" s="1" t="s">
        <v>762</v>
      </c>
      <c r="S72" s="1" t="s">
        <v>336</v>
      </c>
      <c r="T72" s="1" t="s">
        <v>578</v>
      </c>
      <c r="U72" s="1">
        <v>2004</v>
      </c>
      <c r="V72" s="1" t="s">
        <v>295</v>
      </c>
      <c r="W72" s="1" t="s">
        <v>579</v>
      </c>
      <c r="X72" s="1" t="s">
        <v>580</v>
      </c>
      <c r="Y72" s="1" t="s">
        <v>581</v>
      </c>
      <c r="Z72" s="1" t="s">
        <v>582</v>
      </c>
      <c r="AA72" s="1" t="s">
        <v>583</v>
      </c>
      <c r="AB72" s="1" t="s">
        <v>295</v>
      </c>
      <c r="AC72" s="1" t="s">
        <v>753</v>
      </c>
      <c r="AD72" s="1" t="s">
        <v>618</v>
      </c>
      <c r="AE72" s="1" t="s">
        <v>348</v>
      </c>
      <c r="AF72" s="1" t="s">
        <v>752</v>
      </c>
      <c r="AG72" s="1" t="s">
        <v>751</v>
      </c>
      <c r="AH72" s="1" t="s">
        <v>744</v>
      </c>
      <c r="AI72" s="1" t="s">
        <v>362</v>
      </c>
      <c r="AJ72" s="1" t="s">
        <v>745</v>
      </c>
      <c r="AK72" s="1" t="s">
        <v>658</v>
      </c>
      <c r="AL72" s="1" t="s">
        <v>315</v>
      </c>
      <c r="AM72" s="1">
        <v>0.269349845201238</v>
      </c>
      <c r="AN72" s="1">
        <v>3.4055727554179016E-2</v>
      </c>
      <c r="AO72" s="1" t="s">
        <v>315</v>
      </c>
      <c r="AP72" s="1">
        <v>3</v>
      </c>
      <c r="AQ72" s="1">
        <v>0.13622291021671801</v>
      </c>
      <c r="AR72" s="1">
        <v>9.2879256965939794E-3</v>
      </c>
      <c r="AS72" s="1" t="s">
        <v>315</v>
      </c>
      <c r="AT72" s="1">
        <v>3</v>
      </c>
      <c r="AU72" s="1" t="s">
        <v>786</v>
      </c>
    </row>
    <row r="73" spans="1:47">
      <c r="A73" s="1">
        <v>24</v>
      </c>
      <c r="B73" s="11">
        <v>7</v>
      </c>
      <c r="C73" s="1" t="s">
        <v>126</v>
      </c>
      <c r="D73" s="1" t="s">
        <v>127</v>
      </c>
      <c r="E73" s="1" t="s">
        <v>128</v>
      </c>
      <c r="F73" s="1">
        <v>2008</v>
      </c>
      <c r="G73" s="1" t="s">
        <v>476</v>
      </c>
      <c r="H73" s="1" t="s">
        <v>477</v>
      </c>
      <c r="I73" s="1">
        <v>54.818859000000003</v>
      </c>
      <c r="J73" s="1">
        <v>9.9408399999999997</v>
      </c>
      <c r="K73" s="1" t="s">
        <v>401</v>
      </c>
      <c r="L73" s="1" t="s">
        <v>403</v>
      </c>
      <c r="M73" s="1" t="s">
        <v>652</v>
      </c>
      <c r="N73" s="1" t="s">
        <v>575</v>
      </c>
      <c r="O73" s="1" t="s">
        <v>791</v>
      </c>
      <c r="P73" s="1" t="s">
        <v>338</v>
      </c>
      <c r="Q73" s="1" t="s">
        <v>761</v>
      </c>
      <c r="R73" s="1" t="s">
        <v>762</v>
      </c>
      <c r="S73" s="1" t="s">
        <v>336</v>
      </c>
      <c r="T73" s="1" t="s">
        <v>578</v>
      </c>
      <c r="U73" s="1">
        <v>2004</v>
      </c>
      <c r="V73" s="1" t="s">
        <v>295</v>
      </c>
      <c r="W73" s="1" t="s">
        <v>579</v>
      </c>
      <c r="X73" s="1" t="s">
        <v>580</v>
      </c>
      <c r="Y73" s="1" t="s">
        <v>581</v>
      </c>
      <c r="Z73" s="1" t="s">
        <v>582</v>
      </c>
      <c r="AA73" s="1" t="s">
        <v>583</v>
      </c>
      <c r="AB73" s="1" t="s">
        <v>295</v>
      </c>
      <c r="AC73" s="1" t="s">
        <v>675</v>
      </c>
      <c r="AD73" s="1" t="s">
        <v>598</v>
      </c>
      <c r="AE73" s="1" t="s">
        <v>601</v>
      </c>
      <c r="AF73" s="1" t="s">
        <v>676</v>
      </c>
      <c r="AG73" s="1" t="s">
        <v>677</v>
      </c>
      <c r="AH73" s="1" t="s">
        <v>763</v>
      </c>
      <c r="AI73" s="1" t="s">
        <v>764</v>
      </c>
      <c r="AJ73" s="1" t="s">
        <v>745</v>
      </c>
      <c r="AK73" s="1" t="s">
        <v>756</v>
      </c>
      <c r="AL73" s="1" t="s">
        <v>670</v>
      </c>
      <c r="AM73" s="1">
        <v>0.18</v>
      </c>
      <c r="AN73" s="1">
        <v>0.02</v>
      </c>
      <c r="AO73" s="1" t="s">
        <v>315</v>
      </c>
      <c r="AP73" s="1">
        <v>10</v>
      </c>
      <c r="AQ73" s="1">
        <v>0.22</v>
      </c>
      <c r="AR73" s="1">
        <v>0.01</v>
      </c>
      <c r="AS73" s="1" t="s">
        <v>315</v>
      </c>
      <c r="AT73" s="1">
        <v>10</v>
      </c>
      <c r="AU73" s="1" t="s">
        <v>777</v>
      </c>
    </row>
    <row r="74" spans="1:47">
      <c r="A74" s="1">
        <v>24</v>
      </c>
      <c r="B74" s="11">
        <v>8</v>
      </c>
      <c r="C74" s="1" t="s">
        <v>126</v>
      </c>
      <c r="D74" s="1" t="s">
        <v>127</v>
      </c>
      <c r="E74" s="1" t="s">
        <v>128</v>
      </c>
      <c r="F74" s="1">
        <v>2008</v>
      </c>
      <c r="G74" s="1" t="s">
        <v>476</v>
      </c>
      <c r="H74" s="1" t="s">
        <v>477</v>
      </c>
      <c r="I74" s="1">
        <v>54.818859000000003</v>
      </c>
      <c r="J74" s="1">
        <v>9.9408399999999997</v>
      </c>
      <c r="K74" s="1" t="s">
        <v>401</v>
      </c>
      <c r="L74" s="1" t="s">
        <v>403</v>
      </c>
      <c r="M74" s="1" t="s">
        <v>652</v>
      </c>
      <c r="N74" s="1" t="s">
        <v>575</v>
      </c>
      <c r="O74" s="1" t="s">
        <v>791</v>
      </c>
      <c r="P74" s="1" t="s">
        <v>338</v>
      </c>
      <c r="Q74" s="1" t="s">
        <v>761</v>
      </c>
      <c r="R74" s="1" t="s">
        <v>762</v>
      </c>
      <c r="S74" s="1" t="s">
        <v>336</v>
      </c>
      <c r="T74" s="1" t="s">
        <v>578</v>
      </c>
      <c r="U74" s="1">
        <v>2004</v>
      </c>
      <c r="V74" s="1" t="s">
        <v>295</v>
      </c>
      <c r="W74" s="1" t="s">
        <v>579</v>
      </c>
      <c r="X74" s="1" t="s">
        <v>580</v>
      </c>
      <c r="Y74" s="1" t="s">
        <v>581</v>
      </c>
      <c r="Z74" s="1" t="s">
        <v>582</v>
      </c>
      <c r="AA74" s="1" t="s">
        <v>583</v>
      </c>
      <c r="AB74" s="1" t="s">
        <v>295</v>
      </c>
      <c r="AC74" s="1" t="s">
        <v>675</v>
      </c>
      <c r="AD74" s="1" t="s">
        <v>598</v>
      </c>
      <c r="AE74" s="1" t="s">
        <v>601</v>
      </c>
      <c r="AF74" s="1" t="s">
        <v>676</v>
      </c>
      <c r="AG74" s="1" t="s">
        <v>677</v>
      </c>
      <c r="AH74" s="1" t="s">
        <v>763</v>
      </c>
      <c r="AI74" s="1" t="s">
        <v>764</v>
      </c>
      <c r="AJ74" s="1" t="s">
        <v>745</v>
      </c>
      <c r="AK74" s="1" t="s">
        <v>605</v>
      </c>
      <c r="AL74" s="1" t="s">
        <v>315</v>
      </c>
      <c r="AM74" s="1">
        <v>442</v>
      </c>
      <c r="AN74" s="1">
        <v>30</v>
      </c>
      <c r="AO74" s="1" t="s">
        <v>315</v>
      </c>
      <c r="AP74" s="1">
        <v>8</v>
      </c>
      <c r="AQ74" s="1">
        <v>531</v>
      </c>
      <c r="AR74" s="1">
        <v>54</v>
      </c>
      <c r="AS74" s="1" t="s">
        <v>315</v>
      </c>
      <c r="AT74" s="1">
        <v>8</v>
      </c>
      <c r="AU74" s="1" t="s">
        <v>778</v>
      </c>
    </row>
    <row r="75" spans="1:47">
      <c r="A75" s="1">
        <v>24</v>
      </c>
      <c r="B75" s="11">
        <v>9</v>
      </c>
      <c r="C75" s="1" t="s">
        <v>126</v>
      </c>
      <c r="D75" s="1" t="s">
        <v>127</v>
      </c>
      <c r="E75" s="1" t="s">
        <v>128</v>
      </c>
      <c r="F75" s="1">
        <v>2008</v>
      </c>
      <c r="G75" s="1" t="s">
        <v>476</v>
      </c>
      <c r="H75" s="1" t="s">
        <v>477</v>
      </c>
      <c r="I75" s="1">
        <v>54.818859000000003</v>
      </c>
      <c r="J75" s="1">
        <v>9.9408399999999997</v>
      </c>
      <c r="K75" s="1" t="s">
        <v>401</v>
      </c>
      <c r="L75" s="1" t="s">
        <v>403</v>
      </c>
      <c r="M75" s="1" t="s">
        <v>652</v>
      </c>
      <c r="N75" s="1" t="s">
        <v>575</v>
      </c>
      <c r="O75" s="1" t="s">
        <v>791</v>
      </c>
      <c r="P75" s="1" t="s">
        <v>338</v>
      </c>
      <c r="Q75" s="1" t="s">
        <v>761</v>
      </c>
      <c r="R75" s="1" t="s">
        <v>762</v>
      </c>
      <c r="S75" s="1" t="s">
        <v>336</v>
      </c>
      <c r="T75" s="1" t="s">
        <v>578</v>
      </c>
      <c r="U75" s="1">
        <v>2004</v>
      </c>
      <c r="V75" s="1" t="s">
        <v>295</v>
      </c>
      <c r="W75" s="1" t="s">
        <v>579</v>
      </c>
      <c r="X75" s="1" t="s">
        <v>580</v>
      </c>
      <c r="Y75" s="1" t="s">
        <v>581</v>
      </c>
      <c r="Z75" s="1" t="s">
        <v>582</v>
      </c>
      <c r="AA75" s="1" t="s">
        <v>583</v>
      </c>
      <c r="AB75" s="1" t="s">
        <v>295</v>
      </c>
      <c r="AC75" s="1" t="s">
        <v>675</v>
      </c>
      <c r="AD75" s="1" t="s">
        <v>598</v>
      </c>
      <c r="AE75" s="1" t="s">
        <v>601</v>
      </c>
      <c r="AF75" s="1" t="s">
        <v>676</v>
      </c>
      <c r="AG75" s="1" t="s">
        <v>677</v>
      </c>
      <c r="AH75" s="1" t="s">
        <v>763</v>
      </c>
      <c r="AI75" s="1" t="s">
        <v>764</v>
      </c>
      <c r="AJ75" s="1" t="s">
        <v>745</v>
      </c>
      <c r="AK75" s="1" t="s">
        <v>772</v>
      </c>
      <c r="AL75" s="1" t="s">
        <v>315</v>
      </c>
      <c r="AM75" s="1">
        <v>52.4</v>
      </c>
      <c r="AN75" s="1">
        <v>1.5</v>
      </c>
      <c r="AO75" s="1" t="s">
        <v>315</v>
      </c>
      <c r="AP75" s="1">
        <v>30</v>
      </c>
      <c r="AQ75" s="1">
        <v>56.1</v>
      </c>
      <c r="AR75" s="1">
        <v>0.9</v>
      </c>
      <c r="AS75" s="1" t="s">
        <v>315</v>
      </c>
      <c r="AT75" s="1">
        <v>30</v>
      </c>
      <c r="AU75" s="1" t="s">
        <v>779</v>
      </c>
    </row>
    <row r="76" spans="1:47">
      <c r="A76" s="1">
        <v>24</v>
      </c>
      <c r="B76" s="11">
        <v>10</v>
      </c>
      <c r="C76" s="1" t="s">
        <v>126</v>
      </c>
      <c r="D76" s="1" t="s">
        <v>127</v>
      </c>
      <c r="E76" s="1" t="s">
        <v>128</v>
      </c>
      <c r="F76" s="1">
        <v>2008</v>
      </c>
      <c r="G76" s="1" t="s">
        <v>476</v>
      </c>
      <c r="H76" s="1" t="s">
        <v>477</v>
      </c>
      <c r="I76" s="1">
        <v>54.818859000000003</v>
      </c>
      <c r="J76" s="1">
        <v>9.9408399999999997</v>
      </c>
      <c r="K76" s="1" t="s">
        <v>401</v>
      </c>
      <c r="L76" s="1" t="s">
        <v>403</v>
      </c>
      <c r="M76" s="1" t="s">
        <v>652</v>
      </c>
      <c r="N76" s="1" t="s">
        <v>575</v>
      </c>
      <c r="O76" s="1" t="s">
        <v>791</v>
      </c>
      <c r="P76" s="1" t="s">
        <v>338</v>
      </c>
      <c r="Q76" s="1" t="s">
        <v>761</v>
      </c>
      <c r="R76" s="1" t="s">
        <v>762</v>
      </c>
      <c r="S76" s="1" t="s">
        <v>336</v>
      </c>
      <c r="T76" s="1" t="s">
        <v>578</v>
      </c>
      <c r="U76" s="1">
        <v>2004</v>
      </c>
      <c r="V76" s="1" t="s">
        <v>295</v>
      </c>
      <c r="W76" s="1" t="s">
        <v>579</v>
      </c>
      <c r="X76" s="1" t="s">
        <v>580</v>
      </c>
      <c r="Y76" s="1" t="s">
        <v>581</v>
      </c>
      <c r="Z76" s="1" t="s">
        <v>582</v>
      </c>
      <c r="AA76" s="1" t="s">
        <v>583</v>
      </c>
      <c r="AB76" s="1" t="s">
        <v>295</v>
      </c>
      <c r="AC76" s="1" t="s">
        <v>675</v>
      </c>
      <c r="AD76" s="1" t="s">
        <v>598</v>
      </c>
      <c r="AE76" s="1" t="s">
        <v>601</v>
      </c>
      <c r="AF76" s="1" t="s">
        <v>676</v>
      </c>
      <c r="AG76" s="1" t="s">
        <v>677</v>
      </c>
      <c r="AH76" s="1" t="s">
        <v>763</v>
      </c>
      <c r="AI76" s="1" t="s">
        <v>764</v>
      </c>
      <c r="AJ76" s="1" t="s">
        <v>745</v>
      </c>
      <c r="AK76" s="1" t="s">
        <v>755</v>
      </c>
      <c r="AL76" s="1" t="s">
        <v>315</v>
      </c>
      <c r="AM76" s="1">
        <v>5.0999999999999996</v>
      </c>
      <c r="AN76" s="1">
        <v>0.03</v>
      </c>
      <c r="AO76" s="1" t="s">
        <v>315</v>
      </c>
      <c r="AP76" s="1">
        <v>30</v>
      </c>
      <c r="AQ76" s="1">
        <v>4.5999999999999996</v>
      </c>
      <c r="AR76" s="1">
        <v>0.05</v>
      </c>
      <c r="AS76" s="1" t="s">
        <v>315</v>
      </c>
      <c r="AT76" s="1">
        <v>30</v>
      </c>
      <c r="AU76" s="1" t="s">
        <v>780</v>
      </c>
    </row>
    <row r="77" spans="1:47">
      <c r="A77" s="1">
        <v>24</v>
      </c>
      <c r="B77" s="11">
        <v>11</v>
      </c>
      <c r="C77" s="1" t="s">
        <v>126</v>
      </c>
      <c r="D77" s="1" t="s">
        <v>127</v>
      </c>
      <c r="E77" s="1" t="s">
        <v>128</v>
      </c>
      <c r="F77" s="1">
        <v>2008</v>
      </c>
      <c r="G77" s="1" t="s">
        <v>476</v>
      </c>
      <c r="H77" s="1" t="s">
        <v>477</v>
      </c>
      <c r="I77" s="1">
        <v>54.818859000000003</v>
      </c>
      <c r="J77" s="1">
        <v>9.9408399999999997</v>
      </c>
      <c r="K77" s="1" t="s">
        <v>401</v>
      </c>
      <c r="L77" s="1" t="s">
        <v>403</v>
      </c>
      <c r="M77" s="1" t="s">
        <v>652</v>
      </c>
      <c r="N77" s="1" t="s">
        <v>575</v>
      </c>
      <c r="O77" s="1" t="s">
        <v>791</v>
      </c>
      <c r="P77" s="1" t="s">
        <v>338</v>
      </c>
      <c r="Q77" s="1" t="s">
        <v>761</v>
      </c>
      <c r="R77" s="1" t="s">
        <v>762</v>
      </c>
      <c r="S77" s="1" t="s">
        <v>336</v>
      </c>
      <c r="T77" s="1" t="s">
        <v>578</v>
      </c>
      <c r="U77" s="1">
        <v>2004</v>
      </c>
      <c r="V77" s="1" t="s">
        <v>295</v>
      </c>
      <c r="W77" s="1" t="s">
        <v>579</v>
      </c>
      <c r="X77" s="1" t="s">
        <v>580</v>
      </c>
      <c r="Y77" s="1" t="s">
        <v>581</v>
      </c>
      <c r="Z77" s="1" t="s">
        <v>582</v>
      </c>
      <c r="AA77" s="1" t="s">
        <v>583</v>
      </c>
      <c r="AB77" s="1" t="s">
        <v>295</v>
      </c>
      <c r="AC77" s="1" t="s">
        <v>675</v>
      </c>
      <c r="AD77" s="1" t="s">
        <v>598</v>
      </c>
      <c r="AE77" s="1" t="s">
        <v>601</v>
      </c>
      <c r="AF77" s="1" t="s">
        <v>676</v>
      </c>
      <c r="AG77" s="1" t="s">
        <v>677</v>
      </c>
      <c r="AH77" s="1" t="s">
        <v>763</v>
      </c>
      <c r="AI77" s="1" t="s">
        <v>764</v>
      </c>
      <c r="AJ77" s="1" t="s">
        <v>745</v>
      </c>
      <c r="AK77" s="1" t="s">
        <v>749</v>
      </c>
      <c r="AL77" s="1" t="s">
        <v>315</v>
      </c>
      <c r="AM77" s="1">
        <v>487</v>
      </c>
      <c r="AN77" s="1">
        <v>87</v>
      </c>
      <c r="AO77" s="1" t="s">
        <v>315</v>
      </c>
      <c r="AP77" s="1">
        <v>3</v>
      </c>
      <c r="AQ77" s="1">
        <v>465</v>
      </c>
      <c r="AR77" s="1">
        <v>38</v>
      </c>
      <c r="AS77" s="1" t="s">
        <v>315</v>
      </c>
      <c r="AT77" s="1">
        <v>3</v>
      </c>
      <c r="AU77" s="1" t="s">
        <v>781</v>
      </c>
    </row>
    <row r="78" spans="1:47">
      <c r="A78" s="1">
        <v>24</v>
      </c>
      <c r="B78" s="11">
        <v>12</v>
      </c>
      <c r="C78" s="1" t="s">
        <v>126</v>
      </c>
      <c r="D78" s="1" t="s">
        <v>127</v>
      </c>
      <c r="E78" s="1" t="s">
        <v>128</v>
      </c>
      <c r="F78" s="1">
        <v>2008</v>
      </c>
      <c r="G78" s="1" t="s">
        <v>476</v>
      </c>
      <c r="H78" s="1" t="s">
        <v>477</v>
      </c>
      <c r="I78" s="1">
        <v>54.818859000000003</v>
      </c>
      <c r="J78" s="1">
        <v>9.9408399999999997</v>
      </c>
      <c r="K78" s="1" t="s">
        <v>401</v>
      </c>
      <c r="L78" s="1" t="s">
        <v>403</v>
      </c>
      <c r="M78" s="1" t="s">
        <v>652</v>
      </c>
      <c r="N78" s="1" t="s">
        <v>575</v>
      </c>
      <c r="O78" s="1" t="s">
        <v>791</v>
      </c>
      <c r="P78" s="1" t="s">
        <v>338</v>
      </c>
      <c r="Q78" s="1" t="s">
        <v>761</v>
      </c>
      <c r="R78" s="1" t="s">
        <v>762</v>
      </c>
      <c r="S78" s="1" t="s">
        <v>336</v>
      </c>
      <c r="T78" s="1" t="s">
        <v>578</v>
      </c>
      <c r="U78" s="1">
        <v>2004</v>
      </c>
      <c r="V78" s="1" t="s">
        <v>295</v>
      </c>
      <c r="W78" s="1" t="s">
        <v>579</v>
      </c>
      <c r="X78" s="1" t="s">
        <v>580</v>
      </c>
      <c r="Y78" s="1" t="s">
        <v>581</v>
      </c>
      <c r="Z78" s="1" t="s">
        <v>582</v>
      </c>
      <c r="AA78" s="1" t="s">
        <v>583</v>
      </c>
      <c r="AB78" s="1" t="s">
        <v>295</v>
      </c>
      <c r="AC78" s="1" t="s">
        <v>753</v>
      </c>
      <c r="AD78" s="1" t="s">
        <v>618</v>
      </c>
      <c r="AE78" s="1" t="s">
        <v>348</v>
      </c>
      <c r="AF78" s="1" t="s">
        <v>752</v>
      </c>
      <c r="AG78" s="1" t="s">
        <v>751</v>
      </c>
      <c r="AH78" s="1" t="s">
        <v>744</v>
      </c>
      <c r="AI78" s="1" t="s">
        <v>362</v>
      </c>
      <c r="AJ78" s="1" t="s">
        <v>745</v>
      </c>
      <c r="AK78" s="1" t="s">
        <v>658</v>
      </c>
      <c r="AL78" s="1" t="s">
        <v>315</v>
      </c>
      <c r="AM78" s="1">
        <v>0.44272445820433398</v>
      </c>
      <c r="AN78" s="1">
        <v>6.1919504643963064E-2</v>
      </c>
      <c r="AO78" s="1" t="s">
        <v>315</v>
      </c>
      <c r="AP78" s="1">
        <v>3</v>
      </c>
      <c r="AQ78" s="1">
        <v>0.24458204334365299</v>
      </c>
      <c r="AR78" s="1">
        <v>2.1671826625386997E-2</v>
      </c>
      <c r="AS78" s="1" t="s">
        <v>315</v>
      </c>
      <c r="AT78" s="1">
        <v>3</v>
      </c>
      <c r="AU78" s="1" t="s">
        <v>787</v>
      </c>
    </row>
    <row r="79" spans="1:47">
      <c r="A79" s="1">
        <v>24</v>
      </c>
      <c r="B79" s="11">
        <v>13</v>
      </c>
      <c r="C79" s="1" t="s">
        <v>126</v>
      </c>
      <c r="D79" s="1" t="s">
        <v>127</v>
      </c>
      <c r="E79" s="1" t="s">
        <v>128</v>
      </c>
      <c r="F79" s="1">
        <v>2008</v>
      </c>
      <c r="G79" s="1" t="s">
        <v>476</v>
      </c>
      <c r="H79" s="1" t="s">
        <v>477</v>
      </c>
      <c r="I79" s="1">
        <v>54.818859000000003</v>
      </c>
      <c r="J79" s="1">
        <v>9.9408399999999997</v>
      </c>
      <c r="K79" s="1" t="s">
        <v>401</v>
      </c>
      <c r="L79" s="1" t="s">
        <v>403</v>
      </c>
      <c r="M79" s="1" t="s">
        <v>652</v>
      </c>
      <c r="N79" s="1" t="s">
        <v>575</v>
      </c>
      <c r="O79" s="1" t="s">
        <v>791</v>
      </c>
      <c r="P79" s="1" t="s">
        <v>338</v>
      </c>
      <c r="Q79" s="1" t="s">
        <v>761</v>
      </c>
      <c r="R79" s="1" t="s">
        <v>762</v>
      </c>
      <c r="S79" s="1" t="s">
        <v>336</v>
      </c>
      <c r="T79" s="1" t="s">
        <v>610</v>
      </c>
      <c r="U79" s="1">
        <v>2005</v>
      </c>
      <c r="V79" s="1" t="s">
        <v>295</v>
      </c>
      <c r="W79" s="1" t="s">
        <v>579</v>
      </c>
      <c r="X79" s="1" t="s">
        <v>580</v>
      </c>
      <c r="Y79" s="1" t="s">
        <v>581</v>
      </c>
      <c r="Z79" s="1" t="s">
        <v>582</v>
      </c>
      <c r="AA79" s="1" t="s">
        <v>583</v>
      </c>
      <c r="AB79" s="1" t="s">
        <v>295</v>
      </c>
      <c r="AC79" s="1" t="s">
        <v>675</v>
      </c>
      <c r="AD79" s="1" t="s">
        <v>598</v>
      </c>
      <c r="AE79" s="1" t="s">
        <v>601</v>
      </c>
      <c r="AF79" s="1" t="s">
        <v>676</v>
      </c>
      <c r="AG79" s="1" t="s">
        <v>677</v>
      </c>
      <c r="AH79" s="1" t="s">
        <v>763</v>
      </c>
      <c r="AI79" s="1" t="s">
        <v>764</v>
      </c>
      <c r="AJ79" s="1" t="s">
        <v>745</v>
      </c>
      <c r="AK79" s="1" t="s">
        <v>756</v>
      </c>
      <c r="AL79" s="1" t="s">
        <v>670</v>
      </c>
      <c r="AM79" s="1">
        <v>0</v>
      </c>
      <c r="AN79" s="1">
        <v>0</v>
      </c>
      <c r="AO79" s="1" t="s">
        <v>315</v>
      </c>
      <c r="AP79" s="1">
        <v>10</v>
      </c>
      <c r="AQ79" s="1">
        <v>0.04</v>
      </c>
      <c r="AR79" s="1">
        <v>3.0000000000000001E-3</v>
      </c>
      <c r="AS79" s="1" t="s">
        <v>315</v>
      </c>
      <c r="AT79" s="1">
        <v>10</v>
      </c>
      <c r="AU79" s="1" t="s">
        <v>783</v>
      </c>
    </row>
    <row r="80" spans="1:47">
      <c r="A80" s="1">
        <v>24</v>
      </c>
      <c r="B80" s="11">
        <v>14</v>
      </c>
      <c r="C80" s="1" t="s">
        <v>126</v>
      </c>
      <c r="D80" s="1" t="s">
        <v>127</v>
      </c>
      <c r="E80" s="1" t="s">
        <v>128</v>
      </c>
      <c r="F80" s="1">
        <v>2008</v>
      </c>
      <c r="G80" s="1" t="s">
        <v>476</v>
      </c>
      <c r="H80" s="1" t="s">
        <v>477</v>
      </c>
      <c r="I80" s="1">
        <v>54.818859000000003</v>
      </c>
      <c r="J80" s="1">
        <v>9.9408399999999997</v>
      </c>
      <c r="K80" s="1" t="s">
        <v>401</v>
      </c>
      <c r="L80" s="1" t="s">
        <v>403</v>
      </c>
      <c r="M80" s="1" t="s">
        <v>652</v>
      </c>
      <c r="N80" s="1" t="s">
        <v>575</v>
      </c>
      <c r="O80" s="1" t="s">
        <v>791</v>
      </c>
      <c r="P80" s="1" t="s">
        <v>338</v>
      </c>
      <c r="Q80" s="1" t="s">
        <v>761</v>
      </c>
      <c r="R80" s="1" t="s">
        <v>762</v>
      </c>
      <c r="S80" s="1" t="s">
        <v>336</v>
      </c>
      <c r="T80" s="1" t="s">
        <v>610</v>
      </c>
      <c r="U80" s="1">
        <v>2005</v>
      </c>
      <c r="V80" s="1" t="s">
        <v>295</v>
      </c>
      <c r="W80" s="1" t="s">
        <v>579</v>
      </c>
      <c r="X80" s="1" t="s">
        <v>580</v>
      </c>
      <c r="Y80" s="1" t="s">
        <v>581</v>
      </c>
      <c r="Z80" s="1" t="s">
        <v>582</v>
      </c>
      <c r="AA80" s="1" t="s">
        <v>583</v>
      </c>
      <c r="AB80" s="1" t="s">
        <v>295</v>
      </c>
      <c r="AC80" s="1" t="s">
        <v>675</v>
      </c>
      <c r="AD80" s="1" t="s">
        <v>598</v>
      </c>
      <c r="AE80" s="1" t="s">
        <v>601</v>
      </c>
      <c r="AF80" s="1" t="s">
        <v>676</v>
      </c>
      <c r="AG80" s="1" t="s">
        <v>677</v>
      </c>
      <c r="AH80" s="1" t="s">
        <v>763</v>
      </c>
      <c r="AI80" s="1" t="s">
        <v>764</v>
      </c>
      <c r="AJ80" s="1" t="s">
        <v>745</v>
      </c>
      <c r="AK80" s="1" t="s">
        <v>605</v>
      </c>
      <c r="AL80" s="1" t="s">
        <v>315</v>
      </c>
      <c r="AM80" s="1">
        <v>331</v>
      </c>
      <c r="AN80" s="1">
        <v>38</v>
      </c>
      <c r="AO80" s="1" t="s">
        <v>315</v>
      </c>
      <c r="AP80" s="1">
        <v>8</v>
      </c>
      <c r="AQ80" s="1">
        <v>337</v>
      </c>
      <c r="AR80" s="1">
        <v>34</v>
      </c>
      <c r="AS80" s="1" t="s">
        <v>315</v>
      </c>
      <c r="AT80" s="1">
        <v>8</v>
      </c>
      <c r="AU80" s="1" t="s">
        <v>782</v>
      </c>
    </row>
    <row r="81" spans="1:47">
      <c r="A81" s="1">
        <v>24</v>
      </c>
      <c r="B81" s="11">
        <v>15</v>
      </c>
      <c r="C81" s="1" t="s">
        <v>126</v>
      </c>
      <c r="D81" s="1" t="s">
        <v>127</v>
      </c>
      <c r="E81" s="1" t="s">
        <v>128</v>
      </c>
      <c r="F81" s="1">
        <v>2008</v>
      </c>
      <c r="G81" s="1" t="s">
        <v>476</v>
      </c>
      <c r="H81" s="1" t="s">
        <v>477</v>
      </c>
      <c r="I81" s="1">
        <v>54.818859000000003</v>
      </c>
      <c r="J81" s="1">
        <v>9.9408399999999997</v>
      </c>
      <c r="K81" s="1" t="s">
        <v>401</v>
      </c>
      <c r="L81" s="1" t="s">
        <v>403</v>
      </c>
      <c r="M81" s="1" t="s">
        <v>652</v>
      </c>
      <c r="N81" s="1" t="s">
        <v>575</v>
      </c>
      <c r="O81" s="1" t="s">
        <v>791</v>
      </c>
      <c r="P81" s="1" t="s">
        <v>338</v>
      </c>
      <c r="Q81" s="1" t="s">
        <v>761</v>
      </c>
      <c r="R81" s="1" t="s">
        <v>762</v>
      </c>
      <c r="S81" s="1" t="s">
        <v>336</v>
      </c>
      <c r="T81" s="1" t="s">
        <v>610</v>
      </c>
      <c r="U81" s="1">
        <v>2005</v>
      </c>
      <c r="V81" s="1" t="s">
        <v>295</v>
      </c>
      <c r="W81" s="1" t="s">
        <v>579</v>
      </c>
      <c r="X81" s="1" t="s">
        <v>580</v>
      </c>
      <c r="Y81" s="1" t="s">
        <v>581</v>
      </c>
      <c r="Z81" s="1" t="s">
        <v>582</v>
      </c>
      <c r="AA81" s="1" t="s">
        <v>583</v>
      </c>
      <c r="AB81" s="1" t="s">
        <v>295</v>
      </c>
      <c r="AC81" s="1" t="s">
        <v>675</v>
      </c>
      <c r="AD81" s="1" t="s">
        <v>598</v>
      </c>
      <c r="AE81" s="1" t="s">
        <v>601</v>
      </c>
      <c r="AF81" s="1" t="s">
        <v>676</v>
      </c>
      <c r="AG81" s="1" t="s">
        <v>677</v>
      </c>
      <c r="AH81" s="1" t="s">
        <v>763</v>
      </c>
      <c r="AI81" s="1" t="s">
        <v>764</v>
      </c>
      <c r="AJ81" s="1" t="s">
        <v>745</v>
      </c>
      <c r="AK81" s="1" t="s">
        <v>772</v>
      </c>
      <c r="AL81" s="1" t="s">
        <v>315</v>
      </c>
      <c r="AM81" s="1">
        <v>27.4</v>
      </c>
      <c r="AN81" s="1">
        <v>0.6</v>
      </c>
      <c r="AO81" s="1" t="s">
        <v>315</v>
      </c>
      <c r="AP81" s="1">
        <v>30</v>
      </c>
      <c r="AQ81" s="1">
        <v>24</v>
      </c>
      <c r="AR81" s="1">
        <v>0.8</v>
      </c>
      <c r="AS81" s="1" t="s">
        <v>315</v>
      </c>
      <c r="AT81" s="1">
        <v>30</v>
      </c>
      <c r="AU81" s="1" t="s">
        <v>783</v>
      </c>
    </row>
    <row r="82" spans="1:47">
      <c r="A82" s="1">
        <v>24</v>
      </c>
      <c r="B82" s="11">
        <v>16</v>
      </c>
      <c r="C82" s="1" t="s">
        <v>126</v>
      </c>
      <c r="D82" s="1" t="s">
        <v>127</v>
      </c>
      <c r="E82" s="1" t="s">
        <v>128</v>
      </c>
      <c r="F82" s="1">
        <v>2008</v>
      </c>
      <c r="G82" s="1" t="s">
        <v>476</v>
      </c>
      <c r="H82" s="1" t="s">
        <v>477</v>
      </c>
      <c r="I82" s="1">
        <v>54.818859000000003</v>
      </c>
      <c r="J82" s="1">
        <v>9.9408399999999997</v>
      </c>
      <c r="K82" s="1" t="s">
        <v>401</v>
      </c>
      <c r="L82" s="1" t="s">
        <v>403</v>
      </c>
      <c r="M82" s="1" t="s">
        <v>652</v>
      </c>
      <c r="N82" s="1" t="s">
        <v>575</v>
      </c>
      <c r="O82" s="1" t="s">
        <v>791</v>
      </c>
      <c r="P82" s="1" t="s">
        <v>338</v>
      </c>
      <c r="Q82" s="1" t="s">
        <v>761</v>
      </c>
      <c r="R82" s="1" t="s">
        <v>762</v>
      </c>
      <c r="S82" s="1" t="s">
        <v>336</v>
      </c>
      <c r="T82" s="1" t="s">
        <v>610</v>
      </c>
      <c r="U82" s="1">
        <v>2005</v>
      </c>
      <c r="V82" s="1" t="s">
        <v>295</v>
      </c>
      <c r="W82" s="1" t="s">
        <v>579</v>
      </c>
      <c r="X82" s="1" t="s">
        <v>580</v>
      </c>
      <c r="Y82" s="1" t="s">
        <v>581</v>
      </c>
      <c r="Z82" s="1" t="s">
        <v>582</v>
      </c>
      <c r="AA82" s="1" t="s">
        <v>583</v>
      </c>
      <c r="AB82" s="1" t="s">
        <v>295</v>
      </c>
      <c r="AC82" s="1" t="s">
        <v>675</v>
      </c>
      <c r="AD82" s="1" t="s">
        <v>598</v>
      </c>
      <c r="AE82" s="1" t="s">
        <v>601</v>
      </c>
      <c r="AF82" s="1" t="s">
        <v>676</v>
      </c>
      <c r="AG82" s="1" t="s">
        <v>677</v>
      </c>
      <c r="AH82" s="1" t="s">
        <v>763</v>
      </c>
      <c r="AI82" s="1" t="s">
        <v>764</v>
      </c>
      <c r="AJ82" s="1" t="s">
        <v>745</v>
      </c>
      <c r="AK82" s="1" t="s">
        <v>755</v>
      </c>
      <c r="AL82" s="1" t="s">
        <v>315</v>
      </c>
      <c r="AM82" s="1">
        <v>3.2</v>
      </c>
      <c r="AN82" s="1">
        <v>0.06</v>
      </c>
      <c r="AO82" s="1" t="s">
        <v>315</v>
      </c>
      <c r="AP82" s="1">
        <v>30</v>
      </c>
      <c r="AQ82" s="1">
        <v>3.6</v>
      </c>
      <c r="AR82" s="1">
        <v>0.02</v>
      </c>
      <c r="AS82" s="1" t="s">
        <v>315</v>
      </c>
      <c r="AT82" s="1">
        <v>30</v>
      </c>
      <c r="AU82" s="1" t="s">
        <v>784</v>
      </c>
    </row>
    <row r="83" spans="1:47">
      <c r="A83" s="1">
        <v>24</v>
      </c>
      <c r="B83" s="11">
        <v>17</v>
      </c>
      <c r="C83" s="1" t="s">
        <v>126</v>
      </c>
      <c r="D83" s="1" t="s">
        <v>127</v>
      </c>
      <c r="E83" s="1" t="s">
        <v>128</v>
      </c>
      <c r="F83" s="1">
        <v>2008</v>
      </c>
      <c r="G83" s="1" t="s">
        <v>476</v>
      </c>
      <c r="H83" s="1" t="s">
        <v>477</v>
      </c>
      <c r="I83" s="1">
        <v>54.818859000000003</v>
      </c>
      <c r="J83" s="1">
        <v>9.9408399999999997</v>
      </c>
      <c r="K83" s="1" t="s">
        <v>401</v>
      </c>
      <c r="L83" s="1" t="s">
        <v>403</v>
      </c>
      <c r="M83" s="1" t="s">
        <v>652</v>
      </c>
      <c r="N83" s="1" t="s">
        <v>575</v>
      </c>
      <c r="O83" s="1" t="s">
        <v>791</v>
      </c>
      <c r="P83" s="1" t="s">
        <v>338</v>
      </c>
      <c r="Q83" s="1" t="s">
        <v>761</v>
      </c>
      <c r="R83" s="1" t="s">
        <v>762</v>
      </c>
      <c r="S83" s="1" t="s">
        <v>336</v>
      </c>
      <c r="T83" s="1" t="s">
        <v>610</v>
      </c>
      <c r="U83" s="1">
        <v>2005</v>
      </c>
      <c r="V83" s="1" t="s">
        <v>295</v>
      </c>
      <c r="W83" s="1" t="s">
        <v>579</v>
      </c>
      <c r="X83" s="1" t="s">
        <v>580</v>
      </c>
      <c r="Y83" s="1" t="s">
        <v>581</v>
      </c>
      <c r="Z83" s="1" t="s">
        <v>582</v>
      </c>
      <c r="AA83" s="1" t="s">
        <v>583</v>
      </c>
      <c r="AB83" s="1" t="s">
        <v>295</v>
      </c>
      <c r="AC83" s="1" t="s">
        <v>675</v>
      </c>
      <c r="AD83" s="1" t="s">
        <v>598</v>
      </c>
      <c r="AE83" s="1" t="s">
        <v>601</v>
      </c>
      <c r="AF83" s="1" t="s">
        <v>676</v>
      </c>
      <c r="AG83" s="1" t="s">
        <v>677</v>
      </c>
      <c r="AH83" s="1" t="s">
        <v>763</v>
      </c>
      <c r="AI83" s="1" t="s">
        <v>764</v>
      </c>
      <c r="AJ83" s="1" t="s">
        <v>745</v>
      </c>
      <c r="AK83" s="1" t="s">
        <v>749</v>
      </c>
      <c r="AL83" s="1" t="s">
        <v>315</v>
      </c>
      <c r="AM83" s="1">
        <v>125</v>
      </c>
      <c r="AN83" s="1">
        <v>26</v>
      </c>
      <c r="AO83" s="1" t="s">
        <v>315</v>
      </c>
      <c r="AP83" s="1">
        <v>3</v>
      </c>
      <c r="AQ83" s="1">
        <v>150</v>
      </c>
      <c r="AR83" s="1">
        <v>30</v>
      </c>
      <c r="AS83" s="1" t="s">
        <v>315</v>
      </c>
      <c r="AT83" s="1">
        <v>3</v>
      </c>
      <c r="AU83" s="1" t="s">
        <v>785</v>
      </c>
    </row>
    <row r="84" spans="1:47">
      <c r="A84" s="1">
        <v>24</v>
      </c>
      <c r="B84" s="11">
        <v>18</v>
      </c>
      <c r="C84" s="1" t="s">
        <v>126</v>
      </c>
      <c r="D84" s="1" t="s">
        <v>127</v>
      </c>
      <c r="E84" s="1" t="s">
        <v>128</v>
      </c>
      <c r="F84" s="1">
        <v>2008</v>
      </c>
      <c r="G84" s="1" t="s">
        <v>476</v>
      </c>
      <c r="H84" s="1" t="s">
        <v>477</v>
      </c>
      <c r="I84" s="1">
        <v>54.818859000000003</v>
      </c>
      <c r="J84" s="1">
        <v>9.9408399999999997</v>
      </c>
      <c r="K84" s="1" t="s">
        <v>401</v>
      </c>
      <c r="L84" s="1" t="s">
        <v>403</v>
      </c>
      <c r="M84" s="1" t="s">
        <v>652</v>
      </c>
      <c r="N84" s="1" t="s">
        <v>575</v>
      </c>
      <c r="O84" s="1" t="s">
        <v>791</v>
      </c>
      <c r="P84" s="1" t="s">
        <v>338</v>
      </c>
      <c r="Q84" s="1" t="s">
        <v>761</v>
      </c>
      <c r="R84" s="1" t="s">
        <v>762</v>
      </c>
      <c r="S84" s="1" t="s">
        <v>336</v>
      </c>
      <c r="T84" s="1" t="s">
        <v>610</v>
      </c>
      <c r="U84" s="1">
        <v>2005</v>
      </c>
      <c r="V84" s="1" t="s">
        <v>295</v>
      </c>
      <c r="W84" s="1" t="s">
        <v>579</v>
      </c>
      <c r="X84" s="1" t="s">
        <v>580</v>
      </c>
      <c r="Y84" s="1" t="s">
        <v>581</v>
      </c>
      <c r="Z84" s="1" t="s">
        <v>582</v>
      </c>
      <c r="AA84" s="1" t="s">
        <v>583</v>
      </c>
      <c r="AB84" s="1" t="s">
        <v>295</v>
      </c>
      <c r="AC84" s="1" t="s">
        <v>753</v>
      </c>
      <c r="AD84" s="1" t="s">
        <v>618</v>
      </c>
      <c r="AE84" s="1" t="s">
        <v>348</v>
      </c>
      <c r="AF84" s="1" t="s">
        <v>752</v>
      </c>
      <c r="AG84" s="1" t="s">
        <v>751</v>
      </c>
      <c r="AH84" s="1" t="s">
        <v>744</v>
      </c>
      <c r="AI84" s="1" t="s">
        <v>362</v>
      </c>
      <c r="AJ84" s="1" t="s">
        <v>745</v>
      </c>
      <c r="AK84" s="1" t="s">
        <v>658</v>
      </c>
      <c r="AL84" s="1" t="s">
        <v>315</v>
      </c>
      <c r="AM84" s="1">
        <v>0.43034055727554099</v>
      </c>
      <c r="AN84" s="1">
        <v>3.4055727554180015E-2</v>
      </c>
      <c r="AO84" s="1" t="s">
        <v>315</v>
      </c>
      <c r="AP84" s="1">
        <v>3</v>
      </c>
      <c r="AQ84" s="1">
        <v>0.87925696594427205</v>
      </c>
      <c r="AR84" s="1">
        <v>8.6687306501547989E-2</v>
      </c>
      <c r="AS84" s="1" t="s">
        <v>315</v>
      </c>
      <c r="AT84" s="1">
        <v>3</v>
      </c>
      <c r="AU84" s="1" t="s">
        <v>788</v>
      </c>
    </row>
    <row r="85" spans="1:47">
      <c r="A85" s="1">
        <v>24</v>
      </c>
      <c r="B85" s="11">
        <v>19</v>
      </c>
      <c r="C85" s="1" t="s">
        <v>126</v>
      </c>
      <c r="D85" s="1" t="s">
        <v>127</v>
      </c>
      <c r="E85" s="1" t="s">
        <v>128</v>
      </c>
      <c r="F85" s="1">
        <v>2008</v>
      </c>
      <c r="G85" s="1" t="s">
        <v>476</v>
      </c>
      <c r="H85" s="1" t="s">
        <v>477</v>
      </c>
      <c r="I85" s="1">
        <v>54.818859000000003</v>
      </c>
      <c r="J85" s="1">
        <v>9.9408399999999997</v>
      </c>
      <c r="K85" s="1" t="s">
        <v>401</v>
      </c>
      <c r="L85" s="1" t="s">
        <v>403</v>
      </c>
      <c r="M85" s="1" t="s">
        <v>652</v>
      </c>
      <c r="N85" s="1" t="s">
        <v>575</v>
      </c>
      <c r="O85" s="1" t="s">
        <v>791</v>
      </c>
      <c r="P85" s="1" t="s">
        <v>338</v>
      </c>
      <c r="Q85" s="1" t="s">
        <v>761</v>
      </c>
      <c r="R85" s="1" t="s">
        <v>762</v>
      </c>
      <c r="S85" s="1" t="s">
        <v>336</v>
      </c>
      <c r="T85" s="1" t="s">
        <v>578</v>
      </c>
      <c r="U85" s="1">
        <v>2005</v>
      </c>
      <c r="V85" s="1" t="s">
        <v>295</v>
      </c>
      <c r="W85" s="1" t="s">
        <v>579</v>
      </c>
      <c r="X85" s="1" t="s">
        <v>580</v>
      </c>
      <c r="Y85" s="1" t="s">
        <v>581</v>
      </c>
      <c r="Z85" s="1" t="s">
        <v>582</v>
      </c>
      <c r="AA85" s="1" t="s">
        <v>583</v>
      </c>
      <c r="AB85" s="1" t="s">
        <v>295</v>
      </c>
      <c r="AC85" s="1" t="s">
        <v>753</v>
      </c>
      <c r="AD85" s="1" t="s">
        <v>618</v>
      </c>
      <c r="AE85" s="1" t="s">
        <v>348</v>
      </c>
      <c r="AF85" s="1" t="s">
        <v>752</v>
      </c>
      <c r="AG85" s="1" t="s">
        <v>751</v>
      </c>
      <c r="AH85" s="1" t="s">
        <v>744</v>
      </c>
      <c r="AI85" s="1" t="s">
        <v>362</v>
      </c>
      <c r="AJ85" s="1" t="s">
        <v>745</v>
      </c>
      <c r="AK85" s="1" t="s">
        <v>658</v>
      </c>
      <c r="AL85" s="1" t="s">
        <v>315</v>
      </c>
      <c r="AM85" s="1">
        <v>0.72445820433436503</v>
      </c>
      <c r="AN85" s="1">
        <v>2.1671826625387025E-2</v>
      </c>
      <c r="AO85" s="1" t="s">
        <v>315</v>
      </c>
      <c r="AP85" s="1">
        <v>3</v>
      </c>
      <c r="AQ85" s="1">
        <v>0</v>
      </c>
      <c r="AR85" s="1">
        <v>0</v>
      </c>
      <c r="AS85" s="1" t="s">
        <v>315</v>
      </c>
      <c r="AT85" s="1">
        <v>3</v>
      </c>
      <c r="AU85" s="1" t="s">
        <v>789</v>
      </c>
    </row>
    <row r="86" spans="1:47">
      <c r="A86" s="1">
        <v>25</v>
      </c>
      <c r="B86" s="11">
        <v>1</v>
      </c>
      <c r="C86" s="1" t="s">
        <v>129</v>
      </c>
      <c r="D86" s="1" t="s">
        <v>130</v>
      </c>
      <c r="E86" s="1" t="s">
        <v>86</v>
      </c>
      <c r="F86" s="1">
        <v>2008</v>
      </c>
      <c r="G86" s="1" t="s">
        <v>480</v>
      </c>
      <c r="H86" s="1" t="s">
        <v>481</v>
      </c>
      <c r="I86" s="1">
        <v>40.859591999999999</v>
      </c>
      <c r="J86" s="1">
        <v>-72.472257999999997</v>
      </c>
      <c r="K86" s="1" t="s">
        <v>366</v>
      </c>
      <c r="L86" s="1" t="s">
        <v>404</v>
      </c>
      <c r="M86" s="1" t="s">
        <v>574</v>
      </c>
      <c r="N86" s="1" t="s">
        <v>575</v>
      </c>
      <c r="O86" s="1" t="s">
        <v>791</v>
      </c>
      <c r="P86" s="1" t="s">
        <v>338</v>
      </c>
      <c r="Q86" s="1" t="s">
        <v>596</v>
      </c>
      <c r="R86" s="1" t="s">
        <v>315</v>
      </c>
      <c r="S86" s="1" t="s">
        <v>336</v>
      </c>
      <c r="T86" s="1" t="s">
        <v>578</v>
      </c>
      <c r="U86" s="1">
        <v>2006</v>
      </c>
      <c r="V86" s="1" t="s">
        <v>295</v>
      </c>
      <c r="W86" s="1" t="s">
        <v>765</v>
      </c>
      <c r="X86" s="1" t="s">
        <v>580</v>
      </c>
      <c r="Y86" s="1" t="s">
        <v>581</v>
      </c>
      <c r="Z86" s="1" t="s">
        <v>766</v>
      </c>
      <c r="AA86" s="1" t="s">
        <v>767</v>
      </c>
      <c r="AB86" s="1" t="s">
        <v>295</v>
      </c>
      <c r="AC86" s="1" t="s">
        <v>675</v>
      </c>
      <c r="AD86" s="1" t="s">
        <v>598</v>
      </c>
      <c r="AE86" s="1" t="s">
        <v>601</v>
      </c>
      <c r="AF86" s="1" t="s">
        <v>676</v>
      </c>
      <c r="AG86" s="1" t="s">
        <v>677</v>
      </c>
      <c r="AH86" s="1" t="s">
        <v>714</v>
      </c>
      <c r="AI86" s="1" t="s">
        <v>714</v>
      </c>
      <c r="AJ86" s="1" t="s">
        <v>802</v>
      </c>
      <c r="AK86" s="1" t="s">
        <v>770</v>
      </c>
      <c r="AL86" s="1" t="s">
        <v>315</v>
      </c>
      <c r="AM86" s="1">
        <v>0.46200000000000002</v>
      </c>
      <c r="AN86" s="1">
        <v>0.04</v>
      </c>
      <c r="AO86" s="1" t="s">
        <v>315</v>
      </c>
      <c r="AP86" s="1">
        <v>4</v>
      </c>
      <c r="AQ86" s="1">
        <v>0.318</v>
      </c>
      <c r="AR86" s="1">
        <v>0.02</v>
      </c>
      <c r="AS86" s="1" t="s">
        <v>315</v>
      </c>
      <c r="AT86" s="1">
        <v>4</v>
      </c>
      <c r="AU86" s="1" t="s">
        <v>804</v>
      </c>
    </row>
    <row r="87" spans="1:47">
      <c r="A87" s="1">
        <v>25</v>
      </c>
      <c r="B87" s="11">
        <v>2</v>
      </c>
      <c r="C87" s="1" t="s">
        <v>129</v>
      </c>
      <c r="D87" s="1" t="s">
        <v>130</v>
      </c>
      <c r="E87" s="1" t="s">
        <v>86</v>
      </c>
      <c r="F87" s="1">
        <v>2008</v>
      </c>
      <c r="G87" s="1" t="s">
        <v>480</v>
      </c>
      <c r="H87" s="1" t="s">
        <v>481</v>
      </c>
      <c r="I87" s="1">
        <v>40.859591999999999</v>
      </c>
      <c r="J87" s="1">
        <v>-72.472257999999997</v>
      </c>
      <c r="K87" s="1" t="s">
        <v>366</v>
      </c>
      <c r="L87" s="1" t="s">
        <v>404</v>
      </c>
      <c r="M87" s="1" t="s">
        <v>574</v>
      </c>
      <c r="N87" s="1" t="s">
        <v>575</v>
      </c>
      <c r="O87" s="1" t="s">
        <v>791</v>
      </c>
      <c r="P87" s="1" t="s">
        <v>338</v>
      </c>
      <c r="Q87" s="1" t="s">
        <v>596</v>
      </c>
      <c r="R87" s="1" t="s">
        <v>315</v>
      </c>
      <c r="S87" s="1" t="s">
        <v>336</v>
      </c>
      <c r="T87" s="1" t="s">
        <v>578</v>
      </c>
      <c r="U87" s="1">
        <v>2006</v>
      </c>
      <c r="V87" s="1" t="s">
        <v>295</v>
      </c>
      <c r="W87" s="1" t="s">
        <v>765</v>
      </c>
      <c r="X87" s="1" t="s">
        <v>580</v>
      </c>
      <c r="Y87" s="1" t="s">
        <v>581</v>
      </c>
      <c r="Z87" s="1" t="s">
        <v>766</v>
      </c>
      <c r="AA87" s="1" t="s">
        <v>767</v>
      </c>
      <c r="AB87" s="1" t="s">
        <v>295</v>
      </c>
      <c r="AC87" s="1" t="s">
        <v>675</v>
      </c>
      <c r="AD87" s="1" t="s">
        <v>598</v>
      </c>
      <c r="AE87" s="1" t="s">
        <v>601</v>
      </c>
      <c r="AF87" s="1" t="s">
        <v>676</v>
      </c>
      <c r="AG87" s="1" t="s">
        <v>677</v>
      </c>
      <c r="AH87" s="1" t="s">
        <v>714</v>
      </c>
      <c r="AI87" s="1" t="s">
        <v>714</v>
      </c>
      <c r="AJ87" s="1" t="s">
        <v>803</v>
      </c>
      <c r="AK87" s="1" t="s">
        <v>770</v>
      </c>
      <c r="AL87" s="1" t="s">
        <v>315</v>
      </c>
      <c r="AM87" s="1">
        <v>0.80600000000000005</v>
      </c>
      <c r="AN87" s="1">
        <v>0.04</v>
      </c>
      <c r="AO87" s="1" t="s">
        <v>315</v>
      </c>
      <c r="AP87" s="1">
        <v>4</v>
      </c>
      <c r="AQ87" s="1">
        <v>0.64200000000000002</v>
      </c>
      <c r="AR87" s="1">
        <v>7.0000000000000007E-2</v>
      </c>
      <c r="AS87" s="1" t="s">
        <v>315</v>
      </c>
      <c r="AT87" s="1">
        <v>4</v>
      </c>
      <c r="AU87" s="1" t="s">
        <v>804</v>
      </c>
    </row>
    <row r="88" spans="1:47">
      <c r="A88" s="1">
        <v>25</v>
      </c>
      <c r="B88" s="11">
        <v>3</v>
      </c>
      <c r="C88" s="1" t="s">
        <v>129</v>
      </c>
      <c r="D88" s="1" t="s">
        <v>130</v>
      </c>
      <c r="E88" s="1" t="s">
        <v>86</v>
      </c>
      <c r="F88" s="1">
        <v>2008</v>
      </c>
      <c r="G88" s="1" t="s">
        <v>480</v>
      </c>
      <c r="H88" s="1" t="s">
        <v>481</v>
      </c>
      <c r="I88" s="1">
        <v>40.859591999999999</v>
      </c>
      <c r="J88" s="1">
        <v>-72.472257999999997</v>
      </c>
      <c r="K88" s="1" t="s">
        <v>366</v>
      </c>
      <c r="L88" s="1" t="s">
        <v>404</v>
      </c>
      <c r="M88" s="1" t="s">
        <v>574</v>
      </c>
      <c r="N88" s="1" t="s">
        <v>575</v>
      </c>
      <c r="O88" s="1" t="s">
        <v>791</v>
      </c>
      <c r="P88" s="1" t="s">
        <v>338</v>
      </c>
      <c r="Q88" s="1" t="s">
        <v>596</v>
      </c>
      <c r="R88" s="1" t="s">
        <v>315</v>
      </c>
      <c r="S88" s="1" t="s">
        <v>336</v>
      </c>
      <c r="T88" s="1" t="s">
        <v>578</v>
      </c>
      <c r="U88" s="1">
        <v>2006</v>
      </c>
      <c r="V88" s="1" t="s">
        <v>295</v>
      </c>
      <c r="W88" s="1" t="s">
        <v>674</v>
      </c>
      <c r="X88" s="1" t="s">
        <v>580</v>
      </c>
      <c r="Y88" s="1" t="s">
        <v>581</v>
      </c>
      <c r="Z88" s="1" t="s">
        <v>768</v>
      </c>
      <c r="AA88" s="1" t="s">
        <v>769</v>
      </c>
      <c r="AB88" s="1" t="s">
        <v>295</v>
      </c>
      <c r="AC88" s="1" t="s">
        <v>675</v>
      </c>
      <c r="AD88" s="1" t="s">
        <v>598</v>
      </c>
      <c r="AE88" s="1" t="s">
        <v>601</v>
      </c>
      <c r="AF88" s="1" t="s">
        <v>676</v>
      </c>
      <c r="AG88" s="1" t="s">
        <v>677</v>
      </c>
      <c r="AH88" s="1" t="s">
        <v>714</v>
      </c>
      <c r="AI88" s="1" t="s">
        <v>714</v>
      </c>
      <c r="AJ88" s="1" t="s">
        <v>805</v>
      </c>
      <c r="AK88" s="1" t="s">
        <v>770</v>
      </c>
      <c r="AL88" s="1" t="s">
        <v>315</v>
      </c>
      <c r="AM88" s="1">
        <v>0.54800000000000004</v>
      </c>
      <c r="AN88" s="1">
        <v>0.02</v>
      </c>
      <c r="AO88" s="1" t="s">
        <v>315</v>
      </c>
      <c r="AP88" s="1">
        <v>4</v>
      </c>
      <c r="AQ88" s="1">
        <v>0.371</v>
      </c>
      <c r="AR88" s="1">
        <v>0.03</v>
      </c>
      <c r="AS88" s="1" t="s">
        <v>315</v>
      </c>
      <c r="AT88" s="1">
        <v>4</v>
      </c>
      <c r="AU88" s="1" t="s">
        <v>804</v>
      </c>
    </row>
    <row r="89" spans="1:47">
      <c r="A89" s="1">
        <v>25</v>
      </c>
      <c r="B89" s="11">
        <v>4</v>
      </c>
      <c r="C89" s="1" t="s">
        <v>129</v>
      </c>
      <c r="D89" s="1" t="s">
        <v>130</v>
      </c>
      <c r="E89" s="1" t="s">
        <v>86</v>
      </c>
      <c r="F89" s="1">
        <v>2008</v>
      </c>
      <c r="G89" s="1" t="s">
        <v>480</v>
      </c>
      <c r="H89" s="1" t="s">
        <v>481</v>
      </c>
      <c r="I89" s="1">
        <v>40.859591999999999</v>
      </c>
      <c r="J89" s="1">
        <v>-72.472257999999997</v>
      </c>
      <c r="K89" s="1" t="s">
        <v>366</v>
      </c>
      <c r="L89" s="1" t="s">
        <v>404</v>
      </c>
      <c r="M89" s="1" t="s">
        <v>574</v>
      </c>
      <c r="N89" s="1" t="s">
        <v>575</v>
      </c>
      <c r="O89" s="1" t="s">
        <v>791</v>
      </c>
      <c r="P89" s="1" t="s">
        <v>338</v>
      </c>
      <c r="Q89" s="1" t="s">
        <v>596</v>
      </c>
      <c r="R89" s="1" t="s">
        <v>315</v>
      </c>
      <c r="S89" s="1" t="s">
        <v>336</v>
      </c>
      <c r="T89" s="1" t="s">
        <v>578</v>
      </c>
      <c r="U89" s="1">
        <v>2006</v>
      </c>
      <c r="V89" s="1" t="s">
        <v>295</v>
      </c>
      <c r="W89" s="1" t="s">
        <v>674</v>
      </c>
      <c r="X89" s="1" t="s">
        <v>580</v>
      </c>
      <c r="Y89" s="1" t="s">
        <v>581</v>
      </c>
      <c r="Z89" s="1" t="s">
        <v>768</v>
      </c>
      <c r="AA89" s="1" t="s">
        <v>769</v>
      </c>
      <c r="AB89" s="1" t="s">
        <v>295</v>
      </c>
      <c r="AC89" s="1" t="s">
        <v>675</v>
      </c>
      <c r="AD89" s="1" t="s">
        <v>598</v>
      </c>
      <c r="AE89" s="1" t="s">
        <v>601</v>
      </c>
      <c r="AF89" s="1" t="s">
        <v>676</v>
      </c>
      <c r="AG89" s="1" t="s">
        <v>677</v>
      </c>
      <c r="AH89" s="1" t="s">
        <v>714</v>
      </c>
      <c r="AI89" s="1" t="s">
        <v>714</v>
      </c>
      <c r="AJ89" s="1" t="s">
        <v>806</v>
      </c>
      <c r="AK89" s="1" t="s">
        <v>770</v>
      </c>
      <c r="AL89" s="1" t="s">
        <v>315</v>
      </c>
      <c r="AM89" s="1">
        <v>0.56000000000000005</v>
      </c>
      <c r="AN89" s="1">
        <v>0.02</v>
      </c>
      <c r="AO89" s="1" t="s">
        <v>315</v>
      </c>
      <c r="AP89" s="1">
        <v>4</v>
      </c>
      <c r="AQ89" s="1">
        <v>0.35499999999999998</v>
      </c>
      <c r="AR89" s="1">
        <v>0.04</v>
      </c>
      <c r="AS89" s="1" t="s">
        <v>315</v>
      </c>
      <c r="AT89" s="1">
        <v>4</v>
      </c>
      <c r="AU89" s="1" t="s">
        <v>804</v>
      </c>
    </row>
    <row r="90" spans="1:47">
      <c r="A90" s="1">
        <v>25</v>
      </c>
      <c r="B90" s="11">
        <v>5</v>
      </c>
      <c r="C90" s="1" t="s">
        <v>129</v>
      </c>
      <c r="D90" s="1" t="s">
        <v>130</v>
      </c>
      <c r="E90" s="1" t="s">
        <v>86</v>
      </c>
      <c r="F90" s="1">
        <v>2008</v>
      </c>
      <c r="G90" s="1" t="s">
        <v>480</v>
      </c>
      <c r="H90" s="1" t="s">
        <v>481</v>
      </c>
      <c r="I90" s="1">
        <v>40.859591999999999</v>
      </c>
      <c r="J90" s="1">
        <v>-72.472257999999997</v>
      </c>
      <c r="K90" s="1" t="s">
        <v>366</v>
      </c>
      <c r="L90" s="1" t="s">
        <v>404</v>
      </c>
      <c r="M90" s="1" t="s">
        <v>574</v>
      </c>
      <c r="N90" s="1" t="s">
        <v>575</v>
      </c>
      <c r="O90" s="1" t="s">
        <v>791</v>
      </c>
      <c r="P90" s="1" t="s">
        <v>338</v>
      </c>
      <c r="Q90" s="1" t="s">
        <v>596</v>
      </c>
      <c r="R90" s="1" t="s">
        <v>315</v>
      </c>
      <c r="S90" s="1" t="s">
        <v>336</v>
      </c>
      <c r="T90" s="1" t="s">
        <v>578</v>
      </c>
      <c r="U90" s="1">
        <v>2006</v>
      </c>
      <c r="V90" s="1" t="s">
        <v>295</v>
      </c>
      <c r="W90" s="1" t="s">
        <v>579</v>
      </c>
      <c r="X90" s="1" t="s">
        <v>580</v>
      </c>
      <c r="Y90" s="1" t="s">
        <v>581</v>
      </c>
      <c r="Z90" s="1" t="s">
        <v>582</v>
      </c>
      <c r="AA90" s="1" t="s">
        <v>583</v>
      </c>
      <c r="AB90" s="1" t="s">
        <v>295</v>
      </c>
      <c r="AC90" s="1" t="s">
        <v>675</v>
      </c>
      <c r="AD90" s="1" t="s">
        <v>598</v>
      </c>
      <c r="AE90" s="1" t="s">
        <v>601</v>
      </c>
      <c r="AF90" s="1" t="s">
        <v>676</v>
      </c>
      <c r="AG90" s="1" t="s">
        <v>677</v>
      </c>
      <c r="AH90" s="1" t="s">
        <v>714</v>
      </c>
      <c r="AI90" s="1" t="s">
        <v>714</v>
      </c>
      <c r="AJ90" s="1" t="s">
        <v>807</v>
      </c>
      <c r="AK90" s="1" t="s">
        <v>770</v>
      </c>
      <c r="AL90" s="1" t="s">
        <v>315</v>
      </c>
      <c r="AM90" s="1">
        <v>0.79</v>
      </c>
      <c r="AN90" s="1">
        <v>0.11</v>
      </c>
      <c r="AO90" s="1" t="s">
        <v>315</v>
      </c>
      <c r="AP90" s="1">
        <v>4</v>
      </c>
      <c r="AQ90" s="1">
        <v>0.39900000000000002</v>
      </c>
      <c r="AR90" s="1">
        <v>0.08</v>
      </c>
      <c r="AS90" s="1" t="s">
        <v>315</v>
      </c>
      <c r="AT90" s="1">
        <v>4</v>
      </c>
      <c r="AU90" s="1" t="s">
        <v>804</v>
      </c>
    </row>
    <row r="91" spans="1:47">
      <c r="A91" s="1">
        <v>26</v>
      </c>
      <c r="B91" s="11">
        <v>1</v>
      </c>
      <c r="C91" s="1" t="s">
        <v>145</v>
      </c>
      <c r="D91" s="1" t="s">
        <v>146</v>
      </c>
      <c r="E91" s="1" t="s">
        <v>147</v>
      </c>
      <c r="F91" s="1">
        <v>2005</v>
      </c>
      <c r="G91" s="1" t="s">
        <v>484</v>
      </c>
      <c r="H91" s="1" t="s">
        <v>485</v>
      </c>
      <c r="I91" s="1">
        <v>29.344007999999999</v>
      </c>
      <c r="J91" s="1">
        <v>34.862664000000002</v>
      </c>
      <c r="K91" s="1" t="s">
        <v>412</v>
      </c>
      <c r="L91" s="1" t="s">
        <v>411</v>
      </c>
      <c r="M91" s="1" t="s">
        <v>644</v>
      </c>
      <c r="N91" s="1" t="s">
        <v>607</v>
      </c>
      <c r="O91" s="1" t="s">
        <v>791</v>
      </c>
      <c r="P91" s="1" t="s">
        <v>424</v>
      </c>
      <c r="Q91" s="1" t="s">
        <v>609</v>
      </c>
      <c r="R91" s="1" t="s">
        <v>315</v>
      </c>
      <c r="S91" s="1" t="s">
        <v>335</v>
      </c>
      <c r="T91" s="1" t="s">
        <v>610</v>
      </c>
      <c r="U91" s="1">
        <v>2002</v>
      </c>
      <c r="V91" s="1" t="s">
        <v>295</v>
      </c>
      <c r="W91" s="1" t="s">
        <v>794</v>
      </c>
      <c r="X91" s="1" t="s">
        <v>306</v>
      </c>
      <c r="Y91" s="1" t="s">
        <v>307</v>
      </c>
      <c r="Z91" s="1" t="s">
        <v>792</v>
      </c>
      <c r="AA91" s="1" t="s">
        <v>793</v>
      </c>
      <c r="AB91" s="1" t="s">
        <v>295</v>
      </c>
      <c r="AC91" s="1" t="s">
        <v>797</v>
      </c>
      <c r="AD91" s="1" t="s">
        <v>661</v>
      </c>
      <c r="AE91" s="1" t="s">
        <v>309</v>
      </c>
      <c r="AF91" s="1" t="s">
        <v>795</v>
      </c>
      <c r="AG91" s="1" t="s">
        <v>796</v>
      </c>
      <c r="AH91" s="1" t="s">
        <v>798</v>
      </c>
      <c r="AI91" s="1" t="s">
        <v>362</v>
      </c>
      <c r="AJ91" s="1" t="s">
        <v>799</v>
      </c>
      <c r="AK91" s="1" t="s">
        <v>800</v>
      </c>
      <c r="AL91" s="1" t="s">
        <v>670</v>
      </c>
      <c r="AM91" s="1">
        <v>2.4067796610169401</v>
      </c>
      <c r="AN91" s="1" t="s">
        <v>315</v>
      </c>
      <c r="AO91" s="1">
        <v>0.42372881355932979</v>
      </c>
      <c r="AP91" s="1">
        <v>4</v>
      </c>
      <c r="AQ91" s="1">
        <v>1.49152542372881</v>
      </c>
      <c r="AR91" s="1" t="s">
        <v>315</v>
      </c>
      <c r="AS91" s="1">
        <v>0.45762711900000003</v>
      </c>
      <c r="AT91" s="1">
        <v>4</v>
      </c>
      <c r="AU91" s="1" t="s">
        <v>801</v>
      </c>
    </row>
    <row r="92" spans="1:47">
      <c r="A92" s="1">
        <v>26</v>
      </c>
      <c r="B92" s="11">
        <v>2</v>
      </c>
      <c r="C92" s="1" t="s">
        <v>145</v>
      </c>
      <c r="D92" s="1" t="s">
        <v>146</v>
      </c>
      <c r="E92" s="1" t="s">
        <v>147</v>
      </c>
      <c r="F92" s="1">
        <v>2005</v>
      </c>
      <c r="G92" s="1" t="s">
        <v>484</v>
      </c>
      <c r="H92" s="1" t="s">
        <v>485</v>
      </c>
      <c r="I92" s="1">
        <v>29.344007999999999</v>
      </c>
      <c r="J92" s="1">
        <v>34.862664000000002</v>
      </c>
      <c r="K92" s="1" t="s">
        <v>412</v>
      </c>
      <c r="L92" s="1" t="s">
        <v>411</v>
      </c>
      <c r="M92" s="1" t="s">
        <v>644</v>
      </c>
      <c r="N92" s="1" t="s">
        <v>607</v>
      </c>
      <c r="O92" s="1" t="s">
        <v>791</v>
      </c>
      <c r="P92" s="1" t="s">
        <v>424</v>
      </c>
      <c r="Q92" s="1" t="s">
        <v>609</v>
      </c>
      <c r="R92" s="1" t="s">
        <v>315</v>
      </c>
      <c r="S92" s="1" t="s">
        <v>335</v>
      </c>
      <c r="T92" s="1" t="s">
        <v>610</v>
      </c>
      <c r="U92" s="1">
        <v>2002</v>
      </c>
      <c r="V92" s="1" t="s">
        <v>295</v>
      </c>
      <c r="W92" s="1" t="s">
        <v>794</v>
      </c>
      <c r="X92" s="1" t="s">
        <v>306</v>
      </c>
      <c r="Y92" s="1" t="s">
        <v>307</v>
      </c>
      <c r="Z92" s="1" t="s">
        <v>792</v>
      </c>
      <c r="AA92" s="1" t="s">
        <v>793</v>
      </c>
      <c r="AB92" s="1" t="s">
        <v>345</v>
      </c>
      <c r="AC92" s="1" t="s">
        <v>315</v>
      </c>
      <c r="AD92" s="1" t="s">
        <v>936</v>
      </c>
      <c r="AE92" s="1" t="s">
        <v>958</v>
      </c>
      <c r="AF92" s="1" t="s">
        <v>315</v>
      </c>
      <c r="AG92" s="1" t="s">
        <v>315</v>
      </c>
      <c r="AH92" s="1" t="s">
        <v>744</v>
      </c>
      <c r="AI92" s="1" t="s">
        <v>362</v>
      </c>
      <c r="AJ92" s="1" t="s">
        <v>799</v>
      </c>
      <c r="AK92" s="1" t="s">
        <v>968</v>
      </c>
      <c r="AL92" s="1" t="s">
        <v>670</v>
      </c>
      <c r="AM92" s="7">
        <v>1.0205011389521599</v>
      </c>
      <c r="AN92" s="1" t="s">
        <v>315</v>
      </c>
      <c r="AO92" s="7">
        <v>1.4088870494564949</v>
      </c>
      <c r="AP92" s="1">
        <v>4</v>
      </c>
      <c r="AQ92" s="7">
        <v>-0.30068337129841027</v>
      </c>
      <c r="AR92" s="1" t="s">
        <v>315</v>
      </c>
      <c r="AS92" s="7">
        <v>0.98245039228676834</v>
      </c>
      <c r="AT92" s="1">
        <v>4</v>
      </c>
      <c r="AU92" s="1" t="s">
        <v>969</v>
      </c>
    </row>
    <row r="93" spans="1:47">
      <c r="A93" s="1">
        <v>27</v>
      </c>
      <c r="B93" s="11">
        <v>1</v>
      </c>
      <c r="C93" s="1" t="s">
        <v>148</v>
      </c>
      <c r="D93" s="1" t="s">
        <v>149</v>
      </c>
      <c r="E93" s="1" t="s">
        <v>53</v>
      </c>
      <c r="F93" s="1">
        <v>2005</v>
      </c>
      <c r="G93" s="1" t="s">
        <v>486</v>
      </c>
      <c r="H93" s="1" t="s">
        <v>487</v>
      </c>
      <c r="I93" s="1">
        <v>-45.767837</v>
      </c>
      <c r="J93" s="1">
        <v>170.72923900000001</v>
      </c>
      <c r="K93" s="1" t="s">
        <v>371</v>
      </c>
      <c r="L93" s="1" t="s">
        <v>388</v>
      </c>
      <c r="M93" s="1" t="s">
        <v>645</v>
      </c>
      <c r="N93" s="1" t="s">
        <v>291</v>
      </c>
      <c r="O93" s="1" t="s">
        <v>292</v>
      </c>
      <c r="P93" s="1" t="s">
        <v>276</v>
      </c>
      <c r="Q93" s="1" t="s">
        <v>809</v>
      </c>
      <c r="R93" s="1" t="s">
        <v>315</v>
      </c>
      <c r="S93" s="1" t="s">
        <v>336</v>
      </c>
      <c r="T93" s="1" t="s">
        <v>315</v>
      </c>
      <c r="U93" s="11" t="s">
        <v>810</v>
      </c>
      <c r="V93" s="1" t="s">
        <v>295</v>
      </c>
      <c r="W93" s="1" t="s">
        <v>816</v>
      </c>
      <c r="X93" s="1" t="s">
        <v>661</v>
      </c>
      <c r="Y93" s="1" t="s">
        <v>309</v>
      </c>
      <c r="Z93" s="1" t="s">
        <v>814</v>
      </c>
      <c r="AA93" s="1" t="s">
        <v>815</v>
      </c>
      <c r="AB93" s="1" t="s">
        <v>295</v>
      </c>
      <c r="AC93" s="1" t="s">
        <v>813</v>
      </c>
      <c r="AD93" s="1" t="s">
        <v>618</v>
      </c>
      <c r="AE93" s="1" t="s">
        <v>348</v>
      </c>
      <c r="AF93" s="1" t="s">
        <v>811</v>
      </c>
      <c r="AG93" s="1" t="s">
        <v>812</v>
      </c>
      <c r="AH93" s="1" t="s">
        <v>808</v>
      </c>
      <c r="AI93" s="1" t="s">
        <v>362</v>
      </c>
      <c r="AJ93" s="1" t="s">
        <v>817</v>
      </c>
      <c r="AK93" s="1" t="s">
        <v>818</v>
      </c>
      <c r="AL93" s="1" t="s">
        <v>315</v>
      </c>
      <c r="AM93" s="11">
        <v>1.6425316455696131</v>
      </c>
      <c r="AN93" s="11" t="s">
        <v>315</v>
      </c>
      <c r="AO93" s="11">
        <v>0.15347285636685873</v>
      </c>
      <c r="AP93" s="11">
        <v>3</v>
      </c>
      <c r="AQ93" s="11">
        <v>0.45873417721518933</v>
      </c>
      <c r="AR93" s="11" t="s">
        <v>315</v>
      </c>
      <c r="AS93" s="11">
        <v>0.13505611360283881</v>
      </c>
      <c r="AT93" s="11">
        <v>3</v>
      </c>
      <c r="AU93" s="1" t="s">
        <v>993</v>
      </c>
    </row>
    <row r="94" spans="1:47">
      <c r="A94" s="1">
        <v>28</v>
      </c>
      <c r="B94" s="11">
        <v>1</v>
      </c>
      <c r="C94" s="1" t="s">
        <v>150</v>
      </c>
      <c r="D94" s="1" t="s">
        <v>151</v>
      </c>
      <c r="E94" s="1" t="s">
        <v>152</v>
      </c>
      <c r="F94" s="1">
        <v>2004</v>
      </c>
      <c r="G94" s="1" t="s">
        <v>488</v>
      </c>
      <c r="H94" s="1" t="s">
        <v>489</v>
      </c>
      <c r="I94" s="1">
        <v>44.650939000000001</v>
      </c>
      <c r="J94" s="1">
        <v>-124.187828</v>
      </c>
      <c r="K94" s="1" t="s">
        <v>366</v>
      </c>
      <c r="L94" s="1" t="s">
        <v>410</v>
      </c>
      <c r="M94" s="1" t="s">
        <v>574</v>
      </c>
      <c r="N94" s="1" t="s">
        <v>291</v>
      </c>
      <c r="O94" s="1" t="s">
        <v>791</v>
      </c>
      <c r="P94" s="1" t="s">
        <v>338</v>
      </c>
      <c r="Q94" s="1" t="s">
        <v>819</v>
      </c>
      <c r="R94" s="1" t="s">
        <v>315</v>
      </c>
      <c r="S94" s="1" t="s">
        <v>335</v>
      </c>
      <c r="T94" s="1" t="s">
        <v>610</v>
      </c>
      <c r="U94" s="1">
        <v>2002</v>
      </c>
      <c r="V94" s="1" t="s">
        <v>295</v>
      </c>
      <c r="W94" s="1" t="s">
        <v>579</v>
      </c>
      <c r="X94" s="1" t="s">
        <v>580</v>
      </c>
      <c r="Y94" s="1" t="s">
        <v>581</v>
      </c>
      <c r="Z94" s="1" t="s">
        <v>582</v>
      </c>
      <c r="AA94" s="1" t="s">
        <v>743</v>
      </c>
      <c r="AB94" s="1" t="s">
        <v>295</v>
      </c>
      <c r="AC94" s="1" t="s">
        <v>822</v>
      </c>
      <c r="AD94" s="1" t="s">
        <v>618</v>
      </c>
      <c r="AE94" s="1" t="s">
        <v>642</v>
      </c>
      <c r="AF94" s="1" t="s">
        <v>820</v>
      </c>
      <c r="AG94" s="1" t="s">
        <v>821</v>
      </c>
      <c r="AH94" s="1" t="s">
        <v>754</v>
      </c>
      <c r="AI94" s="1" t="s">
        <v>362</v>
      </c>
      <c r="AJ94" s="1" t="s">
        <v>745</v>
      </c>
      <c r="AK94" s="1" t="s">
        <v>318</v>
      </c>
      <c r="AL94" s="1" t="s">
        <v>670</v>
      </c>
      <c r="AM94" s="1">
        <v>74.328358208955194</v>
      </c>
      <c r="AN94" s="1">
        <v>10.74626865671641</v>
      </c>
      <c r="AO94" s="1" t="s">
        <v>315</v>
      </c>
      <c r="AP94" s="1">
        <v>16</v>
      </c>
      <c r="AQ94" s="1">
        <v>30.447761194029798</v>
      </c>
      <c r="AR94" s="1">
        <v>7.1641791044776006</v>
      </c>
      <c r="AS94" s="1" t="s">
        <v>315</v>
      </c>
      <c r="AT94" s="1">
        <v>16</v>
      </c>
      <c r="AU94" s="1" t="s">
        <v>823</v>
      </c>
    </row>
    <row r="95" spans="1:47">
      <c r="A95" s="1">
        <v>29</v>
      </c>
      <c r="B95" s="11">
        <v>1</v>
      </c>
      <c r="C95" s="1" t="s">
        <v>155</v>
      </c>
      <c r="D95" s="1" t="s">
        <v>156</v>
      </c>
      <c r="E95" s="1" t="s">
        <v>53</v>
      </c>
      <c r="F95" s="1">
        <v>2001</v>
      </c>
      <c r="G95" s="1" t="s">
        <v>490</v>
      </c>
      <c r="H95" s="1" t="s">
        <v>491</v>
      </c>
      <c r="I95" s="1">
        <v>29.770776999999999</v>
      </c>
      <c r="J95" s="1">
        <v>-85.357286000000002</v>
      </c>
      <c r="K95" s="1" t="s">
        <v>366</v>
      </c>
      <c r="L95" s="1" t="s">
        <v>414</v>
      </c>
      <c r="M95" s="1" t="s">
        <v>574</v>
      </c>
      <c r="N95" s="1" t="s">
        <v>575</v>
      </c>
      <c r="O95" s="1" t="s">
        <v>791</v>
      </c>
      <c r="P95" s="1" t="s">
        <v>424</v>
      </c>
      <c r="Q95" s="1" t="s">
        <v>596</v>
      </c>
      <c r="R95" s="1" t="s">
        <v>827</v>
      </c>
      <c r="S95" s="1" t="s">
        <v>336</v>
      </c>
      <c r="T95" s="1" t="s">
        <v>578</v>
      </c>
      <c r="U95" s="1">
        <v>1997</v>
      </c>
      <c r="V95" s="1" t="s">
        <v>295</v>
      </c>
      <c r="W95" s="1" t="s">
        <v>826</v>
      </c>
      <c r="X95" s="1" t="s">
        <v>580</v>
      </c>
      <c r="Y95" s="1" t="s">
        <v>581</v>
      </c>
      <c r="Z95" s="1" t="s">
        <v>824</v>
      </c>
      <c r="AA95" s="1" t="s">
        <v>825</v>
      </c>
      <c r="AB95" s="1" t="s">
        <v>295</v>
      </c>
      <c r="AC95" s="1" t="s">
        <v>659</v>
      </c>
      <c r="AD95" s="1" t="s">
        <v>598</v>
      </c>
      <c r="AE95" s="1" t="s">
        <v>601</v>
      </c>
      <c r="AF95" s="1" t="s">
        <v>599</v>
      </c>
      <c r="AG95" s="1" t="s">
        <v>600</v>
      </c>
      <c r="AH95" s="1" t="s">
        <v>828</v>
      </c>
      <c r="AI95" s="1" t="s">
        <v>362</v>
      </c>
      <c r="AJ95" s="1" t="s">
        <v>745</v>
      </c>
      <c r="AK95" s="1" t="s">
        <v>755</v>
      </c>
      <c r="AL95" s="1" t="s">
        <v>315</v>
      </c>
      <c r="AM95">
        <v>-0.45779220779221008</v>
      </c>
      <c r="AN95" s="1" t="s">
        <v>315</v>
      </c>
      <c r="AO95">
        <v>0.11728825888433668</v>
      </c>
      <c r="AP95" s="11">
        <v>6</v>
      </c>
      <c r="AQ95">
        <v>-1.4025974025974</v>
      </c>
      <c r="AR95" s="1" t="s">
        <v>315</v>
      </c>
      <c r="AS95">
        <v>0.32655301196571451</v>
      </c>
      <c r="AT95" s="11">
        <v>6</v>
      </c>
      <c r="AU95" s="1" t="s">
        <v>868</v>
      </c>
    </row>
    <row r="96" spans="1:47">
      <c r="A96" s="1">
        <v>29</v>
      </c>
      <c r="B96" s="11">
        <v>2</v>
      </c>
      <c r="C96" s="1" t="s">
        <v>155</v>
      </c>
      <c r="D96" s="1" t="s">
        <v>156</v>
      </c>
      <c r="E96" s="1" t="s">
        <v>53</v>
      </c>
      <c r="F96" s="1">
        <v>2001</v>
      </c>
      <c r="G96" s="1" t="s">
        <v>490</v>
      </c>
      <c r="H96" s="1" t="s">
        <v>491</v>
      </c>
      <c r="I96" s="1">
        <v>29.770776999999999</v>
      </c>
      <c r="J96" s="1">
        <v>-85.357286000000002</v>
      </c>
      <c r="K96" s="1" t="s">
        <v>366</v>
      </c>
      <c r="L96" s="1" t="s">
        <v>414</v>
      </c>
      <c r="M96" s="1" t="s">
        <v>574</v>
      </c>
      <c r="N96" s="1" t="s">
        <v>575</v>
      </c>
      <c r="O96" s="1" t="s">
        <v>791</v>
      </c>
      <c r="P96" s="1" t="s">
        <v>424</v>
      </c>
      <c r="Q96" s="1" t="s">
        <v>596</v>
      </c>
      <c r="R96" s="1" t="s">
        <v>827</v>
      </c>
      <c r="S96" s="1" t="s">
        <v>336</v>
      </c>
      <c r="T96" s="1" t="s">
        <v>578</v>
      </c>
      <c r="U96" s="1">
        <v>1997</v>
      </c>
      <c r="V96" s="1" t="s">
        <v>295</v>
      </c>
      <c r="W96" s="1" t="s">
        <v>826</v>
      </c>
      <c r="X96" s="1" t="s">
        <v>580</v>
      </c>
      <c r="Y96" s="1" t="s">
        <v>581</v>
      </c>
      <c r="Z96" s="1" t="s">
        <v>824</v>
      </c>
      <c r="AA96" s="1" t="s">
        <v>825</v>
      </c>
      <c r="AB96" s="1" t="s">
        <v>295</v>
      </c>
      <c r="AC96" s="1" t="s">
        <v>659</v>
      </c>
      <c r="AD96" s="1" t="s">
        <v>598</v>
      </c>
      <c r="AE96" s="1" t="s">
        <v>601</v>
      </c>
      <c r="AF96" s="1" t="s">
        <v>599</v>
      </c>
      <c r="AG96" s="1" t="s">
        <v>600</v>
      </c>
      <c r="AH96" s="1" t="s">
        <v>731</v>
      </c>
      <c r="AI96" s="1" t="s">
        <v>362</v>
      </c>
      <c r="AJ96" s="1" t="s">
        <v>745</v>
      </c>
      <c r="AK96" s="1" t="s">
        <v>829</v>
      </c>
      <c r="AL96" s="1" t="s">
        <v>315</v>
      </c>
      <c r="AM96">
        <v>0.82014388489208034</v>
      </c>
      <c r="AN96" s="1" t="s">
        <v>315</v>
      </c>
      <c r="AO96">
        <v>0.11191618119498993</v>
      </c>
      <c r="AP96" s="11">
        <v>6</v>
      </c>
      <c r="AQ96">
        <v>0.53956834532374032</v>
      </c>
      <c r="AR96" s="1" t="s">
        <v>315</v>
      </c>
      <c r="AS96">
        <v>9.7852305818237506E-2</v>
      </c>
      <c r="AT96" s="11">
        <v>6</v>
      </c>
      <c r="AU96" s="1" t="s">
        <v>867</v>
      </c>
    </row>
    <row r="97" spans="1:47">
      <c r="A97" s="1">
        <v>29</v>
      </c>
      <c r="B97" s="11">
        <v>3</v>
      </c>
      <c r="C97" s="1" t="s">
        <v>155</v>
      </c>
      <c r="D97" s="1" t="s">
        <v>156</v>
      </c>
      <c r="E97" s="1" t="s">
        <v>53</v>
      </c>
      <c r="F97" s="1">
        <v>2001</v>
      </c>
      <c r="G97" s="1" t="s">
        <v>490</v>
      </c>
      <c r="H97" s="1" t="s">
        <v>491</v>
      </c>
      <c r="I97" s="1">
        <v>29.770776999999999</v>
      </c>
      <c r="J97" s="1">
        <v>-85.357286000000002</v>
      </c>
      <c r="K97" s="1" t="s">
        <v>366</v>
      </c>
      <c r="L97" s="1" t="s">
        <v>414</v>
      </c>
      <c r="M97" s="1" t="s">
        <v>574</v>
      </c>
      <c r="N97" s="1" t="s">
        <v>575</v>
      </c>
      <c r="O97" s="1" t="s">
        <v>791</v>
      </c>
      <c r="P97" s="1" t="s">
        <v>424</v>
      </c>
      <c r="Q97" s="1" t="s">
        <v>596</v>
      </c>
      <c r="R97" s="1" t="s">
        <v>827</v>
      </c>
      <c r="S97" s="1" t="s">
        <v>336</v>
      </c>
      <c r="T97" s="1" t="s">
        <v>578</v>
      </c>
      <c r="U97" s="1">
        <v>1997</v>
      </c>
      <c r="V97" s="1" t="s">
        <v>295</v>
      </c>
      <c r="W97" s="1" t="s">
        <v>826</v>
      </c>
      <c r="X97" s="1" t="s">
        <v>580</v>
      </c>
      <c r="Y97" s="1" t="s">
        <v>581</v>
      </c>
      <c r="Z97" s="1" t="s">
        <v>824</v>
      </c>
      <c r="AA97" s="1" t="s">
        <v>825</v>
      </c>
      <c r="AB97" s="1" t="s">
        <v>295</v>
      </c>
      <c r="AC97" s="1" t="s">
        <v>659</v>
      </c>
      <c r="AD97" s="1" t="s">
        <v>598</v>
      </c>
      <c r="AE97" s="1" t="s">
        <v>601</v>
      </c>
      <c r="AF97" s="1" t="s">
        <v>599</v>
      </c>
      <c r="AG97" s="1" t="s">
        <v>600</v>
      </c>
      <c r="AH97" s="1" t="s">
        <v>959</v>
      </c>
      <c r="AI97" s="1" t="s">
        <v>362</v>
      </c>
      <c r="AJ97" s="1" t="s">
        <v>745</v>
      </c>
      <c r="AK97" s="1" t="s">
        <v>830</v>
      </c>
      <c r="AL97" s="1" t="s">
        <v>315</v>
      </c>
      <c r="AM97" s="7">
        <v>122.748091603053</v>
      </c>
      <c r="AN97" s="1" t="s">
        <v>315</v>
      </c>
      <c r="AO97" s="7">
        <v>11.477829697228936</v>
      </c>
      <c r="AP97" s="11">
        <v>6</v>
      </c>
      <c r="AQ97" s="7">
        <v>89.770992366411988</v>
      </c>
      <c r="AR97" s="1" t="s">
        <v>315</v>
      </c>
      <c r="AS97" s="7">
        <v>9.431111579530814</v>
      </c>
      <c r="AT97" s="11">
        <v>6</v>
      </c>
      <c r="AU97" s="1" t="s">
        <v>866</v>
      </c>
    </row>
    <row r="98" spans="1:47">
      <c r="A98" s="1">
        <v>29</v>
      </c>
      <c r="B98" s="11">
        <v>4</v>
      </c>
      <c r="C98" s="1" t="s">
        <v>155</v>
      </c>
      <c r="D98" s="1" t="s">
        <v>156</v>
      </c>
      <c r="E98" s="1" t="s">
        <v>53</v>
      </c>
      <c r="F98" s="1">
        <v>2001</v>
      </c>
      <c r="G98" s="1" t="s">
        <v>490</v>
      </c>
      <c r="H98" s="1" t="s">
        <v>491</v>
      </c>
      <c r="I98" s="1">
        <v>29.770776999999999</v>
      </c>
      <c r="J98" s="1">
        <v>-85.357286000000002</v>
      </c>
      <c r="K98" s="1" t="s">
        <v>366</v>
      </c>
      <c r="L98" s="1" t="s">
        <v>414</v>
      </c>
      <c r="M98" s="1" t="s">
        <v>574</v>
      </c>
      <c r="N98" s="1" t="s">
        <v>575</v>
      </c>
      <c r="O98" s="1" t="s">
        <v>791</v>
      </c>
      <c r="P98" s="1" t="s">
        <v>424</v>
      </c>
      <c r="Q98" s="1" t="s">
        <v>596</v>
      </c>
      <c r="R98" s="1" t="s">
        <v>827</v>
      </c>
      <c r="S98" s="1" t="s">
        <v>336</v>
      </c>
      <c r="T98" s="1" t="s">
        <v>610</v>
      </c>
      <c r="U98" s="1">
        <v>1997</v>
      </c>
      <c r="V98" s="1" t="s">
        <v>295</v>
      </c>
      <c r="W98" s="1" t="s">
        <v>826</v>
      </c>
      <c r="X98" s="1" t="s">
        <v>580</v>
      </c>
      <c r="Y98" s="1" t="s">
        <v>581</v>
      </c>
      <c r="Z98" s="1" t="s">
        <v>824</v>
      </c>
      <c r="AA98" s="1" t="s">
        <v>825</v>
      </c>
      <c r="AB98" s="1" t="s">
        <v>295</v>
      </c>
      <c r="AC98" s="1" t="s">
        <v>659</v>
      </c>
      <c r="AD98" s="1" t="s">
        <v>598</v>
      </c>
      <c r="AE98" s="1" t="s">
        <v>601</v>
      </c>
      <c r="AF98" s="1" t="s">
        <v>599</v>
      </c>
      <c r="AG98" s="1" t="s">
        <v>600</v>
      </c>
      <c r="AH98" s="1" t="s">
        <v>593</v>
      </c>
      <c r="AI98" s="1" t="s">
        <v>362</v>
      </c>
      <c r="AJ98" s="1" t="s">
        <v>745</v>
      </c>
      <c r="AK98" s="1" t="s">
        <v>831</v>
      </c>
      <c r="AL98" s="1" t="s">
        <v>670</v>
      </c>
      <c r="AM98" s="11">
        <v>5.5874587458745797</v>
      </c>
      <c r="AN98" s="1" t="s">
        <v>315</v>
      </c>
      <c r="AO98" s="11">
        <v>1.8349834983498399</v>
      </c>
      <c r="AP98" s="11">
        <v>6</v>
      </c>
      <c r="AQ98" s="11">
        <v>3.1584158415841501</v>
      </c>
      <c r="AR98" s="1" t="s">
        <v>315</v>
      </c>
      <c r="AS98" s="11">
        <v>0.29042904290428995</v>
      </c>
      <c r="AT98" s="11">
        <v>6</v>
      </c>
      <c r="AU98" s="1" t="s">
        <v>869</v>
      </c>
    </row>
    <row r="99" spans="1:47">
      <c r="A99" s="1">
        <v>29</v>
      </c>
      <c r="B99" s="11">
        <v>5</v>
      </c>
      <c r="C99" s="1" t="s">
        <v>155</v>
      </c>
      <c r="D99" s="1" t="s">
        <v>156</v>
      </c>
      <c r="E99" s="1" t="s">
        <v>53</v>
      </c>
      <c r="F99" s="1">
        <v>2001</v>
      </c>
      <c r="G99" s="1" t="s">
        <v>490</v>
      </c>
      <c r="H99" s="1" t="s">
        <v>491</v>
      </c>
      <c r="I99" s="1">
        <v>29.770776999999999</v>
      </c>
      <c r="J99" s="1">
        <v>-85.357286000000002</v>
      </c>
      <c r="K99" s="1" t="s">
        <v>366</v>
      </c>
      <c r="L99" s="1" t="s">
        <v>414</v>
      </c>
      <c r="M99" s="1" t="s">
        <v>574</v>
      </c>
      <c r="N99" s="1" t="s">
        <v>575</v>
      </c>
      <c r="O99" s="1" t="s">
        <v>791</v>
      </c>
      <c r="P99" s="1" t="s">
        <v>424</v>
      </c>
      <c r="Q99" s="1" t="s">
        <v>596</v>
      </c>
      <c r="R99" s="1" t="s">
        <v>827</v>
      </c>
      <c r="S99" s="1" t="s">
        <v>336</v>
      </c>
      <c r="T99" s="1" t="s">
        <v>610</v>
      </c>
      <c r="U99" s="1">
        <v>1997</v>
      </c>
      <c r="V99" s="1" t="s">
        <v>295</v>
      </c>
      <c r="W99" s="1" t="s">
        <v>826</v>
      </c>
      <c r="X99" s="1" t="s">
        <v>580</v>
      </c>
      <c r="Y99" s="1" t="s">
        <v>581</v>
      </c>
      <c r="Z99" s="1" t="s">
        <v>824</v>
      </c>
      <c r="AA99" s="1" t="s">
        <v>825</v>
      </c>
      <c r="AB99" s="1" t="s">
        <v>295</v>
      </c>
      <c r="AC99" s="1" t="s">
        <v>659</v>
      </c>
      <c r="AD99" s="1" t="s">
        <v>598</v>
      </c>
      <c r="AE99" s="1" t="s">
        <v>601</v>
      </c>
      <c r="AF99" s="1" t="s">
        <v>599</v>
      </c>
      <c r="AG99" s="1" t="s">
        <v>600</v>
      </c>
      <c r="AH99" s="1" t="s">
        <v>593</v>
      </c>
      <c r="AI99" s="1" t="s">
        <v>362</v>
      </c>
      <c r="AJ99" s="1" t="s">
        <v>745</v>
      </c>
      <c r="AK99" s="1" t="s">
        <v>831</v>
      </c>
      <c r="AL99" s="1" t="s">
        <v>670</v>
      </c>
      <c r="AM99" s="11">
        <v>4.9009900990099</v>
      </c>
      <c r="AN99" s="1" t="s">
        <v>315</v>
      </c>
      <c r="AO99" s="11">
        <v>0.76567656765675984</v>
      </c>
      <c r="AP99" s="11">
        <v>6</v>
      </c>
      <c r="AQ99" s="11">
        <v>3.3960396039603902</v>
      </c>
      <c r="AR99" s="1" t="s">
        <v>315</v>
      </c>
      <c r="AS99" s="11">
        <v>0.43564356435644003</v>
      </c>
      <c r="AT99" s="11">
        <v>6</v>
      </c>
      <c r="AU99" s="1" t="s">
        <v>869</v>
      </c>
    </row>
    <row r="100" spans="1:47">
      <c r="A100" s="1">
        <v>29</v>
      </c>
      <c r="B100" s="11">
        <v>6</v>
      </c>
      <c r="C100" s="1" t="s">
        <v>155</v>
      </c>
      <c r="D100" s="1" t="s">
        <v>156</v>
      </c>
      <c r="E100" s="1" t="s">
        <v>53</v>
      </c>
      <c r="F100" s="1">
        <v>2001</v>
      </c>
      <c r="G100" s="1" t="s">
        <v>490</v>
      </c>
      <c r="H100" s="1" t="s">
        <v>491</v>
      </c>
      <c r="I100" s="1">
        <v>29.770776999999999</v>
      </c>
      <c r="J100" s="1">
        <v>-85.357286000000002</v>
      </c>
      <c r="K100" s="1" t="s">
        <v>366</v>
      </c>
      <c r="L100" s="1" t="s">
        <v>414</v>
      </c>
      <c r="M100" s="1" t="s">
        <v>574</v>
      </c>
      <c r="N100" s="1" t="s">
        <v>575</v>
      </c>
      <c r="O100" s="1" t="s">
        <v>791</v>
      </c>
      <c r="P100" s="1" t="s">
        <v>424</v>
      </c>
      <c r="Q100" s="1" t="s">
        <v>596</v>
      </c>
      <c r="R100" s="1" t="s">
        <v>827</v>
      </c>
      <c r="S100" s="1" t="s">
        <v>336</v>
      </c>
      <c r="T100" s="1" t="s">
        <v>578</v>
      </c>
      <c r="U100" s="1">
        <v>1997</v>
      </c>
      <c r="V100" s="1" t="s">
        <v>295</v>
      </c>
      <c r="W100" s="1" t="s">
        <v>826</v>
      </c>
      <c r="X100" s="1" t="s">
        <v>580</v>
      </c>
      <c r="Y100" s="1" t="s">
        <v>581</v>
      </c>
      <c r="Z100" s="1" t="s">
        <v>824</v>
      </c>
      <c r="AA100" s="1" t="s">
        <v>825</v>
      </c>
      <c r="AB100" s="1" t="s">
        <v>295</v>
      </c>
      <c r="AC100" s="1" t="s">
        <v>659</v>
      </c>
      <c r="AD100" s="1" t="s">
        <v>598</v>
      </c>
      <c r="AE100" s="1" t="s">
        <v>601</v>
      </c>
      <c r="AF100" s="1" t="s">
        <v>599</v>
      </c>
      <c r="AG100" s="1" t="s">
        <v>600</v>
      </c>
      <c r="AH100" s="1" t="s">
        <v>593</v>
      </c>
      <c r="AI100" s="1" t="s">
        <v>362</v>
      </c>
      <c r="AJ100" s="1" t="s">
        <v>745</v>
      </c>
      <c r="AK100" s="1" t="s">
        <v>831</v>
      </c>
      <c r="AL100" s="1" t="s">
        <v>670</v>
      </c>
      <c r="AM100" s="11">
        <v>4.5841584158415802</v>
      </c>
      <c r="AN100" s="1" t="s">
        <v>315</v>
      </c>
      <c r="AO100" s="11">
        <v>0.47524752475246945</v>
      </c>
      <c r="AP100" s="11">
        <v>6</v>
      </c>
      <c r="AQ100" s="11">
        <v>2.9735973597359702</v>
      </c>
      <c r="AR100" s="1" t="s">
        <v>315</v>
      </c>
      <c r="AS100" s="11">
        <v>0.22442244224422003</v>
      </c>
      <c r="AT100" s="11">
        <v>6</v>
      </c>
      <c r="AU100" s="1" t="s">
        <v>869</v>
      </c>
    </row>
    <row r="101" spans="1:47">
      <c r="A101" s="1">
        <v>29</v>
      </c>
      <c r="B101" s="11">
        <v>7</v>
      </c>
      <c r="C101" s="1" t="s">
        <v>155</v>
      </c>
      <c r="D101" s="1" t="s">
        <v>156</v>
      </c>
      <c r="E101" s="1" t="s">
        <v>53</v>
      </c>
      <c r="F101" s="1">
        <v>2001</v>
      </c>
      <c r="G101" s="1" t="s">
        <v>490</v>
      </c>
      <c r="H101" s="1" t="s">
        <v>491</v>
      </c>
      <c r="I101" s="1">
        <v>29.770776999999999</v>
      </c>
      <c r="J101" s="1">
        <v>-85.357286000000002</v>
      </c>
      <c r="K101" s="1" t="s">
        <v>366</v>
      </c>
      <c r="L101" s="1" t="s">
        <v>414</v>
      </c>
      <c r="M101" s="1" t="s">
        <v>574</v>
      </c>
      <c r="N101" s="1" t="s">
        <v>575</v>
      </c>
      <c r="O101" s="1" t="s">
        <v>791</v>
      </c>
      <c r="P101" s="1" t="s">
        <v>424</v>
      </c>
      <c r="Q101" s="1" t="s">
        <v>596</v>
      </c>
      <c r="R101" s="1" t="s">
        <v>827</v>
      </c>
      <c r="S101" s="1" t="s">
        <v>336</v>
      </c>
      <c r="T101" s="1" t="s">
        <v>578</v>
      </c>
      <c r="U101" s="1">
        <v>1997</v>
      </c>
      <c r="V101" s="1" t="s">
        <v>295</v>
      </c>
      <c r="W101" s="1" t="s">
        <v>826</v>
      </c>
      <c r="X101" s="1" t="s">
        <v>580</v>
      </c>
      <c r="Y101" s="1" t="s">
        <v>581</v>
      </c>
      <c r="Z101" s="1" t="s">
        <v>824</v>
      </c>
      <c r="AA101" s="1" t="s">
        <v>825</v>
      </c>
      <c r="AB101" s="1" t="s">
        <v>295</v>
      </c>
      <c r="AC101" s="1" t="s">
        <v>659</v>
      </c>
      <c r="AD101" s="1" t="s">
        <v>598</v>
      </c>
      <c r="AE101" s="1" t="s">
        <v>601</v>
      </c>
      <c r="AF101" s="1" t="s">
        <v>599</v>
      </c>
      <c r="AG101" s="1" t="s">
        <v>600</v>
      </c>
      <c r="AH101" s="1" t="s">
        <v>593</v>
      </c>
      <c r="AI101" s="1" t="s">
        <v>362</v>
      </c>
      <c r="AJ101" s="1" t="s">
        <v>745</v>
      </c>
      <c r="AK101" s="1" t="s">
        <v>831</v>
      </c>
      <c r="AL101" s="1" t="s">
        <v>670</v>
      </c>
      <c r="AM101" s="11">
        <v>5.5610561056105601</v>
      </c>
      <c r="AN101" s="1" t="s">
        <v>315</v>
      </c>
      <c r="AO101" s="11">
        <v>0.85808580858085026</v>
      </c>
      <c r="AP101" s="11">
        <v>6</v>
      </c>
      <c r="AQ101" s="11">
        <v>3.62046204620462</v>
      </c>
      <c r="AR101" s="1" t="s">
        <v>315</v>
      </c>
      <c r="AS101" s="11">
        <v>0.22442244224422003</v>
      </c>
      <c r="AT101" s="11">
        <v>6</v>
      </c>
      <c r="AU101" s="1" t="s">
        <v>869</v>
      </c>
    </row>
    <row r="102" spans="1:47">
      <c r="A102" s="1">
        <v>29</v>
      </c>
      <c r="B102" s="11">
        <v>8</v>
      </c>
      <c r="C102" s="1" t="s">
        <v>155</v>
      </c>
      <c r="D102" s="1" t="s">
        <v>156</v>
      </c>
      <c r="E102" s="1" t="s">
        <v>53</v>
      </c>
      <c r="F102" s="1">
        <v>2001</v>
      </c>
      <c r="G102" s="1" t="s">
        <v>490</v>
      </c>
      <c r="H102" s="1" t="s">
        <v>491</v>
      </c>
      <c r="I102" s="1">
        <v>29.770776999999999</v>
      </c>
      <c r="J102" s="1">
        <v>-85.357286000000002</v>
      </c>
      <c r="K102" s="1" t="s">
        <v>366</v>
      </c>
      <c r="L102" s="1" t="s">
        <v>414</v>
      </c>
      <c r="M102" s="1" t="s">
        <v>574</v>
      </c>
      <c r="N102" s="1" t="s">
        <v>575</v>
      </c>
      <c r="O102" s="1" t="s">
        <v>791</v>
      </c>
      <c r="P102" s="1" t="s">
        <v>424</v>
      </c>
      <c r="Q102" s="1" t="s">
        <v>596</v>
      </c>
      <c r="R102" s="1" t="s">
        <v>827</v>
      </c>
      <c r="S102" s="1" t="s">
        <v>336</v>
      </c>
      <c r="T102" s="1" t="s">
        <v>870</v>
      </c>
      <c r="U102" s="1">
        <v>1997</v>
      </c>
      <c r="V102" s="1" t="s">
        <v>295</v>
      </c>
      <c r="W102" s="1" t="s">
        <v>826</v>
      </c>
      <c r="X102" s="1" t="s">
        <v>580</v>
      </c>
      <c r="Y102" s="1" t="s">
        <v>581</v>
      </c>
      <c r="Z102" s="1" t="s">
        <v>824</v>
      </c>
      <c r="AA102" s="1" t="s">
        <v>825</v>
      </c>
      <c r="AB102" s="1" t="s">
        <v>295</v>
      </c>
      <c r="AC102" s="1" t="s">
        <v>659</v>
      </c>
      <c r="AD102" s="1" t="s">
        <v>598</v>
      </c>
      <c r="AE102" s="1" t="s">
        <v>601</v>
      </c>
      <c r="AF102" s="1" t="s">
        <v>599</v>
      </c>
      <c r="AG102" s="1" t="s">
        <v>600</v>
      </c>
      <c r="AH102" s="1" t="s">
        <v>593</v>
      </c>
      <c r="AI102" s="1" t="s">
        <v>362</v>
      </c>
      <c r="AJ102" s="1" t="s">
        <v>745</v>
      </c>
      <c r="AK102" s="1" t="s">
        <v>831</v>
      </c>
      <c r="AL102" s="1" t="s">
        <v>670</v>
      </c>
      <c r="AM102" s="11">
        <v>5.9966996699669899</v>
      </c>
      <c r="AN102" s="1" t="s">
        <v>315</v>
      </c>
      <c r="AO102" s="11">
        <v>1.5049504950495098</v>
      </c>
      <c r="AP102" s="11">
        <v>6</v>
      </c>
      <c r="AQ102" s="11">
        <v>3.5016501650165002</v>
      </c>
      <c r="AR102" s="1" t="s">
        <v>315</v>
      </c>
      <c r="AS102" s="11">
        <v>0.22442244224422003</v>
      </c>
      <c r="AT102" s="11">
        <v>6</v>
      </c>
      <c r="AU102" s="1" t="s">
        <v>869</v>
      </c>
    </row>
    <row r="103" spans="1:47">
      <c r="A103" s="1">
        <v>30</v>
      </c>
      <c r="B103" s="11">
        <v>1</v>
      </c>
      <c r="C103" s="1" t="s">
        <v>157</v>
      </c>
      <c r="D103" s="1" t="s">
        <v>158</v>
      </c>
      <c r="E103" s="1" t="s">
        <v>53</v>
      </c>
      <c r="F103" s="1">
        <v>2001</v>
      </c>
      <c r="G103" s="1" t="s">
        <v>492</v>
      </c>
      <c r="H103" s="1" t="s">
        <v>493</v>
      </c>
      <c r="I103" s="1">
        <v>-18.770738999999999</v>
      </c>
      <c r="J103" s="1">
        <v>146.62893600000001</v>
      </c>
      <c r="K103" s="1" t="s">
        <v>375</v>
      </c>
      <c r="L103" s="1" t="s">
        <v>415</v>
      </c>
      <c r="M103" s="1" t="s">
        <v>645</v>
      </c>
      <c r="N103" s="1" t="s">
        <v>291</v>
      </c>
      <c r="O103" s="1" t="s">
        <v>292</v>
      </c>
      <c r="P103" s="1" t="s">
        <v>294</v>
      </c>
      <c r="Q103" s="1" t="s">
        <v>609</v>
      </c>
      <c r="R103" s="1" t="s">
        <v>315</v>
      </c>
      <c r="S103" s="1" t="s">
        <v>335</v>
      </c>
      <c r="V103" s="1" t="s">
        <v>345</v>
      </c>
      <c r="W103" s="1" t="s">
        <v>315</v>
      </c>
      <c r="X103" s="1" t="s">
        <v>878</v>
      </c>
      <c r="Y103" s="1" t="s">
        <v>879</v>
      </c>
      <c r="Z103" s="1" t="s">
        <v>315</v>
      </c>
      <c r="AA103" s="1" t="s">
        <v>315</v>
      </c>
      <c r="AB103" s="1" t="s">
        <v>313</v>
      </c>
      <c r="AC103" s="1" t="s">
        <v>315</v>
      </c>
      <c r="AD103" s="1" t="s">
        <v>347</v>
      </c>
      <c r="AE103" s="1" t="s">
        <v>315</v>
      </c>
      <c r="AF103" s="1" t="s">
        <v>315</v>
      </c>
      <c r="AG103" s="1" t="s">
        <v>315</v>
      </c>
      <c r="AH103" s="1" t="s">
        <v>798</v>
      </c>
      <c r="AI103" s="1" t="s">
        <v>362</v>
      </c>
      <c r="AJ103" s="1" t="s">
        <v>1003</v>
      </c>
      <c r="AK103" s="1" t="s">
        <v>831</v>
      </c>
      <c r="AL103" s="1" t="s">
        <v>315</v>
      </c>
      <c r="AM103">
        <v>0.72352941176470598</v>
      </c>
      <c r="AN103">
        <v>5.2941176470588047E-2</v>
      </c>
      <c r="AO103" t="s">
        <v>315</v>
      </c>
      <c r="AP103">
        <v>10</v>
      </c>
      <c r="AQ103">
        <v>0.76588235294117601</v>
      </c>
      <c r="AR103">
        <v>6.3529411764705945E-2</v>
      </c>
      <c r="AS103" t="s">
        <v>315</v>
      </c>
      <c r="AT103">
        <v>10</v>
      </c>
      <c r="AU103" s="1" t="s">
        <v>1009</v>
      </c>
    </row>
    <row r="104" spans="1:47">
      <c r="A104" s="1">
        <v>30</v>
      </c>
      <c r="B104" s="11">
        <v>2</v>
      </c>
      <c r="C104" s="1" t="s">
        <v>157</v>
      </c>
      <c r="D104" s="1" t="s">
        <v>158</v>
      </c>
      <c r="E104" s="1" t="s">
        <v>53</v>
      </c>
      <c r="F104" s="1">
        <v>2001</v>
      </c>
      <c r="G104" s="1" t="s">
        <v>492</v>
      </c>
      <c r="H104" s="1" t="s">
        <v>493</v>
      </c>
      <c r="I104" s="1">
        <v>-18.770738999999999</v>
      </c>
      <c r="J104" s="1">
        <v>146.62893600000001</v>
      </c>
      <c r="K104" s="1" t="s">
        <v>375</v>
      </c>
      <c r="L104" s="1" t="s">
        <v>415</v>
      </c>
      <c r="M104" s="1" t="s">
        <v>645</v>
      </c>
      <c r="N104" s="1" t="s">
        <v>291</v>
      </c>
      <c r="O104" s="1" t="s">
        <v>292</v>
      </c>
      <c r="P104" s="1" t="s">
        <v>294</v>
      </c>
      <c r="Q104" s="1" t="s">
        <v>609</v>
      </c>
      <c r="R104" s="1" t="s">
        <v>315</v>
      </c>
      <c r="S104" s="1" t="s">
        <v>335</v>
      </c>
      <c r="V104" s="1" t="s">
        <v>345</v>
      </c>
      <c r="W104" s="1" t="s">
        <v>315</v>
      </c>
      <c r="X104" s="1" t="s">
        <v>878</v>
      </c>
      <c r="Y104" s="1" t="s">
        <v>879</v>
      </c>
      <c r="Z104" s="1" t="s">
        <v>315</v>
      </c>
      <c r="AA104" s="1" t="s">
        <v>315</v>
      </c>
      <c r="AB104" s="1" t="s">
        <v>313</v>
      </c>
      <c r="AC104" s="1" t="s">
        <v>315</v>
      </c>
      <c r="AD104" s="1" t="s">
        <v>347</v>
      </c>
      <c r="AE104" s="1" t="s">
        <v>315</v>
      </c>
      <c r="AF104" s="1" t="s">
        <v>315</v>
      </c>
      <c r="AG104" s="1" t="s">
        <v>315</v>
      </c>
      <c r="AH104" s="1" t="s">
        <v>798</v>
      </c>
      <c r="AI104" s="1" t="s">
        <v>362</v>
      </c>
      <c r="AJ104" s="1" t="s">
        <v>1003</v>
      </c>
      <c r="AK104" s="1" t="s">
        <v>831</v>
      </c>
      <c r="AL104" s="1" t="s">
        <v>315</v>
      </c>
      <c r="AM104">
        <v>0.73411764705882299</v>
      </c>
      <c r="AN104">
        <v>5.647058823529405E-2</v>
      </c>
      <c r="AO104" t="s">
        <v>315</v>
      </c>
      <c r="AP104">
        <v>10</v>
      </c>
      <c r="AQ104">
        <v>0.80823529411764705</v>
      </c>
      <c r="AR104">
        <v>5.2941176470587936E-2</v>
      </c>
      <c r="AS104" t="s">
        <v>315</v>
      </c>
      <c r="AT104">
        <v>10</v>
      </c>
      <c r="AU104" s="1" t="s">
        <v>1010</v>
      </c>
    </row>
    <row r="105" spans="1:47">
      <c r="A105" s="1">
        <v>30</v>
      </c>
      <c r="B105" s="11">
        <v>3</v>
      </c>
      <c r="C105" s="1" t="s">
        <v>157</v>
      </c>
      <c r="D105" s="1" t="s">
        <v>158</v>
      </c>
      <c r="E105" s="1" t="s">
        <v>53</v>
      </c>
      <c r="F105" s="1">
        <v>2001</v>
      </c>
      <c r="G105" s="1" t="s">
        <v>492</v>
      </c>
      <c r="H105" s="1" t="s">
        <v>493</v>
      </c>
      <c r="I105" s="1">
        <v>-18.770738999999999</v>
      </c>
      <c r="J105" s="1">
        <v>146.62893600000001</v>
      </c>
      <c r="K105" s="1" t="s">
        <v>375</v>
      </c>
      <c r="L105" s="1" t="s">
        <v>415</v>
      </c>
      <c r="M105" s="1" t="s">
        <v>645</v>
      </c>
      <c r="N105" s="1" t="s">
        <v>291</v>
      </c>
      <c r="O105" s="1" t="s">
        <v>292</v>
      </c>
      <c r="P105" s="1" t="s">
        <v>294</v>
      </c>
      <c r="Q105" s="1" t="s">
        <v>609</v>
      </c>
      <c r="R105" s="1" t="s">
        <v>315</v>
      </c>
      <c r="S105" s="1" t="s">
        <v>335</v>
      </c>
      <c r="V105" s="1" t="s">
        <v>345</v>
      </c>
      <c r="W105" s="1" t="s">
        <v>315</v>
      </c>
      <c r="X105" s="1" t="s">
        <v>878</v>
      </c>
      <c r="Y105" s="1" t="s">
        <v>879</v>
      </c>
      <c r="Z105" s="1" t="s">
        <v>315</v>
      </c>
      <c r="AA105" s="1" t="s">
        <v>315</v>
      </c>
      <c r="AB105" s="1" t="s">
        <v>313</v>
      </c>
      <c r="AC105" s="1" t="s">
        <v>315</v>
      </c>
      <c r="AD105" s="1" t="s">
        <v>347</v>
      </c>
      <c r="AE105" s="1" t="s">
        <v>315</v>
      </c>
      <c r="AF105" s="1" t="s">
        <v>315</v>
      </c>
      <c r="AG105" s="1" t="s">
        <v>315</v>
      </c>
      <c r="AH105" s="1" t="s">
        <v>798</v>
      </c>
      <c r="AI105" s="1" t="s">
        <v>362</v>
      </c>
      <c r="AJ105" s="1" t="s">
        <v>1003</v>
      </c>
      <c r="AK105" s="1" t="s">
        <v>831</v>
      </c>
      <c r="AL105" s="1" t="s">
        <v>315</v>
      </c>
      <c r="AM105">
        <v>0.82941176470588196</v>
      </c>
      <c r="AN105">
        <v>6.0000000000000053E-2</v>
      </c>
      <c r="AO105" t="s">
        <v>315</v>
      </c>
      <c r="AP105">
        <v>10</v>
      </c>
      <c r="AQ105">
        <v>0.748235294117647</v>
      </c>
      <c r="AR105">
        <v>4.2352941176470038E-2</v>
      </c>
      <c r="AS105" t="s">
        <v>315</v>
      </c>
      <c r="AT105">
        <v>10</v>
      </c>
      <c r="AU105" s="1" t="s">
        <v>1011</v>
      </c>
    </row>
    <row r="106" spans="1:47">
      <c r="A106" s="1">
        <v>30</v>
      </c>
      <c r="B106" s="11">
        <v>4</v>
      </c>
      <c r="C106" s="1" t="s">
        <v>157</v>
      </c>
      <c r="D106" s="1" t="s">
        <v>158</v>
      </c>
      <c r="E106" s="1" t="s">
        <v>53</v>
      </c>
      <c r="F106" s="1">
        <v>2001</v>
      </c>
      <c r="G106" s="1" t="s">
        <v>492</v>
      </c>
      <c r="H106" s="1" t="s">
        <v>493</v>
      </c>
      <c r="I106" s="1">
        <v>-18.770738999999999</v>
      </c>
      <c r="J106" s="1">
        <v>146.62893600000001</v>
      </c>
      <c r="K106" s="1" t="s">
        <v>375</v>
      </c>
      <c r="L106" s="1" t="s">
        <v>415</v>
      </c>
      <c r="M106" s="1" t="s">
        <v>645</v>
      </c>
      <c r="N106" s="1" t="s">
        <v>291</v>
      </c>
      <c r="O106" s="1" t="s">
        <v>292</v>
      </c>
      <c r="P106" s="1" t="s">
        <v>294</v>
      </c>
      <c r="Q106" s="1" t="s">
        <v>609</v>
      </c>
      <c r="R106" s="1" t="s">
        <v>315</v>
      </c>
      <c r="S106" s="1" t="s">
        <v>335</v>
      </c>
      <c r="V106" s="1" t="s">
        <v>345</v>
      </c>
      <c r="W106" s="1" t="s">
        <v>315</v>
      </c>
      <c r="X106" s="1" t="s">
        <v>878</v>
      </c>
      <c r="Y106" s="1" t="s">
        <v>879</v>
      </c>
      <c r="Z106" s="1" t="s">
        <v>315</v>
      </c>
      <c r="AA106" s="1" t="s">
        <v>315</v>
      </c>
      <c r="AB106" s="1" t="s">
        <v>313</v>
      </c>
      <c r="AC106" s="1" t="s">
        <v>315</v>
      </c>
      <c r="AD106" s="1" t="s">
        <v>347</v>
      </c>
      <c r="AE106" s="1" t="s">
        <v>315</v>
      </c>
      <c r="AF106" s="1" t="s">
        <v>315</v>
      </c>
      <c r="AG106" s="1" t="s">
        <v>315</v>
      </c>
      <c r="AH106" s="1" t="s">
        <v>798</v>
      </c>
      <c r="AI106" s="1" t="s">
        <v>362</v>
      </c>
      <c r="AJ106" s="1" t="s">
        <v>1003</v>
      </c>
      <c r="AK106" s="1" t="s">
        <v>831</v>
      </c>
      <c r="AL106" s="1" t="s">
        <v>315</v>
      </c>
      <c r="AM106">
        <v>0.86470588235294099</v>
      </c>
      <c r="AN106">
        <v>3.5294117647058032E-2</v>
      </c>
      <c r="AO106" t="s">
        <v>315</v>
      </c>
      <c r="AP106">
        <v>10</v>
      </c>
      <c r="AQ106">
        <v>0.83647058823529397</v>
      </c>
      <c r="AR106">
        <v>4.9411764705882044E-2</v>
      </c>
      <c r="AS106" t="s">
        <v>315</v>
      </c>
      <c r="AT106">
        <v>10</v>
      </c>
      <c r="AU106" s="1" t="s">
        <v>1012</v>
      </c>
    </row>
    <row r="107" spans="1:47">
      <c r="A107" s="1">
        <v>30</v>
      </c>
      <c r="B107" s="11">
        <v>5</v>
      </c>
      <c r="C107" s="1" t="s">
        <v>157</v>
      </c>
      <c r="D107" s="1" t="s">
        <v>158</v>
      </c>
      <c r="E107" s="1" t="s">
        <v>53</v>
      </c>
      <c r="F107" s="1">
        <v>2001</v>
      </c>
      <c r="G107" s="1" t="s">
        <v>492</v>
      </c>
      <c r="H107" s="1" t="s">
        <v>493</v>
      </c>
      <c r="I107" s="1">
        <v>-18.770738999999999</v>
      </c>
      <c r="J107" s="1">
        <v>146.62893600000001</v>
      </c>
      <c r="K107" s="1" t="s">
        <v>375</v>
      </c>
      <c r="L107" s="1" t="s">
        <v>415</v>
      </c>
      <c r="M107" s="1" t="s">
        <v>645</v>
      </c>
      <c r="N107" s="1" t="s">
        <v>291</v>
      </c>
      <c r="O107" s="1" t="s">
        <v>292</v>
      </c>
      <c r="P107" s="1" t="s">
        <v>294</v>
      </c>
      <c r="Q107" s="1" t="s">
        <v>609</v>
      </c>
      <c r="R107" s="1" t="s">
        <v>315</v>
      </c>
      <c r="S107" s="1" t="s">
        <v>335</v>
      </c>
      <c r="V107" s="1" t="s">
        <v>345</v>
      </c>
      <c r="W107" s="1" t="s">
        <v>315</v>
      </c>
      <c r="X107" s="1" t="s">
        <v>878</v>
      </c>
      <c r="Y107" s="1" t="s">
        <v>879</v>
      </c>
      <c r="Z107" s="1" t="s">
        <v>315</v>
      </c>
      <c r="AA107" s="1" t="s">
        <v>315</v>
      </c>
      <c r="AB107" s="1" t="s">
        <v>313</v>
      </c>
      <c r="AC107" s="1" t="s">
        <v>315</v>
      </c>
      <c r="AD107" s="1" t="s">
        <v>347</v>
      </c>
      <c r="AE107" s="1" t="s">
        <v>315</v>
      </c>
      <c r="AF107" s="1" t="s">
        <v>315</v>
      </c>
      <c r="AG107" s="1" t="s">
        <v>315</v>
      </c>
      <c r="AH107" s="1" t="s">
        <v>798</v>
      </c>
      <c r="AI107" s="1" t="s">
        <v>362</v>
      </c>
      <c r="AJ107" s="1" t="s">
        <v>1003</v>
      </c>
      <c r="AK107" s="1" t="s">
        <v>831</v>
      </c>
      <c r="AL107" s="1" t="s">
        <v>315</v>
      </c>
      <c r="AM107">
        <v>0.92470588235294104</v>
      </c>
      <c r="AN107">
        <v>6.7058823529411948E-2</v>
      </c>
      <c r="AO107" t="s">
        <v>315</v>
      </c>
      <c r="AP107">
        <v>10</v>
      </c>
      <c r="AQ107">
        <v>0.875294117647058</v>
      </c>
      <c r="AR107">
        <v>3.5294117647059031E-2</v>
      </c>
      <c r="AS107" t="s">
        <v>315</v>
      </c>
      <c r="AT107">
        <v>10</v>
      </c>
      <c r="AU107" s="1" t="s">
        <v>1013</v>
      </c>
    </row>
    <row r="108" spans="1:47">
      <c r="A108" s="1">
        <v>30</v>
      </c>
      <c r="B108" s="11">
        <v>6</v>
      </c>
      <c r="C108" s="1" t="s">
        <v>157</v>
      </c>
      <c r="D108" s="1" t="s">
        <v>158</v>
      </c>
      <c r="E108" s="1" t="s">
        <v>53</v>
      </c>
      <c r="F108" s="1">
        <v>2001</v>
      </c>
      <c r="G108" s="1" t="s">
        <v>492</v>
      </c>
      <c r="H108" s="1" t="s">
        <v>493</v>
      </c>
      <c r="I108" s="1">
        <v>-18.770738999999999</v>
      </c>
      <c r="J108" s="1">
        <v>146.62893600000001</v>
      </c>
      <c r="K108" s="1" t="s">
        <v>375</v>
      </c>
      <c r="L108" s="1" t="s">
        <v>415</v>
      </c>
      <c r="M108" s="1" t="s">
        <v>645</v>
      </c>
      <c r="N108" s="1" t="s">
        <v>291</v>
      </c>
      <c r="O108" s="1" t="s">
        <v>292</v>
      </c>
      <c r="P108" s="1" t="s">
        <v>294</v>
      </c>
      <c r="Q108" s="1" t="s">
        <v>609</v>
      </c>
      <c r="R108" s="1" t="s">
        <v>315</v>
      </c>
      <c r="S108" s="1" t="s">
        <v>335</v>
      </c>
      <c r="V108" s="1" t="s">
        <v>345</v>
      </c>
      <c r="W108" s="1" t="s">
        <v>315</v>
      </c>
      <c r="X108" s="1" t="s">
        <v>878</v>
      </c>
      <c r="Y108" s="1" t="s">
        <v>879</v>
      </c>
      <c r="Z108" s="1" t="s">
        <v>315</v>
      </c>
      <c r="AA108" s="1" t="s">
        <v>315</v>
      </c>
      <c r="AB108" s="1" t="s">
        <v>313</v>
      </c>
      <c r="AC108" s="1" t="s">
        <v>315</v>
      </c>
      <c r="AD108" s="1" t="s">
        <v>347</v>
      </c>
      <c r="AE108" s="1" t="s">
        <v>315</v>
      </c>
      <c r="AF108" s="1" t="s">
        <v>315</v>
      </c>
      <c r="AG108" s="1" t="s">
        <v>315</v>
      </c>
      <c r="AH108" s="1" t="s">
        <v>798</v>
      </c>
      <c r="AI108" s="1" t="s">
        <v>362</v>
      </c>
      <c r="AJ108" s="1" t="s">
        <v>1003</v>
      </c>
      <c r="AK108" s="1" t="s">
        <v>831</v>
      </c>
      <c r="AL108" s="1" t="s">
        <v>315</v>
      </c>
      <c r="AM108">
        <v>1.1505882352941099</v>
      </c>
      <c r="AN108">
        <v>5.2941176470590046E-2</v>
      </c>
      <c r="AO108" t="s">
        <v>315</v>
      </c>
      <c r="AP108">
        <v>10</v>
      </c>
      <c r="AQ108">
        <v>1.0588235294117601</v>
      </c>
      <c r="AR108">
        <v>4.5882352941180038E-2</v>
      </c>
      <c r="AS108" t="s">
        <v>315</v>
      </c>
      <c r="AT108">
        <v>10</v>
      </c>
      <c r="AU108" s="1" t="s">
        <v>1014</v>
      </c>
    </row>
    <row r="109" spans="1:47">
      <c r="A109" s="1">
        <v>30</v>
      </c>
      <c r="B109" s="11">
        <v>7</v>
      </c>
      <c r="C109" s="1" t="s">
        <v>157</v>
      </c>
      <c r="D109" s="1" t="s">
        <v>158</v>
      </c>
      <c r="E109" s="1" t="s">
        <v>53</v>
      </c>
      <c r="F109" s="1">
        <v>2001</v>
      </c>
      <c r="G109" s="1" t="s">
        <v>492</v>
      </c>
      <c r="H109" s="1" t="s">
        <v>493</v>
      </c>
      <c r="I109" s="1">
        <v>-18.770738999999999</v>
      </c>
      <c r="J109" s="1">
        <v>146.62893600000001</v>
      </c>
      <c r="K109" s="1" t="s">
        <v>375</v>
      </c>
      <c r="L109" s="1" t="s">
        <v>415</v>
      </c>
      <c r="M109" s="1" t="s">
        <v>645</v>
      </c>
      <c r="N109" s="1" t="s">
        <v>291</v>
      </c>
      <c r="O109" s="1" t="s">
        <v>292</v>
      </c>
      <c r="P109" s="1" t="s">
        <v>294</v>
      </c>
      <c r="Q109" s="1" t="s">
        <v>609</v>
      </c>
      <c r="R109" s="1" t="s">
        <v>315</v>
      </c>
      <c r="S109" s="1" t="s">
        <v>335</v>
      </c>
      <c r="V109" s="1" t="s">
        <v>345</v>
      </c>
      <c r="W109" s="1" t="s">
        <v>315</v>
      </c>
      <c r="X109" s="1" t="s">
        <v>878</v>
      </c>
      <c r="Y109" s="1" t="s">
        <v>879</v>
      </c>
      <c r="Z109" s="1" t="s">
        <v>315</v>
      </c>
      <c r="AA109" s="1" t="s">
        <v>315</v>
      </c>
      <c r="AB109" s="1" t="s">
        <v>313</v>
      </c>
      <c r="AC109" s="1" t="s">
        <v>315</v>
      </c>
      <c r="AD109" s="1" t="s">
        <v>347</v>
      </c>
      <c r="AE109" s="1" t="s">
        <v>315</v>
      </c>
      <c r="AF109" s="1" t="s">
        <v>315</v>
      </c>
      <c r="AG109" s="1" t="s">
        <v>315</v>
      </c>
      <c r="AH109" s="1" t="s">
        <v>798</v>
      </c>
      <c r="AI109" s="1" t="s">
        <v>362</v>
      </c>
      <c r="AJ109" s="1" t="s">
        <v>1003</v>
      </c>
      <c r="AK109" s="1" t="s">
        <v>831</v>
      </c>
      <c r="AL109" s="1" t="s">
        <v>315</v>
      </c>
      <c r="AM109">
        <v>1.22117647058823</v>
      </c>
      <c r="AN109">
        <v>4.2352941176470038E-2</v>
      </c>
      <c r="AO109" t="s">
        <v>315</v>
      </c>
      <c r="AP109">
        <v>10</v>
      </c>
      <c r="AQ109">
        <v>1.03764705882352</v>
      </c>
      <c r="AR109">
        <v>4.5882352941180038E-2</v>
      </c>
      <c r="AS109" t="s">
        <v>315</v>
      </c>
      <c r="AT109">
        <v>10</v>
      </c>
      <c r="AU109" s="1" t="s">
        <v>1015</v>
      </c>
    </row>
    <row r="110" spans="1:47">
      <c r="A110" s="1">
        <v>30</v>
      </c>
      <c r="B110" s="11">
        <v>8</v>
      </c>
      <c r="C110" s="1" t="s">
        <v>157</v>
      </c>
      <c r="D110" s="1" t="s">
        <v>158</v>
      </c>
      <c r="E110" s="1" t="s">
        <v>53</v>
      </c>
      <c r="F110" s="1">
        <v>2001</v>
      </c>
      <c r="G110" s="1" t="s">
        <v>492</v>
      </c>
      <c r="H110" s="1" t="s">
        <v>493</v>
      </c>
      <c r="I110" s="1">
        <v>-18.770738999999999</v>
      </c>
      <c r="J110" s="1">
        <v>146.62893600000001</v>
      </c>
      <c r="K110" s="1" t="s">
        <v>375</v>
      </c>
      <c r="L110" s="1" t="s">
        <v>415</v>
      </c>
      <c r="M110" s="1" t="s">
        <v>645</v>
      </c>
      <c r="N110" s="1" t="s">
        <v>291</v>
      </c>
      <c r="O110" s="1" t="s">
        <v>292</v>
      </c>
      <c r="P110" s="1" t="s">
        <v>294</v>
      </c>
      <c r="Q110" s="1" t="s">
        <v>609</v>
      </c>
      <c r="R110" s="1" t="s">
        <v>315</v>
      </c>
      <c r="S110" s="1" t="s">
        <v>335</v>
      </c>
      <c r="V110" s="1" t="s">
        <v>345</v>
      </c>
      <c r="W110" s="1" t="s">
        <v>315</v>
      </c>
      <c r="X110" s="1" t="s">
        <v>878</v>
      </c>
      <c r="Y110" s="1" t="s">
        <v>879</v>
      </c>
      <c r="Z110" s="1" t="s">
        <v>315</v>
      </c>
      <c r="AA110" s="1" t="s">
        <v>315</v>
      </c>
      <c r="AB110" s="1" t="s">
        <v>313</v>
      </c>
      <c r="AC110" s="1" t="s">
        <v>315</v>
      </c>
      <c r="AD110" s="1" t="s">
        <v>347</v>
      </c>
      <c r="AE110" s="1" t="s">
        <v>315</v>
      </c>
      <c r="AF110" s="1" t="s">
        <v>315</v>
      </c>
      <c r="AG110" s="1" t="s">
        <v>315</v>
      </c>
      <c r="AH110" s="1" t="s">
        <v>798</v>
      </c>
      <c r="AI110" s="1" t="s">
        <v>362</v>
      </c>
      <c r="AJ110" s="1" t="s">
        <v>1003</v>
      </c>
      <c r="AK110" s="1" t="s">
        <v>831</v>
      </c>
      <c r="AL110" s="1" t="s">
        <v>315</v>
      </c>
      <c r="AM110">
        <v>0.878823529411764</v>
      </c>
      <c r="AN110">
        <v>4.2352941176471037E-2</v>
      </c>
      <c r="AO110" t="s">
        <v>315</v>
      </c>
      <c r="AP110">
        <v>9</v>
      </c>
      <c r="AQ110">
        <v>0.83294117647058796</v>
      </c>
      <c r="AR110">
        <v>3.8823529411765034E-2</v>
      </c>
      <c r="AS110" t="s">
        <v>315</v>
      </c>
      <c r="AT110">
        <v>9</v>
      </c>
      <c r="AU110" s="1" t="s">
        <v>1016</v>
      </c>
    </row>
    <row r="111" spans="1:47">
      <c r="A111" s="1">
        <v>30</v>
      </c>
      <c r="B111" s="11">
        <v>9</v>
      </c>
      <c r="C111" s="1" t="s">
        <v>157</v>
      </c>
      <c r="D111" s="1" t="s">
        <v>158</v>
      </c>
      <c r="E111" s="1" t="s">
        <v>53</v>
      </c>
      <c r="F111" s="1">
        <v>2001</v>
      </c>
      <c r="G111" s="1" t="s">
        <v>492</v>
      </c>
      <c r="H111" s="1" t="s">
        <v>493</v>
      </c>
      <c r="I111" s="1">
        <v>-18.770738999999999</v>
      </c>
      <c r="J111" s="1">
        <v>146.62893600000001</v>
      </c>
      <c r="K111" s="1" t="s">
        <v>375</v>
      </c>
      <c r="L111" s="1" t="s">
        <v>415</v>
      </c>
      <c r="M111" s="1" t="s">
        <v>645</v>
      </c>
      <c r="N111" s="1" t="s">
        <v>291</v>
      </c>
      <c r="O111" s="1" t="s">
        <v>292</v>
      </c>
      <c r="P111" s="1" t="s">
        <v>294</v>
      </c>
      <c r="Q111" s="1" t="s">
        <v>609</v>
      </c>
      <c r="R111" s="1" t="s">
        <v>315</v>
      </c>
      <c r="S111" s="1" t="s">
        <v>335</v>
      </c>
      <c r="V111" s="1" t="s">
        <v>345</v>
      </c>
      <c r="W111" s="1" t="s">
        <v>315</v>
      </c>
      <c r="X111" s="1" t="s">
        <v>878</v>
      </c>
      <c r="Y111" s="1" t="s">
        <v>879</v>
      </c>
      <c r="Z111" s="1" t="s">
        <v>315</v>
      </c>
      <c r="AA111" s="1" t="s">
        <v>315</v>
      </c>
      <c r="AB111" s="1" t="s">
        <v>313</v>
      </c>
      <c r="AC111" s="1" t="s">
        <v>315</v>
      </c>
      <c r="AD111" s="1" t="s">
        <v>347</v>
      </c>
      <c r="AE111" s="1" t="s">
        <v>315</v>
      </c>
      <c r="AF111" s="1" t="s">
        <v>315</v>
      </c>
      <c r="AG111" s="1" t="s">
        <v>315</v>
      </c>
      <c r="AH111" s="1" t="s">
        <v>798</v>
      </c>
      <c r="AI111" s="1" t="s">
        <v>362</v>
      </c>
      <c r="AJ111" s="1" t="s">
        <v>1003</v>
      </c>
      <c r="AK111" s="1" t="s">
        <v>831</v>
      </c>
      <c r="AL111" s="1" t="s">
        <v>315</v>
      </c>
      <c r="AM111">
        <v>0.83647058823529397</v>
      </c>
      <c r="AN111">
        <v>3.1764705882353028E-2</v>
      </c>
      <c r="AO111" t="s">
        <v>315</v>
      </c>
      <c r="AP111">
        <v>9</v>
      </c>
      <c r="AQ111">
        <v>0.73411764705882299</v>
      </c>
      <c r="AR111">
        <v>3.5294117647059031E-2</v>
      </c>
      <c r="AS111" t="s">
        <v>315</v>
      </c>
      <c r="AT111">
        <v>9</v>
      </c>
      <c r="AU111" s="1" t="s">
        <v>1017</v>
      </c>
    </row>
    <row r="112" spans="1:47">
      <c r="A112" s="1">
        <v>30</v>
      </c>
      <c r="B112" s="11">
        <v>10</v>
      </c>
      <c r="C112" s="1" t="s">
        <v>157</v>
      </c>
      <c r="D112" s="1" t="s">
        <v>158</v>
      </c>
      <c r="E112" s="1" t="s">
        <v>53</v>
      </c>
      <c r="F112" s="1">
        <v>2001</v>
      </c>
      <c r="G112" s="1" t="s">
        <v>492</v>
      </c>
      <c r="H112" s="1" t="s">
        <v>493</v>
      </c>
      <c r="I112" s="1">
        <v>-18.770738999999999</v>
      </c>
      <c r="J112" s="1">
        <v>146.62893600000001</v>
      </c>
      <c r="K112" s="1" t="s">
        <v>375</v>
      </c>
      <c r="L112" s="1" t="s">
        <v>415</v>
      </c>
      <c r="M112" s="1" t="s">
        <v>645</v>
      </c>
      <c r="N112" s="1" t="s">
        <v>291</v>
      </c>
      <c r="O112" s="1" t="s">
        <v>292</v>
      </c>
      <c r="P112" s="1" t="s">
        <v>294</v>
      </c>
      <c r="Q112" s="1" t="s">
        <v>609</v>
      </c>
      <c r="R112" s="1" t="s">
        <v>315</v>
      </c>
      <c r="S112" s="1" t="s">
        <v>335</v>
      </c>
      <c r="V112" s="1" t="s">
        <v>345</v>
      </c>
      <c r="W112" s="1" t="s">
        <v>315</v>
      </c>
      <c r="X112" s="1" t="s">
        <v>878</v>
      </c>
      <c r="Y112" s="1" t="s">
        <v>879</v>
      </c>
      <c r="Z112" s="1" t="s">
        <v>315</v>
      </c>
      <c r="AA112" s="1" t="s">
        <v>315</v>
      </c>
      <c r="AB112" s="1" t="s">
        <v>313</v>
      </c>
      <c r="AC112" s="1" t="s">
        <v>315</v>
      </c>
      <c r="AD112" s="1" t="s">
        <v>347</v>
      </c>
      <c r="AE112" s="1" t="s">
        <v>315</v>
      </c>
      <c r="AF112" s="1" t="s">
        <v>315</v>
      </c>
      <c r="AG112" s="1" t="s">
        <v>315</v>
      </c>
      <c r="AH112" s="1" t="s">
        <v>798</v>
      </c>
      <c r="AI112" s="1" t="s">
        <v>362</v>
      </c>
      <c r="AJ112" s="1" t="s">
        <v>1003</v>
      </c>
      <c r="AK112" s="1" t="s">
        <v>831</v>
      </c>
      <c r="AL112" s="1" t="s">
        <v>315</v>
      </c>
      <c r="AM112">
        <v>0.89294117647058802</v>
      </c>
      <c r="AN112">
        <v>3.5294117647059031E-2</v>
      </c>
      <c r="AO112" t="s">
        <v>315</v>
      </c>
      <c r="AP112">
        <v>9</v>
      </c>
      <c r="AQ112">
        <v>0.77647058823529402</v>
      </c>
      <c r="AR112">
        <v>3.8823529411763924E-2</v>
      </c>
      <c r="AS112" t="s">
        <v>315</v>
      </c>
      <c r="AT112">
        <v>9</v>
      </c>
      <c r="AU112" s="1" t="s">
        <v>1018</v>
      </c>
    </row>
    <row r="113" spans="1:47">
      <c r="A113" s="1">
        <v>30</v>
      </c>
      <c r="B113" s="11">
        <v>11</v>
      </c>
      <c r="C113" s="1" t="s">
        <v>157</v>
      </c>
      <c r="D113" s="1" t="s">
        <v>158</v>
      </c>
      <c r="E113" s="1" t="s">
        <v>53</v>
      </c>
      <c r="F113" s="1">
        <v>2001</v>
      </c>
      <c r="G113" s="1" t="s">
        <v>492</v>
      </c>
      <c r="H113" s="1" t="s">
        <v>493</v>
      </c>
      <c r="I113" s="1">
        <v>-18.770738999999999</v>
      </c>
      <c r="J113" s="1">
        <v>146.62893600000001</v>
      </c>
      <c r="K113" s="1" t="s">
        <v>375</v>
      </c>
      <c r="L113" s="1" t="s">
        <v>415</v>
      </c>
      <c r="M113" s="1" t="s">
        <v>645</v>
      </c>
      <c r="N113" s="1" t="s">
        <v>291</v>
      </c>
      <c r="O113" s="1" t="s">
        <v>292</v>
      </c>
      <c r="P113" s="1" t="s">
        <v>294</v>
      </c>
      <c r="Q113" s="1" t="s">
        <v>609</v>
      </c>
      <c r="R113" s="1" t="s">
        <v>315</v>
      </c>
      <c r="S113" s="1" t="s">
        <v>335</v>
      </c>
      <c r="V113" s="1" t="s">
        <v>345</v>
      </c>
      <c r="W113" s="1" t="s">
        <v>315</v>
      </c>
      <c r="X113" s="1" t="s">
        <v>878</v>
      </c>
      <c r="Y113" s="1" t="s">
        <v>879</v>
      </c>
      <c r="Z113" s="1" t="s">
        <v>315</v>
      </c>
      <c r="AA113" s="1" t="s">
        <v>315</v>
      </c>
      <c r="AB113" s="1" t="s">
        <v>313</v>
      </c>
      <c r="AC113" s="1" t="s">
        <v>315</v>
      </c>
      <c r="AD113" s="1" t="s">
        <v>347</v>
      </c>
      <c r="AE113" s="1" t="s">
        <v>315</v>
      </c>
      <c r="AF113" s="1" t="s">
        <v>315</v>
      </c>
      <c r="AG113" s="1" t="s">
        <v>315</v>
      </c>
      <c r="AH113" s="1" t="s">
        <v>798</v>
      </c>
      <c r="AI113" s="1" t="s">
        <v>362</v>
      </c>
      <c r="AJ113" s="1" t="s">
        <v>1003</v>
      </c>
      <c r="AK113" s="1" t="s">
        <v>831</v>
      </c>
      <c r="AL113" s="1" t="s">
        <v>315</v>
      </c>
      <c r="AM113">
        <v>0.878823529411764</v>
      </c>
      <c r="AN113">
        <v>3.1764705882353028E-2</v>
      </c>
      <c r="AO113" t="s">
        <v>315</v>
      </c>
      <c r="AP113">
        <v>9</v>
      </c>
      <c r="AQ113">
        <v>0.76941176470588202</v>
      </c>
      <c r="AR113">
        <v>3.8823529411765034E-2</v>
      </c>
      <c r="AS113" t="s">
        <v>315</v>
      </c>
      <c r="AT113">
        <v>9</v>
      </c>
      <c r="AU113" s="1" t="s">
        <v>1019</v>
      </c>
    </row>
    <row r="114" spans="1:47">
      <c r="A114" s="1">
        <v>30</v>
      </c>
      <c r="B114" s="11">
        <v>12</v>
      </c>
      <c r="C114" s="1" t="s">
        <v>157</v>
      </c>
      <c r="D114" s="1" t="s">
        <v>158</v>
      </c>
      <c r="E114" s="1" t="s">
        <v>53</v>
      </c>
      <c r="F114" s="1">
        <v>2001</v>
      </c>
      <c r="G114" s="1" t="s">
        <v>492</v>
      </c>
      <c r="H114" s="1" t="s">
        <v>493</v>
      </c>
      <c r="I114" s="1">
        <v>-18.770738999999999</v>
      </c>
      <c r="J114" s="1">
        <v>146.62893600000001</v>
      </c>
      <c r="K114" s="1" t="s">
        <v>375</v>
      </c>
      <c r="L114" s="1" t="s">
        <v>415</v>
      </c>
      <c r="M114" s="1" t="s">
        <v>645</v>
      </c>
      <c r="N114" s="1" t="s">
        <v>291</v>
      </c>
      <c r="O114" s="1" t="s">
        <v>292</v>
      </c>
      <c r="P114" s="1" t="s">
        <v>294</v>
      </c>
      <c r="Q114" s="1" t="s">
        <v>609</v>
      </c>
      <c r="R114" s="1" t="s">
        <v>315</v>
      </c>
      <c r="S114" s="1" t="s">
        <v>335</v>
      </c>
      <c r="V114" s="1" t="s">
        <v>345</v>
      </c>
      <c r="W114" s="1" t="s">
        <v>315</v>
      </c>
      <c r="X114" s="1" t="s">
        <v>878</v>
      </c>
      <c r="Y114" s="1" t="s">
        <v>879</v>
      </c>
      <c r="Z114" s="1" t="s">
        <v>315</v>
      </c>
      <c r="AA114" s="1" t="s">
        <v>315</v>
      </c>
      <c r="AB114" s="1" t="s">
        <v>313</v>
      </c>
      <c r="AC114" s="1" t="s">
        <v>315</v>
      </c>
      <c r="AD114" s="1" t="s">
        <v>347</v>
      </c>
      <c r="AE114" s="1" t="s">
        <v>315</v>
      </c>
      <c r="AF114" s="1" t="s">
        <v>315</v>
      </c>
      <c r="AG114" s="1" t="s">
        <v>315</v>
      </c>
      <c r="AH114" s="1" t="s">
        <v>798</v>
      </c>
      <c r="AI114" s="1" t="s">
        <v>362</v>
      </c>
      <c r="AJ114" s="1" t="s">
        <v>1003</v>
      </c>
      <c r="AK114" s="1" t="s">
        <v>831</v>
      </c>
      <c r="AL114" s="1" t="s">
        <v>315</v>
      </c>
      <c r="AM114">
        <v>0.96</v>
      </c>
      <c r="AN114">
        <v>2.4705882352941022E-2</v>
      </c>
      <c r="AO114" t="s">
        <v>315</v>
      </c>
      <c r="AP114">
        <v>9</v>
      </c>
      <c r="AQ114">
        <v>0.81882352941176395</v>
      </c>
      <c r="AR114">
        <v>3.1764705882353028E-2</v>
      </c>
      <c r="AS114" t="s">
        <v>315</v>
      </c>
      <c r="AT114">
        <v>9</v>
      </c>
      <c r="AU114" s="1" t="s">
        <v>1020</v>
      </c>
    </row>
    <row r="115" spans="1:47" customFormat="1">
      <c r="A115" s="1">
        <v>31</v>
      </c>
      <c r="B115" s="12">
        <v>1</v>
      </c>
      <c r="C115" t="s">
        <v>159</v>
      </c>
      <c r="D115" t="s">
        <v>160</v>
      </c>
      <c r="E115" t="s">
        <v>161</v>
      </c>
      <c r="F115">
        <v>2000</v>
      </c>
      <c r="G115" t="s">
        <v>559</v>
      </c>
      <c r="H115" t="s">
        <v>560</v>
      </c>
      <c r="I115">
        <v>48.851815999999999</v>
      </c>
      <c r="J115">
        <v>-125.11761</v>
      </c>
      <c r="K115" t="s">
        <v>367</v>
      </c>
      <c r="L115" t="s">
        <v>561</v>
      </c>
      <c r="M115" s="1" t="s">
        <v>574</v>
      </c>
      <c r="N115" s="1" t="s">
        <v>291</v>
      </c>
      <c r="O115" s="1" t="s">
        <v>791</v>
      </c>
      <c r="P115" t="s">
        <v>338</v>
      </c>
      <c r="Q115" s="1" t="s">
        <v>871</v>
      </c>
      <c r="R115" s="1" t="s">
        <v>577</v>
      </c>
      <c r="S115" s="1" t="s">
        <v>335</v>
      </c>
      <c r="T115" s="1" t="s">
        <v>578</v>
      </c>
      <c r="U115">
        <v>1995</v>
      </c>
      <c r="V115" s="1" t="s">
        <v>295</v>
      </c>
      <c r="W115" s="1" t="s">
        <v>873</v>
      </c>
      <c r="X115" s="1" t="s">
        <v>661</v>
      </c>
      <c r="Y115" s="1" t="s">
        <v>874</v>
      </c>
      <c r="Z115" s="1" t="s">
        <v>875</v>
      </c>
      <c r="AA115" s="1" t="s">
        <v>876</v>
      </c>
      <c r="AB115" s="1" t="s">
        <v>295</v>
      </c>
      <c r="AC115" s="1" t="s">
        <v>813</v>
      </c>
      <c r="AD115" s="1" t="s">
        <v>618</v>
      </c>
      <c r="AE115" s="1" t="s">
        <v>348</v>
      </c>
      <c r="AF115" s="1" t="s">
        <v>811</v>
      </c>
      <c r="AG115" s="1" t="s">
        <v>812</v>
      </c>
      <c r="AH115" s="1" t="s">
        <v>349</v>
      </c>
      <c r="AI115" s="1" t="s">
        <v>362</v>
      </c>
      <c r="AJ115" s="1" t="s">
        <v>1105</v>
      </c>
      <c r="AK115" s="1" t="s">
        <v>584</v>
      </c>
      <c r="AL115" s="1" t="s">
        <v>315</v>
      </c>
      <c r="AM115">
        <v>1.02013422818792</v>
      </c>
      <c r="AN115">
        <v>0.21476510067113996</v>
      </c>
      <c r="AO115" t="s">
        <v>315</v>
      </c>
      <c r="AP115">
        <v>5</v>
      </c>
      <c r="AQ115">
        <v>1.23489932885906</v>
      </c>
      <c r="AR115">
        <v>0.21476510067113996</v>
      </c>
      <c r="AS115" t="s">
        <v>315</v>
      </c>
      <c r="AT115">
        <v>5</v>
      </c>
      <c r="AU115" s="1" t="s">
        <v>1127</v>
      </c>
    </row>
    <row r="116" spans="1:47" customFormat="1">
      <c r="A116" s="1">
        <v>31</v>
      </c>
      <c r="B116" s="12">
        <v>2</v>
      </c>
      <c r="C116" t="s">
        <v>159</v>
      </c>
      <c r="D116" t="s">
        <v>160</v>
      </c>
      <c r="E116" t="s">
        <v>161</v>
      </c>
      <c r="F116">
        <v>2000</v>
      </c>
      <c r="G116" t="s">
        <v>562</v>
      </c>
      <c r="H116" t="s">
        <v>563</v>
      </c>
      <c r="I116">
        <v>48.816667000000002</v>
      </c>
      <c r="J116">
        <v>-125.183333</v>
      </c>
      <c r="K116" t="s">
        <v>367</v>
      </c>
      <c r="L116" t="s">
        <v>564</v>
      </c>
      <c r="M116" s="1" t="s">
        <v>574</v>
      </c>
      <c r="N116" s="1" t="s">
        <v>291</v>
      </c>
      <c r="O116" s="1" t="s">
        <v>791</v>
      </c>
      <c r="P116" t="s">
        <v>338</v>
      </c>
      <c r="Q116" s="1" t="s">
        <v>871</v>
      </c>
      <c r="R116" s="1" t="s">
        <v>872</v>
      </c>
      <c r="S116" s="1" t="s">
        <v>335</v>
      </c>
      <c r="T116" s="1" t="s">
        <v>578</v>
      </c>
      <c r="U116">
        <v>1995</v>
      </c>
      <c r="V116" s="1" t="s">
        <v>295</v>
      </c>
      <c r="W116" s="1" t="s">
        <v>873</v>
      </c>
      <c r="X116" s="1" t="s">
        <v>661</v>
      </c>
      <c r="Y116" s="1" t="s">
        <v>874</v>
      </c>
      <c r="Z116" s="1" t="s">
        <v>875</v>
      </c>
      <c r="AA116" s="1" t="s">
        <v>876</v>
      </c>
      <c r="AB116" s="1" t="s">
        <v>295</v>
      </c>
      <c r="AC116" s="1" t="s">
        <v>813</v>
      </c>
      <c r="AD116" s="1" t="s">
        <v>618</v>
      </c>
      <c r="AE116" s="1" t="s">
        <v>348</v>
      </c>
      <c r="AF116" s="1" t="s">
        <v>811</v>
      </c>
      <c r="AG116" s="1" t="s">
        <v>812</v>
      </c>
      <c r="AH116" s="1" t="s">
        <v>349</v>
      </c>
      <c r="AI116" s="1" t="s">
        <v>362</v>
      </c>
      <c r="AJ116" s="1" t="s">
        <v>1105</v>
      </c>
      <c r="AK116" s="1" t="s">
        <v>584</v>
      </c>
      <c r="AL116" s="1" t="s">
        <v>315</v>
      </c>
      <c r="AM116">
        <v>6.8187919463087203</v>
      </c>
      <c r="AN116">
        <v>0.21476510067113974</v>
      </c>
      <c r="AO116" t="s">
        <v>315</v>
      </c>
      <c r="AP116">
        <v>5</v>
      </c>
      <c r="AQ116">
        <v>8.4295302013422795</v>
      </c>
      <c r="AR116">
        <v>0.59060402684563051</v>
      </c>
      <c r="AS116" t="s">
        <v>315</v>
      </c>
      <c r="AT116">
        <v>5</v>
      </c>
      <c r="AU116" s="1" t="s">
        <v>1128</v>
      </c>
    </row>
    <row r="117" spans="1:47" customFormat="1">
      <c r="A117" s="1">
        <v>31</v>
      </c>
      <c r="B117" s="12">
        <v>3</v>
      </c>
      <c r="C117" t="s">
        <v>159</v>
      </c>
      <c r="D117" t="s">
        <v>160</v>
      </c>
      <c r="E117" t="s">
        <v>161</v>
      </c>
      <c r="F117">
        <v>2000</v>
      </c>
      <c r="G117" t="s">
        <v>559</v>
      </c>
      <c r="H117" t="s">
        <v>560</v>
      </c>
      <c r="I117">
        <v>48.851815999999999</v>
      </c>
      <c r="J117">
        <v>-125.11761</v>
      </c>
      <c r="K117" t="s">
        <v>367</v>
      </c>
      <c r="L117" t="s">
        <v>561</v>
      </c>
      <c r="M117" s="1" t="s">
        <v>574</v>
      </c>
      <c r="N117" s="1" t="s">
        <v>291</v>
      </c>
      <c r="O117" s="1" t="s">
        <v>791</v>
      </c>
      <c r="P117" t="s">
        <v>338</v>
      </c>
      <c r="Q117" s="1" t="s">
        <v>871</v>
      </c>
      <c r="R117" s="1" t="s">
        <v>577</v>
      </c>
      <c r="S117" s="1" t="s">
        <v>335</v>
      </c>
      <c r="T117" s="1" t="s">
        <v>578</v>
      </c>
      <c r="U117">
        <v>1995</v>
      </c>
      <c r="V117" s="1" t="s">
        <v>295</v>
      </c>
      <c r="W117" s="1" t="s">
        <v>873</v>
      </c>
      <c r="X117" s="1" t="s">
        <v>661</v>
      </c>
      <c r="Y117" s="1" t="s">
        <v>874</v>
      </c>
      <c r="Z117" s="1" t="s">
        <v>875</v>
      </c>
      <c r="AA117" s="1" t="s">
        <v>876</v>
      </c>
      <c r="AB117" s="1" t="s">
        <v>295</v>
      </c>
      <c r="AC117" s="1" t="s">
        <v>813</v>
      </c>
      <c r="AD117" s="1" t="s">
        <v>618</v>
      </c>
      <c r="AE117" s="1" t="s">
        <v>348</v>
      </c>
      <c r="AF117" s="1" t="s">
        <v>811</v>
      </c>
      <c r="AG117" s="1" t="s">
        <v>812</v>
      </c>
      <c r="AH117" s="1" t="s">
        <v>900</v>
      </c>
      <c r="AI117" s="1" t="s">
        <v>362</v>
      </c>
      <c r="AJ117" s="1" t="s">
        <v>1105</v>
      </c>
      <c r="AK117" s="1" t="s">
        <v>1129</v>
      </c>
      <c r="AL117" s="1" t="s">
        <v>315</v>
      </c>
      <c r="AM117">
        <v>0.21621621621621701</v>
      </c>
      <c r="AN117">
        <v>0.108108108108107</v>
      </c>
      <c r="AO117" t="s">
        <v>315</v>
      </c>
      <c r="AP117">
        <v>5</v>
      </c>
      <c r="AQ117">
        <v>0.27027027027027101</v>
      </c>
      <c r="AR117">
        <v>0.108108108108107</v>
      </c>
      <c r="AS117" t="s">
        <v>315</v>
      </c>
      <c r="AT117">
        <v>5</v>
      </c>
      <c r="AU117" s="1" t="s">
        <v>1127</v>
      </c>
    </row>
    <row r="118" spans="1:47" customFormat="1">
      <c r="A118" s="1">
        <v>31</v>
      </c>
      <c r="B118" s="12">
        <v>4</v>
      </c>
      <c r="C118" t="s">
        <v>159</v>
      </c>
      <c r="D118" t="s">
        <v>160</v>
      </c>
      <c r="E118" t="s">
        <v>161</v>
      </c>
      <c r="F118">
        <v>2000</v>
      </c>
      <c r="G118" t="s">
        <v>562</v>
      </c>
      <c r="H118" t="s">
        <v>563</v>
      </c>
      <c r="I118">
        <v>48.816667000000002</v>
      </c>
      <c r="J118">
        <v>-125.183333</v>
      </c>
      <c r="K118" t="s">
        <v>367</v>
      </c>
      <c r="L118" t="s">
        <v>564</v>
      </c>
      <c r="M118" s="1" t="s">
        <v>574</v>
      </c>
      <c r="N118" s="1" t="s">
        <v>291</v>
      </c>
      <c r="O118" s="1" t="s">
        <v>791</v>
      </c>
      <c r="P118" t="s">
        <v>338</v>
      </c>
      <c r="Q118" s="1" t="s">
        <v>871</v>
      </c>
      <c r="R118" s="1" t="s">
        <v>872</v>
      </c>
      <c r="S118" s="1" t="s">
        <v>335</v>
      </c>
      <c r="T118" s="1" t="s">
        <v>578</v>
      </c>
      <c r="U118">
        <v>1995</v>
      </c>
      <c r="V118" s="1" t="s">
        <v>295</v>
      </c>
      <c r="W118" s="1" t="s">
        <v>873</v>
      </c>
      <c r="X118" s="1" t="s">
        <v>661</v>
      </c>
      <c r="Y118" s="1" t="s">
        <v>874</v>
      </c>
      <c r="Z118" s="1" t="s">
        <v>875</v>
      </c>
      <c r="AA118" s="1" t="s">
        <v>876</v>
      </c>
      <c r="AB118" s="1" t="s">
        <v>295</v>
      </c>
      <c r="AC118" s="1" t="s">
        <v>813</v>
      </c>
      <c r="AD118" s="1" t="s">
        <v>618</v>
      </c>
      <c r="AE118" s="1" t="s">
        <v>348</v>
      </c>
      <c r="AF118" s="1" t="s">
        <v>811</v>
      </c>
      <c r="AG118" s="1" t="s">
        <v>812</v>
      </c>
      <c r="AH118" s="1" t="s">
        <v>900</v>
      </c>
      <c r="AI118" s="1" t="s">
        <v>362</v>
      </c>
      <c r="AJ118" s="1" t="s">
        <v>1105</v>
      </c>
      <c r="AK118" s="1" t="s">
        <v>1129</v>
      </c>
      <c r="AL118" s="1" t="s">
        <v>315</v>
      </c>
      <c r="AM118">
        <v>0.59459459459459596</v>
      </c>
      <c r="AN118">
        <v>5.4054054054053058E-2</v>
      </c>
      <c r="AO118" t="s">
        <v>315</v>
      </c>
      <c r="AP118">
        <v>5</v>
      </c>
      <c r="AQ118">
        <v>0.64864864864864902</v>
      </c>
      <c r="AR118">
        <v>0.108108108108107</v>
      </c>
      <c r="AS118" t="s">
        <v>315</v>
      </c>
      <c r="AT118">
        <v>5</v>
      </c>
      <c r="AU118" s="1" t="s">
        <v>1128</v>
      </c>
    </row>
    <row r="119" spans="1:47" customFormat="1">
      <c r="A119" s="1">
        <v>31</v>
      </c>
      <c r="B119" s="12">
        <v>5</v>
      </c>
      <c r="C119" t="s">
        <v>159</v>
      </c>
      <c r="D119" t="s">
        <v>160</v>
      </c>
      <c r="E119" t="s">
        <v>161</v>
      </c>
      <c r="F119">
        <v>2000</v>
      </c>
      <c r="G119" t="s">
        <v>559</v>
      </c>
      <c r="H119" t="s">
        <v>560</v>
      </c>
      <c r="I119">
        <v>48.851815999999999</v>
      </c>
      <c r="J119">
        <v>-125.11761</v>
      </c>
      <c r="K119" t="s">
        <v>367</v>
      </c>
      <c r="L119" t="s">
        <v>561</v>
      </c>
      <c r="M119" s="1" t="s">
        <v>574</v>
      </c>
      <c r="N119" s="1" t="s">
        <v>291</v>
      </c>
      <c r="O119" s="1" t="s">
        <v>791</v>
      </c>
      <c r="P119" t="s">
        <v>338</v>
      </c>
      <c r="Q119" s="1" t="s">
        <v>871</v>
      </c>
      <c r="R119" s="1" t="s">
        <v>577</v>
      </c>
      <c r="S119" s="1" t="s">
        <v>335</v>
      </c>
      <c r="T119" s="1" t="s">
        <v>578</v>
      </c>
      <c r="U119">
        <v>1995</v>
      </c>
      <c r="V119" s="1" t="s">
        <v>295</v>
      </c>
      <c r="W119" s="1" t="s">
        <v>873</v>
      </c>
      <c r="X119" s="1" t="s">
        <v>661</v>
      </c>
      <c r="Y119" s="1" t="s">
        <v>874</v>
      </c>
      <c r="Z119" s="1" t="s">
        <v>875</v>
      </c>
      <c r="AA119" s="1" t="s">
        <v>876</v>
      </c>
      <c r="AB119" s="1" t="s">
        <v>295</v>
      </c>
      <c r="AC119" s="1" t="s">
        <v>813</v>
      </c>
      <c r="AD119" s="1" t="s">
        <v>618</v>
      </c>
      <c r="AE119" s="1" t="s">
        <v>348</v>
      </c>
      <c r="AF119" s="1" t="s">
        <v>811</v>
      </c>
      <c r="AG119" s="1" t="s">
        <v>812</v>
      </c>
      <c r="AH119" s="1" t="s">
        <v>939</v>
      </c>
      <c r="AI119" s="1" t="s">
        <v>362</v>
      </c>
      <c r="AJ119" s="1" t="s">
        <v>1105</v>
      </c>
      <c r="AK119" s="1" t="s">
        <v>1130</v>
      </c>
      <c r="AL119" s="1" t="s">
        <v>315</v>
      </c>
      <c r="AM119">
        <v>0.80536912751678102</v>
      </c>
      <c r="AN119">
        <v>0.10738255033556898</v>
      </c>
      <c r="AO119" t="s">
        <v>315</v>
      </c>
      <c r="AP119">
        <v>5</v>
      </c>
      <c r="AQ119">
        <v>1.0738255033557</v>
      </c>
      <c r="AR119">
        <v>0.10738255033556987</v>
      </c>
      <c r="AS119" t="s">
        <v>315</v>
      </c>
      <c r="AT119">
        <v>5</v>
      </c>
      <c r="AU119" s="1" t="s">
        <v>1127</v>
      </c>
    </row>
    <row r="120" spans="1:47" customFormat="1">
      <c r="A120" s="1">
        <v>31</v>
      </c>
      <c r="B120" s="12">
        <v>6</v>
      </c>
      <c r="C120" t="s">
        <v>159</v>
      </c>
      <c r="D120" t="s">
        <v>160</v>
      </c>
      <c r="E120" t="s">
        <v>161</v>
      </c>
      <c r="F120">
        <v>2000</v>
      </c>
      <c r="G120" t="s">
        <v>562</v>
      </c>
      <c r="H120" t="s">
        <v>563</v>
      </c>
      <c r="I120">
        <v>48.816667000000002</v>
      </c>
      <c r="J120">
        <v>-125.183333</v>
      </c>
      <c r="K120" t="s">
        <v>367</v>
      </c>
      <c r="L120" t="s">
        <v>564</v>
      </c>
      <c r="M120" s="1" t="s">
        <v>574</v>
      </c>
      <c r="N120" s="1" t="s">
        <v>291</v>
      </c>
      <c r="O120" s="1" t="s">
        <v>791</v>
      </c>
      <c r="P120" t="s">
        <v>338</v>
      </c>
      <c r="Q120" s="1" t="s">
        <v>871</v>
      </c>
      <c r="R120" s="1" t="s">
        <v>872</v>
      </c>
      <c r="S120" s="1" t="s">
        <v>335</v>
      </c>
      <c r="T120" s="1" t="s">
        <v>578</v>
      </c>
      <c r="U120">
        <v>1995</v>
      </c>
      <c r="V120" s="1" t="s">
        <v>295</v>
      </c>
      <c r="W120" s="1" t="s">
        <v>873</v>
      </c>
      <c r="X120" s="1" t="s">
        <v>661</v>
      </c>
      <c r="Y120" s="1" t="s">
        <v>874</v>
      </c>
      <c r="Z120" s="1" t="s">
        <v>875</v>
      </c>
      <c r="AA120" s="1" t="s">
        <v>876</v>
      </c>
      <c r="AB120" s="1" t="s">
        <v>295</v>
      </c>
      <c r="AC120" s="1" t="s">
        <v>813</v>
      </c>
      <c r="AD120" s="1" t="s">
        <v>618</v>
      </c>
      <c r="AE120" s="1" t="s">
        <v>348</v>
      </c>
      <c r="AF120" s="1" t="s">
        <v>811</v>
      </c>
      <c r="AG120" s="1" t="s">
        <v>812</v>
      </c>
      <c r="AH120" s="1" t="s">
        <v>939</v>
      </c>
      <c r="AI120" s="1" t="s">
        <v>362</v>
      </c>
      <c r="AJ120" s="1" t="s">
        <v>1105</v>
      </c>
      <c r="AK120" s="1" t="s">
        <v>1130</v>
      </c>
      <c r="AL120" s="1" t="s">
        <v>315</v>
      </c>
      <c r="AM120">
        <v>3.5973154362416002</v>
      </c>
      <c r="AN120">
        <v>0.21476510067114996</v>
      </c>
      <c r="AO120" t="s">
        <v>315</v>
      </c>
      <c r="AP120">
        <v>5</v>
      </c>
      <c r="AQ120">
        <v>4.6711409395973096</v>
      </c>
      <c r="AR120">
        <v>0.16107382550335014</v>
      </c>
      <c r="AS120" t="s">
        <v>315</v>
      </c>
      <c r="AT120">
        <v>5</v>
      </c>
      <c r="AU120" s="1" t="s">
        <v>1128</v>
      </c>
    </row>
    <row r="121" spans="1:47">
      <c r="A121" s="1">
        <v>32</v>
      </c>
      <c r="B121" s="1">
        <v>1</v>
      </c>
      <c r="C121" s="1" t="s">
        <v>166</v>
      </c>
      <c r="D121" s="1" t="s">
        <v>167</v>
      </c>
      <c r="E121" s="1" t="s">
        <v>168</v>
      </c>
      <c r="F121" s="1">
        <v>1999</v>
      </c>
      <c r="G121" s="1" t="s">
        <v>495</v>
      </c>
      <c r="H121" s="1" t="s">
        <v>496</v>
      </c>
      <c r="I121" s="1">
        <v>47.046931000000001</v>
      </c>
      <c r="J121" s="1">
        <v>-2.1396820000000001</v>
      </c>
      <c r="K121" s="1" t="s">
        <v>328</v>
      </c>
      <c r="L121" s="1" t="s">
        <v>374</v>
      </c>
      <c r="M121" s="1" t="s">
        <v>652</v>
      </c>
      <c r="N121" s="1" t="s">
        <v>575</v>
      </c>
      <c r="O121" s="1" t="s">
        <v>791</v>
      </c>
      <c r="P121" s="1" t="s">
        <v>338</v>
      </c>
      <c r="Q121" s="1" t="s">
        <v>819</v>
      </c>
      <c r="R121" s="1" t="s">
        <v>315</v>
      </c>
      <c r="S121" s="1" t="s">
        <v>335</v>
      </c>
      <c r="T121" s="1" t="s">
        <v>315</v>
      </c>
      <c r="U121" s="1" t="s">
        <v>315</v>
      </c>
      <c r="V121" s="1" t="s">
        <v>295</v>
      </c>
      <c r="W121" s="1" t="s">
        <v>674</v>
      </c>
      <c r="X121" s="1" t="s">
        <v>580</v>
      </c>
      <c r="Y121" s="1" t="s">
        <v>581</v>
      </c>
      <c r="Z121" s="1" t="s">
        <v>672</v>
      </c>
      <c r="AA121" s="1" t="s">
        <v>673</v>
      </c>
      <c r="AB121" s="1" t="s">
        <v>295</v>
      </c>
      <c r="AC121" s="1" t="s">
        <v>848</v>
      </c>
      <c r="AD121" s="1" t="s">
        <v>347</v>
      </c>
      <c r="AE121" s="1" t="s">
        <v>348</v>
      </c>
      <c r="AF121" s="1" t="s">
        <v>833</v>
      </c>
      <c r="AG121" s="1" t="s">
        <v>842</v>
      </c>
      <c r="AH121" s="1" t="s">
        <v>798</v>
      </c>
      <c r="AI121" s="1" t="s">
        <v>362</v>
      </c>
      <c r="AJ121" s="1" t="s">
        <v>856</v>
      </c>
      <c r="AK121" s="1" t="s">
        <v>658</v>
      </c>
      <c r="AL121" s="1" t="s">
        <v>315</v>
      </c>
      <c r="AM121" s="1">
        <v>2108.1081081081002</v>
      </c>
      <c r="AN121">
        <v>726.2364405221582</v>
      </c>
      <c r="AO121" t="s">
        <v>315</v>
      </c>
      <c r="AP121" s="1">
        <v>4</v>
      </c>
      <c r="AQ121" s="1">
        <v>1765.7657657657601</v>
      </c>
      <c r="AR121">
        <v>151.68229453943869</v>
      </c>
      <c r="AS121" s="1" t="s">
        <v>315</v>
      </c>
      <c r="AT121" s="1">
        <v>4</v>
      </c>
      <c r="AU121" s="1" t="s">
        <v>865</v>
      </c>
    </row>
    <row r="122" spans="1:47">
      <c r="A122" s="1">
        <v>32</v>
      </c>
      <c r="B122" s="1">
        <v>2</v>
      </c>
      <c r="C122" s="1" t="s">
        <v>166</v>
      </c>
      <c r="D122" s="1" t="s">
        <v>167</v>
      </c>
      <c r="E122" s="1" t="s">
        <v>168</v>
      </c>
      <c r="F122" s="1">
        <v>1999</v>
      </c>
      <c r="G122" s="1" t="s">
        <v>495</v>
      </c>
      <c r="H122" s="1" t="s">
        <v>496</v>
      </c>
      <c r="I122" s="1">
        <v>47.046931000000001</v>
      </c>
      <c r="J122" s="1">
        <v>-2.1396820000000001</v>
      </c>
      <c r="K122" s="1" t="s">
        <v>328</v>
      </c>
      <c r="L122" s="1" t="s">
        <v>374</v>
      </c>
      <c r="M122" s="1" t="s">
        <v>652</v>
      </c>
      <c r="N122" s="1" t="s">
        <v>575</v>
      </c>
      <c r="O122" s="1" t="s">
        <v>791</v>
      </c>
      <c r="P122" s="1" t="s">
        <v>338</v>
      </c>
      <c r="Q122" s="1" t="s">
        <v>819</v>
      </c>
      <c r="R122" s="1" t="s">
        <v>315</v>
      </c>
      <c r="S122" s="1" t="s">
        <v>335</v>
      </c>
      <c r="T122" s="1" t="s">
        <v>315</v>
      </c>
      <c r="U122" s="1" t="s">
        <v>315</v>
      </c>
      <c r="V122" s="1" t="s">
        <v>295</v>
      </c>
      <c r="W122" s="1" t="s">
        <v>674</v>
      </c>
      <c r="X122" s="1" t="s">
        <v>580</v>
      </c>
      <c r="Y122" s="1" t="s">
        <v>581</v>
      </c>
      <c r="Z122" s="1" t="s">
        <v>672</v>
      </c>
      <c r="AA122" s="1" t="s">
        <v>673</v>
      </c>
      <c r="AB122" s="1" t="s">
        <v>295</v>
      </c>
      <c r="AC122" s="1" t="s">
        <v>848</v>
      </c>
      <c r="AD122" s="1" t="s">
        <v>347</v>
      </c>
      <c r="AE122" s="1" t="s">
        <v>348</v>
      </c>
      <c r="AF122" s="1" t="s">
        <v>833</v>
      </c>
      <c r="AG122" s="1" t="s">
        <v>842</v>
      </c>
      <c r="AH122" s="1" t="s">
        <v>798</v>
      </c>
      <c r="AI122" s="1" t="s">
        <v>362</v>
      </c>
      <c r="AJ122" s="1" t="s">
        <v>855</v>
      </c>
      <c r="AK122" s="1" t="s">
        <v>658</v>
      </c>
      <c r="AL122" s="1" t="s">
        <v>315</v>
      </c>
      <c r="AM122" s="1">
        <v>1513.5135135135099</v>
      </c>
      <c r="AN122">
        <v>358.5217870932143</v>
      </c>
      <c r="AO122" t="s">
        <v>315</v>
      </c>
      <c r="AP122" s="1">
        <v>4</v>
      </c>
      <c r="AQ122" s="1">
        <v>1765.7657657657601</v>
      </c>
      <c r="AR122">
        <v>151.68229453943869</v>
      </c>
      <c r="AS122" s="1" t="s">
        <v>315</v>
      </c>
      <c r="AT122" s="1">
        <v>4</v>
      </c>
      <c r="AU122" s="1" t="s">
        <v>865</v>
      </c>
    </row>
    <row r="123" spans="1:47">
      <c r="A123" s="1">
        <v>32</v>
      </c>
      <c r="B123" s="1">
        <v>3</v>
      </c>
      <c r="C123" s="1" t="s">
        <v>166</v>
      </c>
      <c r="D123" s="1" t="s">
        <v>167</v>
      </c>
      <c r="E123" s="1" t="s">
        <v>168</v>
      </c>
      <c r="F123" s="1">
        <v>1999</v>
      </c>
      <c r="G123" s="1" t="s">
        <v>495</v>
      </c>
      <c r="H123" s="1" t="s">
        <v>496</v>
      </c>
      <c r="I123" s="1">
        <v>47.046931000000001</v>
      </c>
      <c r="J123" s="1">
        <v>-2.1396820000000001</v>
      </c>
      <c r="K123" s="1" t="s">
        <v>328</v>
      </c>
      <c r="L123" s="1" t="s">
        <v>374</v>
      </c>
      <c r="M123" s="1" t="s">
        <v>652</v>
      </c>
      <c r="N123" s="1" t="s">
        <v>575</v>
      </c>
      <c r="O123" s="1" t="s">
        <v>791</v>
      </c>
      <c r="P123" s="1" t="s">
        <v>338</v>
      </c>
      <c r="Q123" s="1" t="s">
        <v>819</v>
      </c>
      <c r="R123" s="1" t="s">
        <v>315</v>
      </c>
      <c r="S123" s="1" t="s">
        <v>335</v>
      </c>
      <c r="T123" s="1" t="s">
        <v>315</v>
      </c>
      <c r="U123" s="1" t="s">
        <v>315</v>
      </c>
      <c r="V123" s="1" t="s">
        <v>295</v>
      </c>
      <c r="W123" s="1" t="s">
        <v>674</v>
      </c>
      <c r="X123" s="1" t="s">
        <v>580</v>
      </c>
      <c r="Y123" s="1" t="s">
        <v>581</v>
      </c>
      <c r="Z123" s="1" t="s">
        <v>672</v>
      </c>
      <c r="AA123" s="1" t="s">
        <v>673</v>
      </c>
      <c r="AB123" s="1" t="s">
        <v>295</v>
      </c>
      <c r="AC123" s="1" t="s">
        <v>850</v>
      </c>
      <c r="AD123" s="1" t="s">
        <v>347</v>
      </c>
      <c r="AE123" s="1" t="s">
        <v>348</v>
      </c>
      <c r="AF123" s="1" t="s">
        <v>834</v>
      </c>
      <c r="AG123" s="1" t="s">
        <v>835</v>
      </c>
      <c r="AH123" s="1" t="s">
        <v>798</v>
      </c>
      <c r="AI123" s="1" t="s">
        <v>362</v>
      </c>
      <c r="AJ123" s="1" t="s">
        <v>856</v>
      </c>
      <c r="AK123" s="1" t="s">
        <v>658</v>
      </c>
      <c r="AL123" s="1" t="s">
        <v>315</v>
      </c>
      <c r="AM123">
        <v>182.584269662921</v>
      </c>
      <c r="AN123">
        <v>23.217152029351023</v>
      </c>
      <c r="AO123" t="s">
        <v>315</v>
      </c>
      <c r="AP123" s="1">
        <v>4</v>
      </c>
      <c r="AQ123">
        <v>164.60674157303299</v>
      </c>
      <c r="AR123">
        <v>19.777573950928577</v>
      </c>
      <c r="AS123" t="s">
        <v>315</v>
      </c>
      <c r="AT123" s="1">
        <v>4</v>
      </c>
      <c r="AU123" s="1" t="s">
        <v>865</v>
      </c>
    </row>
    <row r="124" spans="1:47">
      <c r="A124" s="1">
        <v>32</v>
      </c>
      <c r="B124" s="1">
        <v>4</v>
      </c>
      <c r="C124" s="1" t="s">
        <v>166</v>
      </c>
      <c r="D124" s="1" t="s">
        <v>167</v>
      </c>
      <c r="E124" s="1" t="s">
        <v>168</v>
      </c>
      <c r="F124" s="1">
        <v>1999</v>
      </c>
      <c r="G124" s="1" t="s">
        <v>495</v>
      </c>
      <c r="H124" s="1" t="s">
        <v>496</v>
      </c>
      <c r="I124" s="1">
        <v>47.046931000000001</v>
      </c>
      <c r="J124" s="1">
        <v>-2.1396820000000001</v>
      </c>
      <c r="K124" s="1" t="s">
        <v>328</v>
      </c>
      <c r="L124" s="1" t="s">
        <v>374</v>
      </c>
      <c r="M124" s="1" t="s">
        <v>652</v>
      </c>
      <c r="N124" s="1" t="s">
        <v>575</v>
      </c>
      <c r="O124" s="1" t="s">
        <v>791</v>
      </c>
      <c r="P124" s="1" t="s">
        <v>338</v>
      </c>
      <c r="Q124" s="1" t="s">
        <v>819</v>
      </c>
      <c r="R124" s="1" t="s">
        <v>315</v>
      </c>
      <c r="S124" s="1" t="s">
        <v>335</v>
      </c>
      <c r="T124" s="1" t="s">
        <v>315</v>
      </c>
      <c r="U124" s="1" t="s">
        <v>315</v>
      </c>
      <c r="V124" s="1" t="s">
        <v>295</v>
      </c>
      <c r="W124" s="1" t="s">
        <v>674</v>
      </c>
      <c r="X124" s="1" t="s">
        <v>580</v>
      </c>
      <c r="Y124" s="1" t="s">
        <v>581</v>
      </c>
      <c r="Z124" s="1" t="s">
        <v>672</v>
      </c>
      <c r="AA124" s="1" t="s">
        <v>673</v>
      </c>
      <c r="AB124" s="1" t="s">
        <v>295</v>
      </c>
      <c r="AC124" s="1" t="s">
        <v>850</v>
      </c>
      <c r="AD124" s="1" t="s">
        <v>347</v>
      </c>
      <c r="AE124" s="1" t="s">
        <v>348</v>
      </c>
      <c r="AF124" s="1" t="s">
        <v>834</v>
      </c>
      <c r="AG124" s="1" t="s">
        <v>835</v>
      </c>
      <c r="AH124" s="1" t="s">
        <v>798</v>
      </c>
      <c r="AI124" s="1" t="s">
        <v>362</v>
      </c>
      <c r="AJ124" s="1" t="s">
        <v>855</v>
      </c>
      <c r="AK124" s="1" t="s">
        <v>658</v>
      </c>
      <c r="AL124" s="1" t="s">
        <v>315</v>
      </c>
      <c r="AM124">
        <v>185.955056179775</v>
      </c>
      <c r="AN124">
        <v>18.917679431322959</v>
      </c>
      <c r="AO124" t="s">
        <v>315</v>
      </c>
      <c r="AP124" s="1">
        <v>4</v>
      </c>
      <c r="AQ124">
        <v>164.60674157303299</v>
      </c>
      <c r="AR124">
        <v>19.777573950928577</v>
      </c>
      <c r="AS124" t="s">
        <v>315</v>
      </c>
      <c r="AT124" s="1">
        <v>4</v>
      </c>
      <c r="AU124" s="1" t="s">
        <v>865</v>
      </c>
    </row>
    <row r="125" spans="1:47">
      <c r="A125" s="1">
        <v>32</v>
      </c>
      <c r="B125" s="1">
        <v>5</v>
      </c>
      <c r="C125" s="1" t="s">
        <v>166</v>
      </c>
      <c r="D125" s="1" t="s">
        <v>167</v>
      </c>
      <c r="E125" s="1" t="s">
        <v>168</v>
      </c>
      <c r="F125" s="1">
        <v>1999</v>
      </c>
      <c r="G125" s="1" t="s">
        <v>495</v>
      </c>
      <c r="H125" s="1" t="s">
        <v>496</v>
      </c>
      <c r="I125" s="1">
        <v>47.046931000000001</v>
      </c>
      <c r="J125" s="1">
        <v>-2.1396820000000001</v>
      </c>
      <c r="K125" s="1" t="s">
        <v>328</v>
      </c>
      <c r="L125" s="1" t="s">
        <v>374</v>
      </c>
      <c r="M125" s="1" t="s">
        <v>652</v>
      </c>
      <c r="N125" s="1" t="s">
        <v>575</v>
      </c>
      <c r="O125" s="1" t="s">
        <v>791</v>
      </c>
      <c r="P125" s="1" t="s">
        <v>338</v>
      </c>
      <c r="Q125" s="1" t="s">
        <v>819</v>
      </c>
      <c r="R125" s="1" t="s">
        <v>315</v>
      </c>
      <c r="S125" s="1" t="s">
        <v>335</v>
      </c>
      <c r="T125" s="1" t="s">
        <v>315</v>
      </c>
      <c r="U125" s="1" t="s">
        <v>315</v>
      </c>
      <c r="V125" s="1" t="s">
        <v>295</v>
      </c>
      <c r="W125" s="1" t="s">
        <v>674</v>
      </c>
      <c r="X125" s="1" t="s">
        <v>580</v>
      </c>
      <c r="Y125" s="1" t="s">
        <v>581</v>
      </c>
      <c r="Z125" s="1" t="s">
        <v>672</v>
      </c>
      <c r="AA125" s="1" t="s">
        <v>673</v>
      </c>
      <c r="AB125" s="1" t="s">
        <v>295</v>
      </c>
      <c r="AC125" s="1" t="s">
        <v>849</v>
      </c>
      <c r="AD125" s="1" t="s">
        <v>347</v>
      </c>
      <c r="AE125" s="1" t="s">
        <v>348</v>
      </c>
      <c r="AF125" s="1" t="s">
        <v>836</v>
      </c>
      <c r="AG125" s="1" t="s">
        <v>837</v>
      </c>
      <c r="AH125" s="1" t="s">
        <v>798</v>
      </c>
      <c r="AI125" s="1" t="s">
        <v>362</v>
      </c>
      <c r="AJ125" s="1" t="s">
        <v>856</v>
      </c>
      <c r="AK125" s="1" t="s">
        <v>658</v>
      </c>
      <c r="AL125" s="1" t="s">
        <v>315</v>
      </c>
      <c r="AM125">
        <v>157.71513353115699</v>
      </c>
      <c r="AN125">
        <v>18.394598195361226</v>
      </c>
      <c r="AO125" t="s">
        <v>315</v>
      </c>
      <c r="AP125" s="1">
        <v>4</v>
      </c>
      <c r="AQ125">
        <v>3.2640949554895902</v>
      </c>
      <c r="AR125">
        <v>0.68128141464301517</v>
      </c>
      <c r="AS125" t="s">
        <v>315</v>
      </c>
      <c r="AT125" s="1">
        <v>4</v>
      </c>
      <c r="AU125" s="1" t="s">
        <v>865</v>
      </c>
    </row>
    <row r="126" spans="1:47">
      <c r="A126" s="1">
        <v>32</v>
      </c>
      <c r="B126" s="1">
        <v>6</v>
      </c>
      <c r="C126" s="1" t="s">
        <v>166</v>
      </c>
      <c r="D126" s="1" t="s">
        <v>167</v>
      </c>
      <c r="E126" s="1" t="s">
        <v>168</v>
      </c>
      <c r="F126" s="1">
        <v>1999</v>
      </c>
      <c r="G126" s="1" t="s">
        <v>495</v>
      </c>
      <c r="H126" s="1" t="s">
        <v>496</v>
      </c>
      <c r="I126" s="1">
        <v>47.046931000000001</v>
      </c>
      <c r="J126" s="1">
        <v>-2.1396820000000001</v>
      </c>
      <c r="K126" s="1" t="s">
        <v>328</v>
      </c>
      <c r="L126" s="1" t="s">
        <v>374</v>
      </c>
      <c r="M126" s="1" t="s">
        <v>652</v>
      </c>
      <c r="N126" s="1" t="s">
        <v>575</v>
      </c>
      <c r="O126" s="1" t="s">
        <v>791</v>
      </c>
      <c r="P126" s="1" t="s">
        <v>338</v>
      </c>
      <c r="Q126" s="1" t="s">
        <v>819</v>
      </c>
      <c r="R126" s="1" t="s">
        <v>315</v>
      </c>
      <c r="S126" s="1" t="s">
        <v>335</v>
      </c>
      <c r="T126" s="1" t="s">
        <v>315</v>
      </c>
      <c r="U126" s="1" t="s">
        <v>315</v>
      </c>
      <c r="V126" s="1" t="s">
        <v>295</v>
      </c>
      <c r="W126" s="1" t="s">
        <v>674</v>
      </c>
      <c r="X126" s="1" t="s">
        <v>580</v>
      </c>
      <c r="Y126" s="1" t="s">
        <v>581</v>
      </c>
      <c r="Z126" s="1" t="s">
        <v>672</v>
      </c>
      <c r="AA126" s="1" t="s">
        <v>673</v>
      </c>
      <c r="AB126" s="1" t="s">
        <v>295</v>
      </c>
      <c r="AC126" s="1" t="s">
        <v>849</v>
      </c>
      <c r="AD126" s="1" t="s">
        <v>347</v>
      </c>
      <c r="AE126" s="1" t="s">
        <v>348</v>
      </c>
      <c r="AF126" s="1" t="s">
        <v>836</v>
      </c>
      <c r="AG126" s="1" t="s">
        <v>837</v>
      </c>
      <c r="AH126" s="1" t="s">
        <v>798</v>
      </c>
      <c r="AI126" s="1" t="s">
        <v>362</v>
      </c>
      <c r="AJ126" s="1" t="s">
        <v>855</v>
      </c>
      <c r="AK126" s="1" t="s">
        <v>658</v>
      </c>
      <c r="AL126" s="1" t="s">
        <v>315</v>
      </c>
      <c r="AM126">
        <v>86.943620178041499</v>
      </c>
      <c r="AN126">
        <v>13.171440683097709</v>
      </c>
      <c r="AO126" t="s">
        <v>315</v>
      </c>
      <c r="AP126" s="1">
        <v>4</v>
      </c>
      <c r="AQ126">
        <v>3.2640949554895902</v>
      </c>
      <c r="AR126">
        <v>0.68128141464301517</v>
      </c>
      <c r="AS126" t="s">
        <v>315</v>
      </c>
      <c r="AT126" s="1">
        <v>4</v>
      </c>
      <c r="AU126" s="1" t="s">
        <v>865</v>
      </c>
    </row>
    <row r="127" spans="1:47">
      <c r="A127" s="1">
        <v>32</v>
      </c>
      <c r="B127" s="1">
        <v>7</v>
      </c>
      <c r="C127" s="1" t="s">
        <v>166</v>
      </c>
      <c r="D127" s="1" t="s">
        <v>167</v>
      </c>
      <c r="E127" s="1" t="s">
        <v>168</v>
      </c>
      <c r="F127" s="1">
        <v>1999</v>
      </c>
      <c r="G127" s="1" t="s">
        <v>495</v>
      </c>
      <c r="H127" s="1" t="s">
        <v>496</v>
      </c>
      <c r="I127" s="1">
        <v>47.046931000000001</v>
      </c>
      <c r="J127" s="1">
        <v>-2.1396820000000001</v>
      </c>
      <c r="K127" s="1" t="s">
        <v>328</v>
      </c>
      <c r="L127" s="1" t="s">
        <v>374</v>
      </c>
      <c r="M127" s="1" t="s">
        <v>652</v>
      </c>
      <c r="N127" s="1" t="s">
        <v>575</v>
      </c>
      <c r="O127" s="1" t="s">
        <v>791</v>
      </c>
      <c r="P127" s="1" t="s">
        <v>338</v>
      </c>
      <c r="Q127" s="1" t="s">
        <v>819</v>
      </c>
      <c r="R127" s="1" t="s">
        <v>315</v>
      </c>
      <c r="S127" s="1" t="s">
        <v>335</v>
      </c>
      <c r="T127" s="1" t="s">
        <v>315</v>
      </c>
      <c r="U127" s="1" t="s">
        <v>315</v>
      </c>
      <c r="V127" s="1" t="s">
        <v>295</v>
      </c>
      <c r="W127" s="1" t="s">
        <v>674</v>
      </c>
      <c r="X127" s="1" t="s">
        <v>580</v>
      </c>
      <c r="Y127" s="1" t="s">
        <v>581</v>
      </c>
      <c r="Z127" s="1" t="s">
        <v>672</v>
      </c>
      <c r="AA127" s="1" t="s">
        <v>673</v>
      </c>
      <c r="AB127" s="1" t="s">
        <v>295</v>
      </c>
      <c r="AC127" s="1" t="s">
        <v>851</v>
      </c>
      <c r="AD127" s="1" t="s">
        <v>347</v>
      </c>
      <c r="AE127" s="1" t="s">
        <v>348</v>
      </c>
      <c r="AF127" s="1" t="s">
        <v>838</v>
      </c>
      <c r="AG127" s="1" t="s">
        <v>839</v>
      </c>
      <c r="AH127" s="1" t="s">
        <v>798</v>
      </c>
      <c r="AI127" s="1" t="s">
        <v>362</v>
      </c>
      <c r="AJ127" s="1" t="s">
        <v>856</v>
      </c>
      <c r="AK127" s="1" t="s">
        <v>658</v>
      </c>
      <c r="AL127" s="1" t="s">
        <v>315</v>
      </c>
      <c r="AM127">
        <v>752.10084033613396</v>
      </c>
      <c r="AN127">
        <v>87.892299777053623</v>
      </c>
      <c r="AO127" t="s">
        <v>315</v>
      </c>
      <c r="AP127" s="1">
        <v>4</v>
      </c>
      <c r="AQ127">
        <v>659.66386554621795</v>
      </c>
      <c r="AR127">
        <v>47.161721831589801</v>
      </c>
      <c r="AS127" t="s">
        <v>315</v>
      </c>
      <c r="AT127" s="1">
        <v>4</v>
      </c>
      <c r="AU127" s="1" t="s">
        <v>865</v>
      </c>
    </row>
    <row r="128" spans="1:47">
      <c r="A128" s="1">
        <v>32</v>
      </c>
      <c r="B128" s="1">
        <v>8</v>
      </c>
      <c r="C128" s="1" t="s">
        <v>166</v>
      </c>
      <c r="D128" s="1" t="s">
        <v>167</v>
      </c>
      <c r="E128" s="1" t="s">
        <v>168</v>
      </c>
      <c r="F128" s="1">
        <v>1999</v>
      </c>
      <c r="G128" s="1" t="s">
        <v>495</v>
      </c>
      <c r="H128" s="1" t="s">
        <v>496</v>
      </c>
      <c r="I128" s="1">
        <v>47.046931000000001</v>
      </c>
      <c r="J128" s="1">
        <v>-2.1396820000000001</v>
      </c>
      <c r="K128" s="1" t="s">
        <v>328</v>
      </c>
      <c r="L128" s="1" t="s">
        <v>374</v>
      </c>
      <c r="M128" s="1" t="s">
        <v>652</v>
      </c>
      <c r="N128" s="1" t="s">
        <v>575</v>
      </c>
      <c r="O128" s="1" t="s">
        <v>791</v>
      </c>
      <c r="P128" s="1" t="s">
        <v>338</v>
      </c>
      <c r="Q128" s="1" t="s">
        <v>819</v>
      </c>
      <c r="R128" s="1" t="s">
        <v>315</v>
      </c>
      <c r="S128" s="1" t="s">
        <v>335</v>
      </c>
      <c r="T128" s="1" t="s">
        <v>315</v>
      </c>
      <c r="U128" s="1" t="s">
        <v>315</v>
      </c>
      <c r="V128" s="1" t="s">
        <v>295</v>
      </c>
      <c r="W128" s="1" t="s">
        <v>674</v>
      </c>
      <c r="X128" s="1" t="s">
        <v>580</v>
      </c>
      <c r="Y128" s="1" t="s">
        <v>581</v>
      </c>
      <c r="Z128" s="1" t="s">
        <v>672</v>
      </c>
      <c r="AA128" s="1" t="s">
        <v>673</v>
      </c>
      <c r="AB128" s="1" t="s">
        <v>295</v>
      </c>
      <c r="AC128" s="1" t="s">
        <v>851</v>
      </c>
      <c r="AD128" s="1" t="s">
        <v>347</v>
      </c>
      <c r="AE128" s="1" t="s">
        <v>348</v>
      </c>
      <c r="AF128" s="1" t="s">
        <v>838</v>
      </c>
      <c r="AG128" s="1" t="s">
        <v>839</v>
      </c>
      <c r="AH128" s="1" t="s">
        <v>798</v>
      </c>
      <c r="AI128" s="1" t="s">
        <v>362</v>
      </c>
      <c r="AJ128" s="1" t="s">
        <v>855</v>
      </c>
      <c r="AK128" s="1" t="s">
        <v>658</v>
      </c>
      <c r="AL128" s="1" t="s">
        <v>315</v>
      </c>
      <c r="AM128">
        <v>693.27731092436898</v>
      </c>
      <c r="AN128">
        <v>60.024009603841876</v>
      </c>
      <c r="AO128" t="s">
        <v>315</v>
      </c>
      <c r="AP128" s="1">
        <v>4</v>
      </c>
      <c r="AQ128">
        <v>659.66386554621795</v>
      </c>
      <c r="AR128">
        <v>47.161721831589801</v>
      </c>
      <c r="AS128" t="s">
        <v>315</v>
      </c>
      <c r="AT128" s="1">
        <v>4</v>
      </c>
      <c r="AU128" s="1" t="s">
        <v>865</v>
      </c>
    </row>
    <row r="129" spans="1:47">
      <c r="A129" s="1">
        <v>32</v>
      </c>
      <c r="B129" s="1">
        <v>9</v>
      </c>
      <c r="C129" s="1" t="s">
        <v>166</v>
      </c>
      <c r="D129" s="1" t="s">
        <v>167</v>
      </c>
      <c r="E129" s="1" t="s">
        <v>168</v>
      </c>
      <c r="F129" s="1">
        <v>1999</v>
      </c>
      <c r="G129" s="1" t="s">
        <v>495</v>
      </c>
      <c r="H129" s="1" t="s">
        <v>496</v>
      </c>
      <c r="I129" s="1">
        <v>47.046931000000001</v>
      </c>
      <c r="J129" s="1">
        <v>-2.1396820000000001</v>
      </c>
      <c r="K129" s="1" t="s">
        <v>328</v>
      </c>
      <c r="L129" s="1" t="s">
        <v>374</v>
      </c>
      <c r="M129" s="1" t="s">
        <v>652</v>
      </c>
      <c r="N129" s="1" t="s">
        <v>575</v>
      </c>
      <c r="O129" s="1" t="s">
        <v>791</v>
      </c>
      <c r="P129" s="1" t="s">
        <v>338</v>
      </c>
      <c r="Q129" s="1" t="s">
        <v>819</v>
      </c>
      <c r="R129" s="1" t="s">
        <v>315</v>
      </c>
      <c r="S129" s="1" t="s">
        <v>335</v>
      </c>
      <c r="T129" s="1" t="s">
        <v>315</v>
      </c>
      <c r="U129" s="1" t="s">
        <v>315</v>
      </c>
      <c r="V129" s="1" t="s">
        <v>295</v>
      </c>
      <c r="W129" s="1" t="s">
        <v>674</v>
      </c>
      <c r="X129" s="1" t="s">
        <v>580</v>
      </c>
      <c r="Y129" s="1" t="s">
        <v>581</v>
      </c>
      <c r="Z129" s="1" t="s">
        <v>672</v>
      </c>
      <c r="AA129" s="1" t="s">
        <v>673</v>
      </c>
      <c r="AB129" s="1" t="s">
        <v>295</v>
      </c>
      <c r="AC129" s="1" t="s">
        <v>851</v>
      </c>
      <c r="AD129" s="1" t="s">
        <v>347</v>
      </c>
      <c r="AE129" s="1" t="s">
        <v>348</v>
      </c>
      <c r="AF129" s="1" t="s">
        <v>838</v>
      </c>
      <c r="AG129" s="1" t="s">
        <v>840</v>
      </c>
      <c r="AH129" s="1" t="s">
        <v>798</v>
      </c>
      <c r="AI129" s="1" t="s">
        <v>362</v>
      </c>
      <c r="AJ129" s="1" t="s">
        <v>856</v>
      </c>
      <c r="AK129" s="1" t="s">
        <v>658</v>
      </c>
      <c r="AL129" s="1" t="s">
        <v>315</v>
      </c>
      <c r="AM129">
        <v>325</v>
      </c>
      <c r="AN129">
        <v>1.793686224489796</v>
      </c>
      <c r="AO129" t="s">
        <v>315</v>
      </c>
      <c r="AP129" s="1">
        <v>4</v>
      </c>
      <c r="AQ129">
        <v>265.234375</v>
      </c>
      <c r="AR129">
        <v>8.3705357142857153</v>
      </c>
      <c r="AS129" t="s">
        <v>315</v>
      </c>
      <c r="AT129" s="1">
        <v>4</v>
      </c>
      <c r="AU129" s="1" t="s">
        <v>865</v>
      </c>
    </row>
    <row r="130" spans="1:47">
      <c r="A130" s="1">
        <v>32</v>
      </c>
      <c r="B130" s="1">
        <v>10</v>
      </c>
      <c r="C130" s="1" t="s">
        <v>166</v>
      </c>
      <c r="D130" s="1" t="s">
        <v>167</v>
      </c>
      <c r="E130" s="1" t="s">
        <v>168</v>
      </c>
      <c r="F130" s="1">
        <v>1999</v>
      </c>
      <c r="G130" s="1" t="s">
        <v>495</v>
      </c>
      <c r="H130" s="1" t="s">
        <v>496</v>
      </c>
      <c r="I130" s="1">
        <v>47.046931000000001</v>
      </c>
      <c r="J130" s="1">
        <v>-2.1396820000000001</v>
      </c>
      <c r="K130" s="1" t="s">
        <v>328</v>
      </c>
      <c r="L130" s="1" t="s">
        <v>374</v>
      </c>
      <c r="M130" s="1" t="s">
        <v>652</v>
      </c>
      <c r="N130" s="1" t="s">
        <v>575</v>
      </c>
      <c r="O130" s="1" t="s">
        <v>791</v>
      </c>
      <c r="P130" s="1" t="s">
        <v>338</v>
      </c>
      <c r="Q130" s="1" t="s">
        <v>819</v>
      </c>
      <c r="R130" s="1" t="s">
        <v>315</v>
      </c>
      <c r="S130" s="1" t="s">
        <v>335</v>
      </c>
      <c r="T130" s="1" t="s">
        <v>315</v>
      </c>
      <c r="U130" s="1" t="s">
        <v>315</v>
      </c>
      <c r="V130" s="1" t="s">
        <v>295</v>
      </c>
      <c r="W130" s="1" t="s">
        <v>674</v>
      </c>
      <c r="X130" s="1" t="s">
        <v>580</v>
      </c>
      <c r="Y130" s="1" t="s">
        <v>581</v>
      </c>
      <c r="Z130" s="1" t="s">
        <v>672</v>
      </c>
      <c r="AA130" s="1" t="s">
        <v>673</v>
      </c>
      <c r="AB130" s="1" t="s">
        <v>295</v>
      </c>
      <c r="AC130" s="1" t="s">
        <v>851</v>
      </c>
      <c r="AD130" s="1" t="s">
        <v>347</v>
      </c>
      <c r="AE130" s="1" t="s">
        <v>348</v>
      </c>
      <c r="AF130" s="1" t="s">
        <v>838</v>
      </c>
      <c r="AG130" s="1" t="s">
        <v>840</v>
      </c>
      <c r="AH130" s="1" t="s">
        <v>798</v>
      </c>
      <c r="AI130" s="1" t="s">
        <v>362</v>
      </c>
      <c r="AJ130" s="1" t="s">
        <v>855</v>
      </c>
      <c r="AK130" s="1" t="s">
        <v>658</v>
      </c>
      <c r="AL130" s="1" t="s">
        <v>315</v>
      </c>
      <c r="AM130">
        <v>330.859375</v>
      </c>
      <c r="AN130">
        <v>33.482142857142335</v>
      </c>
      <c r="AO130" t="s">
        <v>315</v>
      </c>
      <c r="AP130" s="1">
        <v>4</v>
      </c>
      <c r="AQ130">
        <v>265.234375</v>
      </c>
      <c r="AR130">
        <v>8.3705357142857153</v>
      </c>
      <c r="AS130" t="s">
        <v>315</v>
      </c>
      <c r="AT130" s="1">
        <v>4</v>
      </c>
      <c r="AU130" s="1" t="s">
        <v>865</v>
      </c>
    </row>
    <row r="131" spans="1:47">
      <c r="A131" s="1">
        <v>32</v>
      </c>
      <c r="B131" s="1">
        <v>11</v>
      </c>
      <c r="C131" s="1" t="s">
        <v>166</v>
      </c>
      <c r="D131" s="1" t="s">
        <v>167</v>
      </c>
      <c r="E131" s="1" t="s">
        <v>168</v>
      </c>
      <c r="F131" s="1">
        <v>1999</v>
      </c>
      <c r="G131" s="1" t="s">
        <v>495</v>
      </c>
      <c r="H131" s="1" t="s">
        <v>496</v>
      </c>
      <c r="I131" s="1">
        <v>47.046931000000001</v>
      </c>
      <c r="J131" s="1">
        <v>-2.1396820000000001</v>
      </c>
      <c r="K131" s="1" t="s">
        <v>328</v>
      </c>
      <c r="L131" s="1" t="s">
        <v>374</v>
      </c>
      <c r="M131" s="1" t="s">
        <v>652</v>
      </c>
      <c r="N131" s="1" t="s">
        <v>575</v>
      </c>
      <c r="O131" s="1" t="s">
        <v>791</v>
      </c>
      <c r="P131" s="1" t="s">
        <v>338</v>
      </c>
      <c r="Q131" s="1" t="s">
        <v>819</v>
      </c>
      <c r="R131" s="1" t="s">
        <v>315</v>
      </c>
      <c r="S131" s="1" t="s">
        <v>335</v>
      </c>
      <c r="T131" s="1" t="s">
        <v>315</v>
      </c>
      <c r="U131" s="1" t="s">
        <v>315</v>
      </c>
      <c r="V131" s="1" t="s">
        <v>295</v>
      </c>
      <c r="W131" s="1" t="s">
        <v>674</v>
      </c>
      <c r="X131" s="1" t="s">
        <v>580</v>
      </c>
      <c r="Y131" s="1" t="s">
        <v>581</v>
      </c>
      <c r="Z131" s="1" t="s">
        <v>672</v>
      </c>
      <c r="AA131" s="1" t="s">
        <v>673</v>
      </c>
      <c r="AB131" s="1" t="s">
        <v>295</v>
      </c>
      <c r="AC131" s="1" t="s">
        <v>853</v>
      </c>
      <c r="AD131" s="1" t="s">
        <v>347</v>
      </c>
      <c r="AE131" s="1" t="s">
        <v>348</v>
      </c>
      <c r="AF131" s="1" t="s">
        <v>841</v>
      </c>
      <c r="AG131" s="1" t="s">
        <v>842</v>
      </c>
      <c r="AH131" s="1" t="s">
        <v>744</v>
      </c>
      <c r="AI131" s="1" t="s">
        <v>362</v>
      </c>
      <c r="AJ131" s="1" t="s">
        <v>856</v>
      </c>
      <c r="AK131" s="1" t="s">
        <v>658</v>
      </c>
      <c r="AL131" s="1" t="s">
        <v>315</v>
      </c>
      <c r="AM131">
        <v>1910.65830721003</v>
      </c>
      <c r="AN131">
        <v>351.86488388458679</v>
      </c>
      <c r="AO131" t="s">
        <v>315</v>
      </c>
      <c r="AP131" s="1">
        <v>4</v>
      </c>
      <c r="AQ131">
        <v>550.15673981191196</v>
      </c>
      <c r="AR131">
        <v>83.168063463629636</v>
      </c>
      <c r="AS131" t="s">
        <v>315</v>
      </c>
      <c r="AT131" s="1">
        <v>4</v>
      </c>
      <c r="AU131" s="1" t="s">
        <v>865</v>
      </c>
    </row>
    <row r="132" spans="1:47">
      <c r="A132" s="1">
        <v>32</v>
      </c>
      <c r="B132" s="1">
        <v>12</v>
      </c>
      <c r="C132" s="1" t="s">
        <v>166</v>
      </c>
      <c r="D132" s="1" t="s">
        <v>167</v>
      </c>
      <c r="E132" s="1" t="s">
        <v>168</v>
      </c>
      <c r="F132" s="1">
        <v>1999</v>
      </c>
      <c r="G132" s="1" t="s">
        <v>495</v>
      </c>
      <c r="H132" s="1" t="s">
        <v>496</v>
      </c>
      <c r="I132" s="1">
        <v>47.046931000000001</v>
      </c>
      <c r="J132" s="1">
        <v>-2.1396820000000001</v>
      </c>
      <c r="K132" s="1" t="s">
        <v>328</v>
      </c>
      <c r="L132" s="1" t="s">
        <v>374</v>
      </c>
      <c r="M132" s="1" t="s">
        <v>652</v>
      </c>
      <c r="N132" s="1" t="s">
        <v>575</v>
      </c>
      <c r="O132" s="1" t="s">
        <v>791</v>
      </c>
      <c r="P132" s="1" t="s">
        <v>338</v>
      </c>
      <c r="Q132" s="1" t="s">
        <v>819</v>
      </c>
      <c r="R132" s="1" t="s">
        <v>315</v>
      </c>
      <c r="S132" s="1" t="s">
        <v>335</v>
      </c>
      <c r="T132" s="1" t="s">
        <v>315</v>
      </c>
      <c r="U132" s="1" t="s">
        <v>315</v>
      </c>
      <c r="V132" s="1" t="s">
        <v>295</v>
      </c>
      <c r="W132" s="1" t="s">
        <v>674</v>
      </c>
      <c r="X132" s="1" t="s">
        <v>580</v>
      </c>
      <c r="Y132" s="1" t="s">
        <v>581</v>
      </c>
      <c r="Z132" s="1" t="s">
        <v>672</v>
      </c>
      <c r="AA132" s="1" t="s">
        <v>673</v>
      </c>
      <c r="AB132" s="1" t="s">
        <v>295</v>
      </c>
      <c r="AC132" s="1" t="s">
        <v>853</v>
      </c>
      <c r="AD132" s="1" t="s">
        <v>347</v>
      </c>
      <c r="AE132" s="1" t="s">
        <v>348</v>
      </c>
      <c r="AF132" s="1" t="s">
        <v>841</v>
      </c>
      <c r="AG132" s="1" t="s">
        <v>842</v>
      </c>
      <c r="AH132" s="1" t="s">
        <v>744</v>
      </c>
      <c r="AI132" s="1" t="s">
        <v>362</v>
      </c>
      <c r="AJ132" s="1" t="s">
        <v>855</v>
      </c>
      <c r="AK132" s="1" t="s">
        <v>658</v>
      </c>
      <c r="AL132" s="1" t="s">
        <v>315</v>
      </c>
      <c r="AM132">
        <v>800.94043887147302</v>
      </c>
      <c r="AN132">
        <v>207.92015865907501</v>
      </c>
      <c r="AO132" t="s">
        <v>315</v>
      </c>
      <c r="AP132" s="1">
        <v>4</v>
      </c>
      <c r="AQ132">
        <v>550.15673981191196</v>
      </c>
      <c r="AR132">
        <v>83.168063463629636</v>
      </c>
      <c r="AS132" t="s">
        <v>315</v>
      </c>
      <c r="AT132" s="1">
        <v>4</v>
      </c>
      <c r="AU132" s="1" t="s">
        <v>865</v>
      </c>
    </row>
    <row r="133" spans="1:47">
      <c r="A133" s="1">
        <v>32</v>
      </c>
      <c r="B133" s="1">
        <v>13</v>
      </c>
      <c r="C133" s="1" t="s">
        <v>166</v>
      </c>
      <c r="D133" s="1" t="s">
        <v>167</v>
      </c>
      <c r="E133" s="1" t="s">
        <v>168</v>
      </c>
      <c r="F133" s="1">
        <v>1999</v>
      </c>
      <c r="G133" s="1" t="s">
        <v>495</v>
      </c>
      <c r="H133" s="1" t="s">
        <v>496</v>
      </c>
      <c r="I133" s="1">
        <v>47.046931000000001</v>
      </c>
      <c r="J133" s="1">
        <v>-2.1396820000000001</v>
      </c>
      <c r="K133" s="1" t="s">
        <v>328</v>
      </c>
      <c r="L133" s="1" t="s">
        <v>374</v>
      </c>
      <c r="M133" s="1" t="s">
        <v>652</v>
      </c>
      <c r="N133" s="1" t="s">
        <v>575</v>
      </c>
      <c r="O133" s="1" t="s">
        <v>791</v>
      </c>
      <c r="P133" s="1" t="s">
        <v>338</v>
      </c>
      <c r="Q133" s="1" t="s">
        <v>819</v>
      </c>
      <c r="R133" s="1" t="s">
        <v>315</v>
      </c>
      <c r="S133" s="1" t="s">
        <v>335</v>
      </c>
      <c r="T133" s="1" t="s">
        <v>315</v>
      </c>
      <c r="U133" s="1" t="s">
        <v>315</v>
      </c>
      <c r="V133" s="1" t="s">
        <v>295</v>
      </c>
      <c r="W133" s="1" t="s">
        <v>674</v>
      </c>
      <c r="X133" s="1" t="s">
        <v>580</v>
      </c>
      <c r="Y133" s="1" t="s">
        <v>581</v>
      </c>
      <c r="Z133" s="1" t="s">
        <v>672</v>
      </c>
      <c r="AA133" s="1" t="s">
        <v>673</v>
      </c>
      <c r="AB133" s="1" t="s">
        <v>295</v>
      </c>
      <c r="AC133" s="1" t="s">
        <v>851</v>
      </c>
      <c r="AD133" s="1" t="s">
        <v>347</v>
      </c>
      <c r="AE133" s="1" t="s">
        <v>348</v>
      </c>
      <c r="AF133" s="1" t="s">
        <v>838</v>
      </c>
      <c r="AG133" s="1" t="s">
        <v>843</v>
      </c>
      <c r="AH133" s="1" t="s">
        <v>744</v>
      </c>
      <c r="AI133" s="1" t="s">
        <v>362</v>
      </c>
      <c r="AJ133" s="1" t="s">
        <v>856</v>
      </c>
      <c r="AK133" s="1" t="s">
        <v>658</v>
      </c>
      <c r="AL133" s="1" t="s">
        <v>315</v>
      </c>
      <c r="AM133">
        <v>224.731182795698</v>
      </c>
      <c r="AN133">
        <v>17.006802721088761</v>
      </c>
      <c r="AO133" t="s">
        <v>315</v>
      </c>
      <c r="AP133" s="1">
        <v>4</v>
      </c>
      <c r="AQ133">
        <v>218.27956989247301</v>
      </c>
      <c r="AR133">
        <v>27.430326969497457</v>
      </c>
      <c r="AS133" t="s">
        <v>315</v>
      </c>
      <c r="AT133" s="1">
        <v>4</v>
      </c>
      <c r="AU133" s="1" t="s">
        <v>865</v>
      </c>
    </row>
    <row r="134" spans="1:47">
      <c r="A134" s="1">
        <v>32</v>
      </c>
      <c r="B134" s="1">
        <v>14</v>
      </c>
      <c r="C134" s="1" t="s">
        <v>166</v>
      </c>
      <c r="D134" s="1" t="s">
        <v>167</v>
      </c>
      <c r="E134" s="1" t="s">
        <v>168</v>
      </c>
      <c r="F134" s="1">
        <v>1999</v>
      </c>
      <c r="G134" s="1" t="s">
        <v>495</v>
      </c>
      <c r="H134" s="1" t="s">
        <v>496</v>
      </c>
      <c r="I134" s="1">
        <v>47.046931000000001</v>
      </c>
      <c r="J134" s="1">
        <v>-2.1396820000000001</v>
      </c>
      <c r="K134" s="1" t="s">
        <v>328</v>
      </c>
      <c r="L134" s="1" t="s">
        <v>374</v>
      </c>
      <c r="M134" s="1" t="s">
        <v>652</v>
      </c>
      <c r="N134" s="1" t="s">
        <v>575</v>
      </c>
      <c r="O134" s="1" t="s">
        <v>791</v>
      </c>
      <c r="P134" s="1" t="s">
        <v>338</v>
      </c>
      <c r="Q134" s="1" t="s">
        <v>819</v>
      </c>
      <c r="R134" s="1" t="s">
        <v>315</v>
      </c>
      <c r="S134" s="1" t="s">
        <v>335</v>
      </c>
      <c r="T134" s="1" t="s">
        <v>315</v>
      </c>
      <c r="U134" s="1" t="s">
        <v>315</v>
      </c>
      <c r="V134" s="1" t="s">
        <v>295</v>
      </c>
      <c r="W134" s="1" t="s">
        <v>674</v>
      </c>
      <c r="X134" s="1" t="s">
        <v>580</v>
      </c>
      <c r="Y134" s="1" t="s">
        <v>581</v>
      </c>
      <c r="Z134" s="1" t="s">
        <v>672</v>
      </c>
      <c r="AA134" s="1" t="s">
        <v>673</v>
      </c>
      <c r="AB134" s="1" t="s">
        <v>295</v>
      </c>
      <c r="AC134" s="1" t="s">
        <v>851</v>
      </c>
      <c r="AD134" s="1" t="s">
        <v>347</v>
      </c>
      <c r="AE134" s="1" t="s">
        <v>348</v>
      </c>
      <c r="AF134" s="1" t="s">
        <v>838</v>
      </c>
      <c r="AG134" s="1" t="s">
        <v>843</v>
      </c>
      <c r="AH134" s="1" t="s">
        <v>744</v>
      </c>
      <c r="AI134" s="1" t="s">
        <v>362</v>
      </c>
      <c r="AJ134" s="1" t="s">
        <v>855</v>
      </c>
      <c r="AK134" s="1" t="s">
        <v>658</v>
      </c>
      <c r="AL134" s="1" t="s">
        <v>315</v>
      </c>
      <c r="AM134">
        <v>245.16129032257999</v>
      </c>
      <c r="AN134">
        <v>22.492868114988269</v>
      </c>
      <c r="AO134" t="s">
        <v>315</v>
      </c>
      <c r="AP134" s="1">
        <v>4</v>
      </c>
      <c r="AQ134">
        <v>218.27956989247301</v>
      </c>
      <c r="AR134">
        <v>27.430326969497457</v>
      </c>
      <c r="AS134" t="s">
        <v>315</v>
      </c>
      <c r="AT134" s="1">
        <v>4</v>
      </c>
      <c r="AU134" s="1" t="s">
        <v>865</v>
      </c>
    </row>
    <row r="135" spans="1:47">
      <c r="A135" s="1">
        <v>32</v>
      </c>
      <c r="B135" s="1">
        <v>15</v>
      </c>
      <c r="C135" s="1" t="s">
        <v>166</v>
      </c>
      <c r="D135" s="1" t="s">
        <v>167</v>
      </c>
      <c r="E135" s="1" t="s">
        <v>168</v>
      </c>
      <c r="F135" s="1">
        <v>1999</v>
      </c>
      <c r="G135" s="1" t="s">
        <v>495</v>
      </c>
      <c r="H135" s="1" t="s">
        <v>496</v>
      </c>
      <c r="I135" s="1">
        <v>47.046931000000001</v>
      </c>
      <c r="J135" s="1">
        <v>-2.1396820000000001</v>
      </c>
      <c r="K135" s="1" t="s">
        <v>328</v>
      </c>
      <c r="L135" s="1" t="s">
        <v>374</v>
      </c>
      <c r="M135" s="1" t="s">
        <v>652</v>
      </c>
      <c r="N135" s="1" t="s">
        <v>575</v>
      </c>
      <c r="O135" s="1" t="s">
        <v>791</v>
      </c>
      <c r="P135" s="1" t="s">
        <v>338</v>
      </c>
      <c r="Q135" s="1" t="s">
        <v>819</v>
      </c>
      <c r="R135" s="1" t="s">
        <v>315</v>
      </c>
      <c r="S135" s="1" t="s">
        <v>335</v>
      </c>
      <c r="T135" s="1" t="s">
        <v>315</v>
      </c>
      <c r="U135" s="1" t="s">
        <v>315</v>
      </c>
      <c r="V135" s="1" t="s">
        <v>295</v>
      </c>
      <c r="W135" s="1" t="s">
        <v>674</v>
      </c>
      <c r="X135" s="1" t="s">
        <v>580</v>
      </c>
      <c r="Y135" s="1" t="s">
        <v>581</v>
      </c>
      <c r="Z135" s="1" t="s">
        <v>672</v>
      </c>
      <c r="AA135" s="1" t="s">
        <v>673</v>
      </c>
      <c r="AB135" s="1" t="s">
        <v>295</v>
      </c>
      <c r="AC135" s="1" t="s">
        <v>852</v>
      </c>
      <c r="AD135" s="1" t="s">
        <v>347</v>
      </c>
      <c r="AE135" s="1" t="s">
        <v>348</v>
      </c>
      <c r="AF135" s="1" t="s">
        <v>844</v>
      </c>
      <c r="AG135" s="1" t="s">
        <v>845</v>
      </c>
      <c r="AH135" s="1" t="s">
        <v>744</v>
      </c>
      <c r="AI135" s="1" t="s">
        <v>362</v>
      </c>
      <c r="AJ135" s="1" t="s">
        <v>856</v>
      </c>
      <c r="AK135" s="1" t="s">
        <v>658</v>
      </c>
      <c r="AL135" s="1" t="s">
        <v>315</v>
      </c>
      <c r="AM135">
        <v>1255.3648068669499</v>
      </c>
      <c r="AN135">
        <v>140.14189366733677</v>
      </c>
      <c r="AO135" t="s">
        <v>315</v>
      </c>
      <c r="AP135" s="1">
        <v>4</v>
      </c>
      <c r="AQ135">
        <v>1023.60515021459</v>
      </c>
      <c r="AR135">
        <v>216.78199176666323</v>
      </c>
      <c r="AS135" t="s">
        <v>315</v>
      </c>
      <c r="AT135" s="1">
        <v>4</v>
      </c>
      <c r="AU135" s="1" t="s">
        <v>865</v>
      </c>
    </row>
    <row r="136" spans="1:47">
      <c r="A136" s="1">
        <v>32</v>
      </c>
      <c r="B136" s="1">
        <v>16</v>
      </c>
      <c r="C136" s="1" t="s">
        <v>166</v>
      </c>
      <c r="D136" s="1" t="s">
        <v>167</v>
      </c>
      <c r="E136" s="1" t="s">
        <v>168</v>
      </c>
      <c r="F136" s="1">
        <v>1999</v>
      </c>
      <c r="G136" s="1" t="s">
        <v>495</v>
      </c>
      <c r="H136" s="1" t="s">
        <v>496</v>
      </c>
      <c r="I136" s="1">
        <v>47.046931000000001</v>
      </c>
      <c r="J136" s="1">
        <v>-2.1396820000000001</v>
      </c>
      <c r="K136" s="1" t="s">
        <v>328</v>
      </c>
      <c r="L136" s="1" t="s">
        <v>374</v>
      </c>
      <c r="M136" s="1" t="s">
        <v>652</v>
      </c>
      <c r="N136" s="1" t="s">
        <v>575</v>
      </c>
      <c r="O136" s="1" t="s">
        <v>791</v>
      </c>
      <c r="P136" s="1" t="s">
        <v>338</v>
      </c>
      <c r="Q136" s="1" t="s">
        <v>819</v>
      </c>
      <c r="R136" s="1" t="s">
        <v>315</v>
      </c>
      <c r="S136" s="1" t="s">
        <v>335</v>
      </c>
      <c r="T136" s="1" t="s">
        <v>315</v>
      </c>
      <c r="U136" s="1" t="s">
        <v>315</v>
      </c>
      <c r="V136" s="1" t="s">
        <v>295</v>
      </c>
      <c r="W136" s="1" t="s">
        <v>674</v>
      </c>
      <c r="X136" s="1" t="s">
        <v>580</v>
      </c>
      <c r="Y136" s="1" t="s">
        <v>581</v>
      </c>
      <c r="Z136" s="1" t="s">
        <v>672</v>
      </c>
      <c r="AA136" s="1" t="s">
        <v>673</v>
      </c>
      <c r="AB136" s="1" t="s">
        <v>295</v>
      </c>
      <c r="AC136" s="1" t="s">
        <v>852</v>
      </c>
      <c r="AD136" s="1" t="s">
        <v>347</v>
      </c>
      <c r="AE136" s="1" t="s">
        <v>348</v>
      </c>
      <c r="AF136" s="1" t="s">
        <v>844</v>
      </c>
      <c r="AG136" s="1" t="s">
        <v>845</v>
      </c>
      <c r="AH136" s="1" t="s">
        <v>744</v>
      </c>
      <c r="AI136" s="1" t="s">
        <v>362</v>
      </c>
      <c r="AJ136" s="1" t="s">
        <v>855</v>
      </c>
      <c r="AK136" s="1" t="s">
        <v>658</v>
      </c>
      <c r="AL136" s="1" t="s">
        <v>315</v>
      </c>
      <c r="AM136">
        <v>1341.20171673819</v>
      </c>
      <c r="AN136">
        <v>339.40614872558666</v>
      </c>
      <c r="AO136" t="s">
        <v>315</v>
      </c>
      <c r="AP136" s="1">
        <v>4</v>
      </c>
      <c r="AQ136">
        <v>1023.60515021459</v>
      </c>
      <c r="AR136">
        <v>216.78199176666323</v>
      </c>
      <c r="AS136" t="s">
        <v>315</v>
      </c>
      <c r="AT136" s="1">
        <v>4</v>
      </c>
      <c r="AU136" s="1" t="s">
        <v>865</v>
      </c>
    </row>
    <row r="137" spans="1:47">
      <c r="A137" s="1">
        <v>32</v>
      </c>
      <c r="B137" s="1">
        <v>17</v>
      </c>
      <c r="C137" s="1" t="s">
        <v>166</v>
      </c>
      <c r="D137" s="1" t="s">
        <v>167</v>
      </c>
      <c r="E137" s="1" t="s">
        <v>168</v>
      </c>
      <c r="F137" s="1">
        <v>1999</v>
      </c>
      <c r="G137" s="1" t="s">
        <v>495</v>
      </c>
      <c r="H137" s="1" t="s">
        <v>496</v>
      </c>
      <c r="I137" s="1">
        <v>47.046931000000001</v>
      </c>
      <c r="J137" s="1">
        <v>-2.1396820000000001</v>
      </c>
      <c r="K137" s="1" t="s">
        <v>328</v>
      </c>
      <c r="L137" s="1" t="s">
        <v>374</v>
      </c>
      <c r="M137" s="1" t="s">
        <v>652</v>
      </c>
      <c r="N137" s="1" t="s">
        <v>575</v>
      </c>
      <c r="O137" s="1" t="s">
        <v>791</v>
      </c>
      <c r="P137" s="1" t="s">
        <v>338</v>
      </c>
      <c r="Q137" s="1" t="s">
        <v>819</v>
      </c>
      <c r="R137" s="1" t="s">
        <v>315</v>
      </c>
      <c r="S137" s="1" t="s">
        <v>335</v>
      </c>
      <c r="T137" s="1" t="s">
        <v>315</v>
      </c>
      <c r="U137" s="1" t="s">
        <v>315</v>
      </c>
      <c r="V137" s="1" t="s">
        <v>295</v>
      </c>
      <c r="W137" s="1" t="s">
        <v>674</v>
      </c>
      <c r="X137" s="1" t="s">
        <v>580</v>
      </c>
      <c r="Y137" s="1" t="s">
        <v>581</v>
      </c>
      <c r="Z137" s="1" t="s">
        <v>672</v>
      </c>
      <c r="AA137" s="1" t="s">
        <v>673</v>
      </c>
      <c r="AB137" s="1" t="s">
        <v>295</v>
      </c>
      <c r="AC137" s="1" t="s">
        <v>854</v>
      </c>
      <c r="AD137" s="1" t="s">
        <v>347</v>
      </c>
      <c r="AE137" s="1" t="s">
        <v>621</v>
      </c>
      <c r="AF137" s="1" t="s">
        <v>846</v>
      </c>
      <c r="AG137" s="1" t="s">
        <v>847</v>
      </c>
      <c r="AH137" s="1" t="s">
        <v>744</v>
      </c>
      <c r="AI137" s="1" t="s">
        <v>362</v>
      </c>
      <c r="AJ137" s="1" t="s">
        <v>856</v>
      </c>
      <c r="AK137" s="1" t="s">
        <v>658</v>
      </c>
      <c r="AL137" s="1" t="s">
        <v>315</v>
      </c>
      <c r="AM137">
        <v>1050.5319148936101</v>
      </c>
      <c r="AN137">
        <v>18.996960486321413</v>
      </c>
      <c r="AO137" t="s">
        <v>315</v>
      </c>
      <c r="AP137" s="1">
        <v>4</v>
      </c>
      <c r="AQ137">
        <v>827.127659574468</v>
      </c>
      <c r="AR137">
        <v>51.56317846287449</v>
      </c>
      <c r="AS137" t="s">
        <v>315</v>
      </c>
      <c r="AT137" s="1">
        <v>4</v>
      </c>
      <c r="AU137" s="1" t="s">
        <v>865</v>
      </c>
    </row>
    <row r="138" spans="1:47">
      <c r="A138" s="1">
        <v>32</v>
      </c>
      <c r="B138" s="1">
        <v>18</v>
      </c>
      <c r="C138" s="1" t="s">
        <v>166</v>
      </c>
      <c r="D138" s="1" t="s">
        <v>167</v>
      </c>
      <c r="E138" s="1" t="s">
        <v>168</v>
      </c>
      <c r="F138" s="1">
        <v>1999</v>
      </c>
      <c r="G138" s="1" t="s">
        <v>495</v>
      </c>
      <c r="H138" s="1" t="s">
        <v>496</v>
      </c>
      <c r="I138" s="1">
        <v>47.046931000000001</v>
      </c>
      <c r="J138" s="1">
        <v>-2.1396820000000001</v>
      </c>
      <c r="K138" s="1" t="s">
        <v>328</v>
      </c>
      <c r="L138" s="1" t="s">
        <v>374</v>
      </c>
      <c r="M138" s="1" t="s">
        <v>652</v>
      </c>
      <c r="N138" s="1" t="s">
        <v>575</v>
      </c>
      <c r="O138" s="1" t="s">
        <v>791</v>
      </c>
      <c r="P138" s="1" t="s">
        <v>338</v>
      </c>
      <c r="Q138" s="1" t="s">
        <v>819</v>
      </c>
      <c r="R138" s="1" t="s">
        <v>315</v>
      </c>
      <c r="S138" s="1" t="s">
        <v>335</v>
      </c>
      <c r="T138" s="1" t="s">
        <v>315</v>
      </c>
      <c r="U138" s="1" t="s">
        <v>315</v>
      </c>
      <c r="V138" s="1" t="s">
        <v>295</v>
      </c>
      <c r="W138" s="1" t="s">
        <v>674</v>
      </c>
      <c r="X138" s="1" t="s">
        <v>580</v>
      </c>
      <c r="Y138" s="1" t="s">
        <v>581</v>
      </c>
      <c r="Z138" s="1" t="s">
        <v>672</v>
      </c>
      <c r="AA138" s="1" t="s">
        <v>673</v>
      </c>
      <c r="AB138" s="1" t="s">
        <v>295</v>
      </c>
      <c r="AC138" s="1" t="s">
        <v>854</v>
      </c>
      <c r="AD138" s="1" t="s">
        <v>347</v>
      </c>
      <c r="AE138" s="1" t="s">
        <v>621</v>
      </c>
      <c r="AF138" s="1" t="s">
        <v>846</v>
      </c>
      <c r="AG138" s="1" t="s">
        <v>847</v>
      </c>
      <c r="AH138" s="1" t="s">
        <v>744</v>
      </c>
      <c r="AI138" s="1" t="s">
        <v>362</v>
      </c>
      <c r="AJ138" s="1" t="s">
        <v>855</v>
      </c>
      <c r="AK138" s="1" t="s">
        <v>658</v>
      </c>
      <c r="AL138" s="1" t="s">
        <v>315</v>
      </c>
      <c r="AM138">
        <v>1031.91489361702</v>
      </c>
      <c r="AN138">
        <v>77.344767694311216</v>
      </c>
      <c r="AO138" t="s">
        <v>315</v>
      </c>
      <c r="AP138" s="1">
        <v>4</v>
      </c>
      <c r="AQ138">
        <v>827.127659574468</v>
      </c>
      <c r="AR138">
        <v>51.56317846287449</v>
      </c>
      <c r="AS138" t="s">
        <v>315</v>
      </c>
      <c r="AT138" s="1">
        <v>4</v>
      </c>
      <c r="AU138" s="1" t="s">
        <v>865</v>
      </c>
    </row>
    <row r="139" spans="1:47">
      <c r="A139" s="1">
        <v>33</v>
      </c>
      <c r="B139" s="1">
        <v>1</v>
      </c>
      <c r="C139" s="1" t="s">
        <v>175</v>
      </c>
      <c r="D139" s="1" t="s">
        <v>176</v>
      </c>
      <c r="E139" s="1" t="s">
        <v>86</v>
      </c>
      <c r="F139" s="1">
        <v>1998</v>
      </c>
      <c r="G139" s="1" t="s">
        <v>498</v>
      </c>
      <c r="H139" s="1" t="s">
        <v>499</v>
      </c>
      <c r="I139" s="1">
        <v>-18.683333000000001</v>
      </c>
      <c r="J139" s="1">
        <v>146.58333300000001</v>
      </c>
      <c r="K139" s="1" t="s">
        <v>375</v>
      </c>
      <c r="L139" s="1" t="s">
        <v>415</v>
      </c>
      <c r="M139" s="1" t="s">
        <v>645</v>
      </c>
      <c r="N139" s="1" t="s">
        <v>291</v>
      </c>
      <c r="O139" s="1" t="s">
        <v>292</v>
      </c>
      <c r="P139" s="1" t="s">
        <v>294</v>
      </c>
      <c r="Q139" s="1" t="s">
        <v>332</v>
      </c>
      <c r="R139" s="1" t="s">
        <v>315</v>
      </c>
      <c r="S139" s="1" t="s">
        <v>336</v>
      </c>
      <c r="T139" s="1" t="s">
        <v>597</v>
      </c>
      <c r="U139" s="1">
        <v>1996</v>
      </c>
      <c r="V139" s="1" t="s">
        <v>295</v>
      </c>
      <c r="W139" s="1" t="s">
        <v>877</v>
      </c>
      <c r="X139" s="1" t="s">
        <v>878</v>
      </c>
      <c r="Y139" s="1" t="s">
        <v>879</v>
      </c>
      <c r="Z139" s="1" t="s">
        <v>880</v>
      </c>
      <c r="AA139" s="1" t="s">
        <v>881</v>
      </c>
      <c r="AB139" s="1" t="s">
        <v>345</v>
      </c>
      <c r="AC139" s="1" t="s">
        <v>315</v>
      </c>
      <c r="AD139" s="1" t="s">
        <v>347</v>
      </c>
      <c r="AE139" s="1" t="s">
        <v>315</v>
      </c>
      <c r="AF139" s="1" t="s">
        <v>315</v>
      </c>
      <c r="AG139" s="1" t="s">
        <v>315</v>
      </c>
      <c r="AH139" s="1" t="s">
        <v>321</v>
      </c>
      <c r="AI139" s="1" t="s">
        <v>362</v>
      </c>
      <c r="AJ139" s="1" t="s">
        <v>882</v>
      </c>
      <c r="AK139" s="1" t="s">
        <v>831</v>
      </c>
      <c r="AL139" s="1" t="s">
        <v>315</v>
      </c>
      <c r="AM139" s="1">
        <v>973.56321839080397</v>
      </c>
      <c r="AN139">
        <v>43.678160919536026</v>
      </c>
      <c r="AO139" s="1" t="s">
        <v>315</v>
      </c>
      <c r="AP139" s="1">
        <v>4</v>
      </c>
      <c r="AQ139" s="1">
        <v>860.919540229885</v>
      </c>
      <c r="AR139">
        <v>36.781609195401984</v>
      </c>
      <c r="AS139" s="1" t="s">
        <v>315</v>
      </c>
      <c r="AT139" s="1">
        <v>4</v>
      </c>
      <c r="AU139" s="1" t="s">
        <v>883</v>
      </c>
    </row>
    <row r="140" spans="1:47">
      <c r="A140" s="1">
        <v>34</v>
      </c>
      <c r="B140" s="5">
        <v>1</v>
      </c>
      <c r="C140" s="1" t="s">
        <v>179</v>
      </c>
      <c r="D140" s="1" t="s">
        <v>180</v>
      </c>
      <c r="E140" s="1" t="s">
        <v>181</v>
      </c>
      <c r="F140" s="1">
        <v>1996</v>
      </c>
      <c r="G140" s="1" t="s">
        <v>502</v>
      </c>
      <c r="H140" s="1" t="s">
        <v>503</v>
      </c>
      <c r="I140" s="1">
        <v>29.490614000000001</v>
      </c>
      <c r="J140" s="1">
        <v>34.945005000000002</v>
      </c>
      <c r="K140" s="1" t="s">
        <v>412</v>
      </c>
      <c r="L140" s="1" t="s">
        <v>411</v>
      </c>
      <c r="M140" s="1" t="s">
        <v>644</v>
      </c>
      <c r="N140" s="1" t="s">
        <v>337</v>
      </c>
      <c r="O140" s="1" t="s">
        <v>315</v>
      </c>
      <c r="P140" s="1" t="s">
        <v>424</v>
      </c>
      <c r="Q140" s="1" t="s">
        <v>315</v>
      </c>
      <c r="R140" s="1" t="s">
        <v>315</v>
      </c>
      <c r="S140" s="1" t="s">
        <v>335</v>
      </c>
      <c r="AO140"/>
      <c r="AU140" s="1" t="s">
        <v>501</v>
      </c>
    </row>
    <row r="141" spans="1:47">
      <c r="A141" s="1">
        <v>35</v>
      </c>
      <c r="B141" s="11">
        <v>1</v>
      </c>
      <c r="C141" s="1" t="s">
        <v>182</v>
      </c>
      <c r="D141" s="1" t="s">
        <v>183</v>
      </c>
      <c r="E141" s="1" t="s">
        <v>70</v>
      </c>
      <c r="F141" s="1">
        <v>1996</v>
      </c>
      <c r="G141" s="1" t="s">
        <v>504</v>
      </c>
      <c r="H141" s="1" t="s">
        <v>505</v>
      </c>
      <c r="I141" s="1">
        <v>21.85</v>
      </c>
      <c r="J141" s="1">
        <v>-72.099999999999994</v>
      </c>
      <c r="K141" s="1" t="s">
        <v>507</v>
      </c>
      <c r="L141" s="1" t="s">
        <v>506</v>
      </c>
      <c r="M141" s="1" t="s">
        <v>574</v>
      </c>
      <c r="N141" s="1" t="s">
        <v>575</v>
      </c>
      <c r="O141" s="1" t="s">
        <v>791</v>
      </c>
      <c r="P141" s="1" t="s">
        <v>294</v>
      </c>
      <c r="Q141" s="1" t="s">
        <v>333</v>
      </c>
      <c r="R141" s="1" t="s">
        <v>315</v>
      </c>
      <c r="S141" s="1" t="s">
        <v>336</v>
      </c>
      <c r="T141" s="1" t="s">
        <v>597</v>
      </c>
      <c r="U141" s="1">
        <v>1994</v>
      </c>
      <c r="V141" s="1" t="s">
        <v>295</v>
      </c>
      <c r="W141" s="1" t="s">
        <v>1062</v>
      </c>
      <c r="X141" s="1" t="s">
        <v>884</v>
      </c>
      <c r="Y141" s="1" t="s">
        <v>885</v>
      </c>
      <c r="Z141" s="1" t="s">
        <v>886</v>
      </c>
      <c r="AA141" s="1" t="s">
        <v>887</v>
      </c>
      <c r="AB141" s="1" t="s">
        <v>345</v>
      </c>
      <c r="AC141" s="1" t="s">
        <v>315</v>
      </c>
      <c r="AD141" s="1" t="s">
        <v>936</v>
      </c>
      <c r="AE141" s="1" t="s">
        <v>958</v>
      </c>
      <c r="AF141" s="1" t="s">
        <v>315</v>
      </c>
      <c r="AG141" s="1" t="s">
        <v>315</v>
      </c>
      <c r="AH141" s="1" t="s">
        <v>714</v>
      </c>
      <c r="AI141" s="1" t="s">
        <v>714</v>
      </c>
      <c r="AJ141" s="1" t="s">
        <v>888</v>
      </c>
      <c r="AK141" s="1" t="s">
        <v>350</v>
      </c>
      <c r="AL141" s="1" t="s">
        <v>315</v>
      </c>
      <c r="AM141" s="1">
        <v>157500000</v>
      </c>
      <c r="AN141" s="5" t="s">
        <v>315</v>
      </c>
      <c r="AO141" s="5" t="s">
        <v>315</v>
      </c>
      <c r="AP141" s="1">
        <v>4</v>
      </c>
      <c r="AQ141" s="1">
        <v>135200000</v>
      </c>
      <c r="AR141" s="5" t="s">
        <v>315</v>
      </c>
      <c r="AS141" s="5" t="s">
        <v>315</v>
      </c>
      <c r="AT141" s="1">
        <v>4</v>
      </c>
      <c r="AU141" s="7" t="s">
        <v>971</v>
      </c>
    </row>
    <row r="142" spans="1:47">
      <c r="A142" s="1">
        <v>36</v>
      </c>
      <c r="B142" s="11">
        <v>1</v>
      </c>
      <c r="C142" s="1" t="s">
        <v>232</v>
      </c>
      <c r="D142" s="1" t="s">
        <v>233</v>
      </c>
      <c r="E142" s="1" t="s">
        <v>234</v>
      </c>
      <c r="F142" s="1">
        <v>2001</v>
      </c>
      <c r="G142" s="1" t="s">
        <v>554</v>
      </c>
      <c r="H142" s="1" t="s">
        <v>555</v>
      </c>
      <c r="I142" s="1">
        <v>48.266666999999998</v>
      </c>
      <c r="J142" s="1">
        <v>-4.7833329999999998</v>
      </c>
      <c r="K142" s="1" t="s">
        <v>328</v>
      </c>
      <c r="L142" s="1" t="s">
        <v>556</v>
      </c>
      <c r="M142" s="1" t="s">
        <v>652</v>
      </c>
      <c r="N142" s="1" t="s">
        <v>575</v>
      </c>
      <c r="O142" s="1" t="s">
        <v>791</v>
      </c>
      <c r="P142" s="1" t="s">
        <v>338</v>
      </c>
      <c r="Q142" s="1" t="s">
        <v>333</v>
      </c>
      <c r="R142" s="1" t="s">
        <v>315</v>
      </c>
      <c r="S142" s="1" t="s">
        <v>335</v>
      </c>
      <c r="T142" s="1" t="s">
        <v>610</v>
      </c>
      <c r="V142" s="1" t="s">
        <v>295</v>
      </c>
      <c r="W142" s="1" t="s">
        <v>674</v>
      </c>
      <c r="X142" s="1" t="s">
        <v>580</v>
      </c>
      <c r="Y142" s="1" t="s">
        <v>581</v>
      </c>
      <c r="Z142" s="1" t="s">
        <v>672</v>
      </c>
      <c r="AA142" s="1" t="s">
        <v>673</v>
      </c>
      <c r="AB142" s="1" t="s">
        <v>295</v>
      </c>
      <c r="AC142" s="1" t="s">
        <v>1070</v>
      </c>
      <c r="AD142" s="1" t="s">
        <v>347</v>
      </c>
      <c r="AE142" s="1" t="s">
        <v>958</v>
      </c>
      <c r="AF142" s="1" t="s">
        <v>1071</v>
      </c>
      <c r="AG142" s="1" t="s">
        <v>1072</v>
      </c>
      <c r="AH142" s="1" t="s">
        <v>1081</v>
      </c>
      <c r="AI142" s="1" t="s">
        <v>1081</v>
      </c>
      <c r="AJ142" s="1" t="s">
        <v>1003</v>
      </c>
      <c r="AK142" s="1" t="s">
        <v>318</v>
      </c>
      <c r="AL142" s="1" t="s">
        <v>670</v>
      </c>
      <c r="AM142">
        <v>0.35</v>
      </c>
      <c r="AN142" s="1">
        <v>4.2553191489361708E-2</v>
      </c>
      <c r="AO142" s="1" t="s">
        <v>315</v>
      </c>
      <c r="AP142" s="1">
        <v>3</v>
      </c>
      <c r="AQ142">
        <v>0.31</v>
      </c>
      <c r="AR142" s="1">
        <v>3.0395136778115495E-2</v>
      </c>
      <c r="AS142" s="1" t="s">
        <v>315</v>
      </c>
      <c r="AT142" s="1">
        <v>3</v>
      </c>
      <c r="AU142" s="1" t="s">
        <v>1096</v>
      </c>
    </row>
    <row r="143" spans="1:47">
      <c r="A143" s="1">
        <v>36</v>
      </c>
      <c r="B143" s="11">
        <v>2</v>
      </c>
      <c r="C143" s="1" t="s">
        <v>232</v>
      </c>
      <c r="D143" s="1" t="s">
        <v>233</v>
      </c>
      <c r="E143" s="1" t="s">
        <v>234</v>
      </c>
      <c r="F143" s="1">
        <v>2001</v>
      </c>
      <c r="G143" s="1" t="s">
        <v>554</v>
      </c>
      <c r="H143" s="1" t="s">
        <v>555</v>
      </c>
      <c r="I143" s="1">
        <v>48.266666999999998</v>
      </c>
      <c r="J143" s="1">
        <v>-4.7833329999999998</v>
      </c>
      <c r="K143" s="1" t="s">
        <v>328</v>
      </c>
      <c r="L143" s="1" t="s">
        <v>556</v>
      </c>
      <c r="M143" s="1" t="s">
        <v>652</v>
      </c>
      <c r="N143" s="1" t="s">
        <v>575</v>
      </c>
      <c r="O143" s="1" t="s">
        <v>791</v>
      </c>
      <c r="P143" s="1" t="s">
        <v>338</v>
      </c>
      <c r="Q143" s="1" t="s">
        <v>333</v>
      </c>
      <c r="R143" s="1" t="s">
        <v>315</v>
      </c>
      <c r="S143" s="1" t="s">
        <v>335</v>
      </c>
      <c r="T143" s="1" t="s">
        <v>610</v>
      </c>
      <c r="V143" s="1" t="s">
        <v>295</v>
      </c>
      <c r="W143" s="1" t="s">
        <v>674</v>
      </c>
      <c r="X143" s="1" t="s">
        <v>580</v>
      </c>
      <c r="Y143" s="1" t="s">
        <v>581</v>
      </c>
      <c r="Z143" s="1" t="s">
        <v>672</v>
      </c>
      <c r="AA143" s="1" t="s">
        <v>673</v>
      </c>
      <c r="AB143" s="1" t="s">
        <v>295</v>
      </c>
      <c r="AC143" s="1" t="s">
        <v>1079</v>
      </c>
      <c r="AD143" s="1" t="s">
        <v>347</v>
      </c>
      <c r="AE143" s="1" t="s">
        <v>958</v>
      </c>
      <c r="AF143" s="1" t="s">
        <v>1080</v>
      </c>
      <c r="AG143" s="1" t="s">
        <v>1074</v>
      </c>
      <c r="AH143" s="1" t="s">
        <v>1081</v>
      </c>
      <c r="AI143" s="1" t="s">
        <v>1081</v>
      </c>
      <c r="AJ143" s="1" t="s">
        <v>1003</v>
      </c>
      <c r="AK143" s="1" t="s">
        <v>318</v>
      </c>
      <c r="AL143" s="1" t="s">
        <v>670</v>
      </c>
      <c r="AM143">
        <v>0.49</v>
      </c>
      <c r="AN143" s="1">
        <v>2.4316109422492405E-2</v>
      </c>
      <c r="AO143" s="1" t="s">
        <v>315</v>
      </c>
      <c r="AP143" s="1">
        <v>3</v>
      </c>
      <c r="AQ143">
        <v>0.42</v>
      </c>
      <c r="AR143" s="1">
        <v>3.0395136778115495E-2</v>
      </c>
      <c r="AS143" s="1" t="s">
        <v>315</v>
      </c>
      <c r="AT143" s="1">
        <v>3</v>
      </c>
      <c r="AU143" s="1" t="s">
        <v>1096</v>
      </c>
    </row>
    <row r="144" spans="1:47">
      <c r="A144" s="1">
        <v>36</v>
      </c>
      <c r="B144" s="11">
        <v>3</v>
      </c>
      <c r="C144" s="1" t="s">
        <v>232</v>
      </c>
      <c r="D144" s="1" t="s">
        <v>233</v>
      </c>
      <c r="E144" s="1" t="s">
        <v>234</v>
      </c>
      <c r="F144" s="1">
        <v>2001</v>
      </c>
      <c r="G144" s="1" t="s">
        <v>554</v>
      </c>
      <c r="H144" s="1" t="s">
        <v>555</v>
      </c>
      <c r="I144" s="1">
        <v>48.266666999999998</v>
      </c>
      <c r="J144" s="1">
        <v>-4.7833329999999998</v>
      </c>
      <c r="K144" s="1" t="s">
        <v>328</v>
      </c>
      <c r="L144" s="1" t="s">
        <v>556</v>
      </c>
      <c r="M144" s="1" t="s">
        <v>652</v>
      </c>
      <c r="N144" s="1" t="s">
        <v>575</v>
      </c>
      <c r="O144" s="1" t="s">
        <v>791</v>
      </c>
      <c r="P144" s="1" t="s">
        <v>338</v>
      </c>
      <c r="Q144" s="1" t="s">
        <v>333</v>
      </c>
      <c r="R144" s="1" t="s">
        <v>315</v>
      </c>
      <c r="S144" s="1" t="s">
        <v>335</v>
      </c>
      <c r="T144" s="1" t="s">
        <v>610</v>
      </c>
      <c r="V144" s="1" t="s">
        <v>295</v>
      </c>
      <c r="W144" s="1" t="s">
        <v>674</v>
      </c>
      <c r="X144" s="1" t="s">
        <v>580</v>
      </c>
      <c r="Y144" s="1" t="s">
        <v>581</v>
      </c>
      <c r="Z144" s="1" t="s">
        <v>672</v>
      </c>
      <c r="AA144" s="1" t="s">
        <v>673</v>
      </c>
      <c r="AB144" s="1" t="s">
        <v>295</v>
      </c>
      <c r="AC144" s="1" t="s">
        <v>1078</v>
      </c>
      <c r="AD144" s="1" t="s">
        <v>347</v>
      </c>
      <c r="AE144" s="1" t="s">
        <v>348</v>
      </c>
      <c r="AF144" s="1" t="s">
        <v>1077</v>
      </c>
      <c r="AG144" s="1" t="s">
        <v>1075</v>
      </c>
      <c r="AH144" s="1" t="s">
        <v>1081</v>
      </c>
      <c r="AI144" s="1" t="s">
        <v>1081</v>
      </c>
      <c r="AJ144" s="1" t="s">
        <v>1003</v>
      </c>
      <c r="AK144" s="1" t="s">
        <v>318</v>
      </c>
      <c r="AL144" s="1" t="s">
        <v>670</v>
      </c>
      <c r="AM144">
        <v>0.46</v>
      </c>
      <c r="AN144" s="1">
        <v>1.8237082066869283E-2</v>
      </c>
      <c r="AO144" s="1" t="s">
        <v>315</v>
      </c>
      <c r="AP144" s="1">
        <v>3</v>
      </c>
      <c r="AQ144">
        <v>0.43</v>
      </c>
      <c r="AR144" s="1">
        <v>2.4316109422492387E-2</v>
      </c>
      <c r="AS144" s="1" t="s">
        <v>315</v>
      </c>
      <c r="AT144" s="1">
        <v>3</v>
      </c>
      <c r="AU144" s="1" t="s">
        <v>1096</v>
      </c>
    </row>
    <row r="145" spans="1:47">
      <c r="A145" s="1">
        <v>36</v>
      </c>
      <c r="B145" s="11">
        <v>4</v>
      </c>
      <c r="C145" s="1" t="s">
        <v>232</v>
      </c>
      <c r="D145" s="1" t="s">
        <v>233</v>
      </c>
      <c r="E145" s="1" t="s">
        <v>234</v>
      </c>
      <c r="F145" s="1">
        <v>2001</v>
      </c>
      <c r="G145" s="1" t="s">
        <v>554</v>
      </c>
      <c r="H145" s="1" t="s">
        <v>555</v>
      </c>
      <c r="I145" s="1">
        <v>48.266666999999998</v>
      </c>
      <c r="J145" s="1">
        <v>-4.7833329999999998</v>
      </c>
      <c r="K145" s="1" t="s">
        <v>328</v>
      </c>
      <c r="L145" s="1" t="s">
        <v>556</v>
      </c>
      <c r="M145" s="1" t="s">
        <v>652</v>
      </c>
      <c r="N145" s="1" t="s">
        <v>575</v>
      </c>
      <c r="O145" s="1" t="s">
        <v>791</v>
      </c>
      <c r="P145" s="1" t="s">
        <v>338</v>
      </c>
      <c r="Q145" s="1" t="s">
        <v>333</v>
      </c>
      <c r="R145" s="1" t="s">
        <v>315</v>
      </c>
      <c r="S145" s="1" t="s">
        <v>335</v>
      </c>
      <c r="T145" s="1" t="s">
        <v>610</v>
      </c>
      <c r="V145" s="1" t="s">
        <v>295</v>
      </c>
      <c r="W145" s="1" t="s">
        <v>674</v>
      </c>
      <c r="X145" s="1" t="s">
        <v>580</v>
      </c>
      <c r="Y145" s="1" t="s">
        <v>581</v>
      </c>
      <c r="Z145" s="1" t="s">
        <v>672</v>
      </c>
      <c r="AA145" s="1" t="s">
        <v>673</v>
      </c>
      <c r="AB145" s="1" t="s">
        <v>295</v>
      </c>
      <c r="AC145" s="1" t="s">
        <v>853</v>
      </c>
      <c r="AD145" s="1" t="s">
        <v>347</v>
      </c>
      <c r="AE145" s="1" t="s">
        <v>348</v>
      </c>
      <c r="AF145" s="1" t="s">
        <v>841</v>
      </c>
      <c r="AG145" s="1" t="s">
        <v>1076</v>
      </c>
      <c r="AH145" s="1" t="s">
        <v>1081</v>
      </c>
      <c r="AI145" s="1" t="s">
        <v>1081</v>
      </c>
      <c r="AJ145" s="1" t="s">
        <v>1003</v>
      </c>
      <c r="AK145" s="1" t="s">
        <v>318</v>
      </c>
      <c r="AL145" s="1" t="s">
        <v>670</v>
      </c>
      <c r="AM145">
        <v>0.96</v>
      </c>
      <c r="AN145" s="1">
        <v>6.6869300911854127E-2</v>
      </c>
      <c r="AO145" s="1" t="s">
        <v>315</v>
      </c>
      <c r="AP145" s="1">
        <v>3</v>
      </c>
      <c r="AQ145">
        <v>0.7</v>
      </c>
      <c r="AR145" s="1">
        <v>4.2553191489361743E-2</v>
      </c>
      <c r="AS145" s="1" t="s">
        <v>315</v>
      </c>
      <c r="AT145" s="1">
        <v>3</v>
      </c>
      <c r="AU145" s="1" t="s">
        <v>1096</v>
      </c>
    </row>
    <row r="146" spans="1:47">
      <c r="A146" s="1">
        <v>36</v>
      </c>
      <c r="B146" s="11">
        <v>5</v>
      </c>
      <c r="C146" s="1" t="s">
        <v>232</v>
      </c>
      <c r="D146" s="1" t="s">
        <v>233</v>
      </c>
      <c r="E146" s="1" t="s">
        <v>234</v>
      </c>
      <c r="F146" s="1">
        <v>2001</v>
      </c>
      <c r="G146" s="1" t="s">
        <v>557</v>
      </c>
      <c r="H146" s="1" t="s">
        <v>558</v>
      </c>
      <c r="I146" s="1">
        <v>-41.166666999999997</v>
      </c>
      <c r="J146" s="1">
        <v>-74.966667000000001</v>
      </c>
      <c r="K146" s="1" t="s">
        <v>270</v>
      </c>
      <c r="L146" s="1" t="s">
        <v>270</v>
      </c>
      <c r="M146" s="1" t="s">
        <v>1054</v>
      </c>
      <c r="N146" s="1" t="s">
        <v>291</v>
      </c>
      <c r="O146" s="1" t="s">
        <v>292</v>
      </c>
      <c r="P146" s="1" t="s">
        <v>276</v>
      </c>
      <c r="Q146" s="1" t="s">
        <v>333</v>
      </c>
      <c r="R146" s="1" t="s">
        <v>315</v>
      </c>
      <c r="S146" s="1" t="s">
        <v>335</v>
      </c>
      <c r="T146" s="1" t="s">
        <v>610</v>
      </c>
      <c r="V146" s="1" t="s">
        <v>295</v>
      </c>
      <c r="W146" s="1" t="s">
        <v>579</v>
      </c>
      <c r="X146" s="1" t="s">
        <v>580</v>
      </c>
      <c r="Y146" s="1" t="s">
        <v>581</v>
      </c>
      <c r="Z146" s="1" t="s">
        <v>582</v>
      </c>
      <c r="AA146" s="1" t="s">
        <v>1063</v>
      </c>
      <c r="AB146" s="1" t="s">
        <v>295</v>
      </c>
      <c r="AC146" s="1" t="s">
        <v>1070</v>
      </c>
      <c r="AD146" s="1" t="s">
        <v>347</v>
      </c>
      <c r="AE146" s="1" t="s">
        <v>958</v>
      </c>
      <c r="AF146" s="1" t="s">
        <v>1071</v>
      </c>
      <c r="AG146" s="1" t="s">
        <v>1073</v>
      </c>
      <c r="AH146" s="1" t="s">
        <v>1081</v>
      </c>
      <c r="AI146" s="1" t="s">
        <v>1081</v>
      </c>
      <c r="AJ146" s="1" t="s">
        <v>1003</v>
      </c>
      <c r="AK146" s="1" t="s">
        <v>318</v>
      </c>
      <c r="AL146" s="1" t="s">
        <v>670</v>
      </c>
      <c r="AM146">
        <v>0.43</v>
      </c>
      <c r="AN146" s="1">
        <v>4.8632218844984809E-2</v>
      </c>
      <c r="AO146" s="1" t="s">
        <v>315</v>
      </c>
      <c r="AP146" s="1">
        <v>3</v>
      </c>
      <c r="AQ146">
        <v>0.39</v>
      </c>
      <c r="AR146" s="1">
        <v>4.2553191489361708E-2</v>
      </c>
      <c r="AS146" s="1" t="s">
        <v>315</v>
      </c>
      <c r="AT146" s="1">
        <v>3</v>
      </c>
      <c r="AU146" s="1" t="s">
        <v>1096</v>
      </c>
    </row>
    <row r="147" spans="1:47">
      <c r="A147" s="1">
        <v>36</v>
      </c>
      <c r="B147" s="11">
        <v>6</v>
      </c>
      <c r="C147" s="1" t="s">
        <v>232</v>
      </c>
      <c r="D147" s="1" t="s">
        <v>233</v>
      </c>
      <c r="E147" s="1" t="s">
        <v>234</v>
      </c>
      <c r="F147" s="1">
        <v>2001</v>
      </c>
      <c r="G147" s="1" t="s">
        <v>557</v>
      </c>
      <c r="H147" s="1" t="s">
        <v>558</v>
      </c>
      <c r="I147" s="1">
        <v>-41.166666999999997</v>
      </c>
      <c r="J147" s="1">
        <v>-74.966667000000001</v>
      </c>
      <c r="K147" s="1" t="s">
        <v>270</v>
      </c>
      <c r="L147" s="1" t="s">
        <v>270</v>
      </c>
      <c r="M147" s="1" t="s">
        <v>1054</v>
      </c>
      <c r="N147" s="1" t="s">
        <v>291</v>
      </c>
      <c r="O147" s="1" t="s">
        <v>292</v>
      </c>
      <c r="P147" s="1" t="s">
        <v>276</v>
      </c>
      <c r="Q147" s="1" t="s">
        <v>333</v>
      </c>
      <c r="R147" s="1" t="s">
        <v>315</v>
      </c>
      <c r="S147" s="1" t="s">
        <v>335</v>
      </c>
      <c r="T147" s="1" t="s">
        <v>610</v>
      </c>
      <c r="V147" s="1" t="s">
        <v>295</v>
      </c>
      <c r="W147" s="1" t="s">
        <v>579</v>
      </c>
      <c r="X147" s="1" t="s">
        <v>580</v>
      </c>
      <c r="Y147" s="1" t="s">
        <v>581</v>
      </c>
      <c r="Z147" s="1" t="s">
        <v>582</v>
      </c>
      <c r="AA147" s="1" t="s">
        <v>1063</v>
      </c>
      <c r="AB147" s="1" t="s">
        <v>295</v>
      </c>
      <c r="AC147" s="1" t="s">
        <v>1078</v>
      </c>
      <c r="AD147" s="1" t="s">
        <v>347</v>
      </c>
      <c r="AE147" s="1" t="s">
        <v>348</v>
      </c>
      <c r="AF147" s="1" t="s">
        <v>1077</v>
      </c>
      <c r="AG147" s="1" t="s">
        <v>1075</v>
      </c>
      <c r="AH147" s="1" t="s">
        <v>1081</v>
      </c>
      <c r="AI147" s="1" t="s">
        <v>1081</v>
      </c>
      <c r="AJ147" s="1" t="s">
        <v>1003</v>
      </c>
      <c r="AK147" s="1" t="s">
        <v>318</v>
      </c>
      <c r="AL147" s="1" t="s">
        <v>670</v>
      </c>
      <c r="AM147">
        <v>1.63</v>
      </c>
      <c r="AN147" s="1">
        <v>0.21276595744680857</v>
      </c>
      <c r="AO147" s="1" t="s">
        <v>315</v>
      </c>
      <c r="AP147" s="1">
        <v>3</v>
      </c>
      <c r="AQ147">
        <v>0.8</v>
      </c>
      <c r="AR147" s="1">
        <v>5.4711246200607883E-2</v>
      </c>
      <c r="AS147" s="1" t="s">
        <v>315</v>
      </c>
      <c r="AT147" s="1">
        <v>3</v>
      </c>
      <c r="AU147" s="1" t="s">
        <v>1096</v>
      </c>
    </row>
    <row r="148" spans="1:47">
      <c r="A148" s="1">
        <v>36</v>
      </c>
      <c r="B148" s="11">
        <v>7</v>
      </c>
      <c r="C148" s="1" t="s">
        <v>232</v>
      </c>
      <c r="D148" s="1" t="s">
        <v>233</v>
      </c>
      <c r="E148" s="1" t="s">
        <v>234</v>
      </c>
      <c r="F148" s="1">
        <v>2001</v>
      </c>
      <c r="G148" s="1" t="s">
        <v>554</v>
      </c>
      <c r="H148" s="1" t="s">
        <v>555</v>
      </c>
      <c r="I148" s="1">
        <v>48.266666999999998</v>
      </c>
      <c r="J148" s="1">
        <v>-4.7833329999999998</v>
      </c>
      <c r="K148" s="1" t="s">
        <v>328</v>
      </c>
      <c r="L148" s="1" t="s">
        <v>556</v>
      </c>
      <c r="M148" s="1" t="s">
        <v>652</v>
      </c>
      <c r="N148" s="1" t="s">
        <v>575</v>
      </c>
      <c r="O148" s="1" t="s">
        <v>791</v>
      </c>
      <c r="P148" s="1" t="s">
        <v>338</v>
      </c>
      <c r="Q148" s="1" t="s">
        <v>333</v>
      </c>
      <c r="R148" s="1" t="s">
        <v>315</v>
      </c>
      <c r="S148" s="1" t="s">
        <v>335</v>
      </c>
      <c r="T148" s="1" t="s">
        <v>578</v>
      </c>
      <c r="V148" s="1" t="s">
        <v>295</v>
      </c>
      <c r="W148" s="1" t="s">
        <v>1066</v>
      </c>
      <c r="X148" s="1" t="s">
        <v>306</v>
      </c>
      <c r="Y148" s="1" t="s">
        <v>307</v>
      </c>
      <c r="Z148" s="1" t="s">
        <v>1064</v>
      </c>
      <c r="AA148" s="1" t="s">
        <v>1065</v>
      </c>
      <c r="AB148" s="1" t="s">
        <v>295</v>
      </c>
      <c r="AC148" s="1" t="s">
        <v>1070</v>
      </c>
      <c r="AD148" s="1" t="s">
        <v>347</v>
      </c>
      <c r="AE148" s="1" t="s">
        <v>958</v>
      </c>
      <c r="AF148" s="1" t="s">
        <v>1071</v>
      </c>
      <c r="AG148" s="1" t="s">
        <v>1072</v>
      </c>
      <c r="AH148" s="1" t="s">
        <v>1081</v>
      </c>
      <c r="AI148" s="1" t="s">
        <v>1081</v>
      </c>
      <c r="AJ148" s="1" t="s">
        <v>1003</v>
      </c>
      <c r="AK148" s="1" t="s">
        <v>318</v>
      </c>
      <c r="AL148" s="1" t="s">
        <v>670</v>
      </c>
      <c r="AM148">
        <v>0.35</v>
      </c>
      <c r="AN148" s="1">
        <v>2.4316109422492387E-2</v>
      </c>
      <c r="AO148" s="1" t="s">
        <v>315</v>
      </c>
      <c r="AP148" s="1">
        <v>3</v>
      </c>
      <c r="AQ148">
        <v>0.27</v>
      </c>
      <c r="AR148" s="1">
        <v>4.8632218844984809E-2</v>
      </c>
      <c r="AS148" s="1" t="s">
        <v>315</v>
      </c>
      <c r="AT148" s="1">
        <v>3</v>
      </c>
      <c r="AU148" s="1" t="s">
        <v>1096</v>
      </c>
    </row>
    <row r="149" spans="1:47">
      <c r="A149" s="1">
        <v>36</v>
      </c>
      <c r="B149" s="11">
        <v>8</v>
      </c>
      <c r="C149" s="1" t="s">
        <v>232</v>
      </c>
      <c r="D149" s="1" t="s">
        <v>233</v>
      </c>
      <c r="E149" s="1" t="s">
        <v>234</v>
      </c>
      <c r="F149" s="1">
        <v>2001</v>
      </c>
      <c r="G149" s="1" t="s">
        <v>554</v>
      </c>
      <c r="H149" s="1" t="s">
        <v>555</v>
      </c>
      <c r="I149" s="1">
        <v>48.266666999999998</v>
      </c>
      <c r="J149" s="1">
        <v>-4.7833329999999998</v>
      </c>
      <c r="K149" s="1" t="s">
        <v>328</v>
      </c>
      <c r="L149" s="1" t="s">
        <v>556</v>
      </c>
      <c r="M149" s="1" t="s">
        <v>652</v>
      </c>
      <c r="N149" s="1" t="s">
        <v>575</v>
      </c>
      <c r="O149" s="1" t="s">
        <v>791</v>
      </c>
      <c r="P149" s="1" t="s">
        <v>338</v>
      </c>
      <c r="Q149" s="1" t="s">
        <v>333</v>
      </c>
      <c r="R149" s="1" t="s">
        <v>315</v>
      </c>
      <c r="S149" s="1" t="s">
        <v>335</v>
      </c>
      <c r="T149" s="1" t="s">
        <v>578</v>
      </c>
      <c r="V149" s="1" t="s">
        <v>295</v>
      </c>
      <c r="W149" s="1" t="s">
        <v>1066</v>
      </c>
      <c r="X149" s="1" t="s">
        <v>306</v>
      </c>
      <c r="Y149" s="1" t="s">
        <v>307</v>
      </c>
      <c r="Z149" s="1" t="s">
        <v>1064</v>
      </c>
      <c r="AA149" s="1" t="s">
        <v>1065</v>
      </c>
      <c r="AB149" s="1" t="s">
        <v>295</v>
      </c>
      <c r="AC149" s="1" t="s">
        <v>1079</v>
      </c>
      <c r="AD149" s="1" t="s">
        <v>347</v>
      </c>
      <c r="AE149" s="1" t="s">
        <v>958</v>
      </c>
      <c r="AF149" s="1" t="s">
        <v>1080</v>
      </c>
      <c r="AG149" s="1" t="s">
        <v>1074</v>
      </c>
      <c r="AH149" s="1" t="s">
        <v>1081</v>
      </c>
      <c r="AI149" s="1" t="s">
        <v>1081</v>
      </c>
      <c r="AJ149" s="1" t="s">
        <v>1003</v>
      </c>
      <c r="AK149" s="1" t="s">
        <v>318</v>
      </c>
      <c r="AL149" s="1" t="s">
        <v>670</v>
      </c>
      <c r="AM149">
        <v>0.42</v>
      </c>
      <c r="AN149" s="1">
        <v>4.2553191489361708E-2</v>
      </c>
      <c r="AO149" s="1" t="s">
        <v>315</v>
      </c>
      <c r="AP149" s="1">
        <v>3</v>
      </c>
      <c r="AQ149">
        <v>0.62</v>
      </c>
      <c r="AR149" s="1">
        <v>2.4316109422492422E-2</v>
      </c>
      <c r="AS149" s="1" t="s">
        <v>315</v>
      </c>
      <c r="AT149" s="1">
        <v>3</v>
      </c>
      <c r="AU149" s="1" t="s">
        <v>1096</v>
      </c>
    </row>
    <row r="150" spans="1:47">
      <c r="A150" s="1">
        <v>36</v>
      </c>
      <c r="B150" s="11">
        <v>9</v>
      </c>
      <c r="C150" s="1" t="s">
        <v>232</v>
      </c>
      <c r="D150" s="1" t="s">
        <v>233</v>
      </c>
      <c r="E150" s="1" t="s">
        <v>234</v>
      </c>
      <c r="F150" s="1">
        <v>2001</v>
      </c>
      <c r="G150" s="1" t="s">
        <v>554</v>
      </c>
      <c r="H150" s="1" t="s">
        <v>555</v>
      </c>
      <c r="I150" s="1">
        <v>48.266666999999998</v>
      </c>
      <c r="J150" s="1">
        <v>-4.7833329999999998</v>
      </c>
      <c r="K150" s="1" t="s">
        <v>328</v>
      </c>
      <c r="L150" s="1" t="s">
        <v>556</v>
      </c>
      <c r="M150" s="1" t="s">
        <v>652</v>
      </c>
      <c r="N150" s="1" t="s">
        <v>575</v>
      </c>
      <c r="O150" s="1" t="s">
        <v>791</v>
      </c>
      <c r="P150" s="1" t="s">
        <v>338</v>
      </c>
      <c r="Q150" s="1" t="s">
        <v>333</v>
      </c>
      <c r="R150" s="1" t="s">
        <v>315</v>
      </c>
      <c r="S150" s="1" t="s">
        <v>335</v>
      </c>
      <c r="T150" s="1" t="s">
        <v>578</v>
      </c>
      <c r="V150" s="1" t="s">
        <v>295</v>
      </c>
      <c r="W150" s="1" t="s">
        <v>1066</v>
      </c>
      <c r="X150" s="1" t="s">
        <v>306</v>
      </c>
      <c r="Y150" s="1" t="s">
        <v>307</v>
      </c>
      <c r="Z150" s="1" t="s">
        <v>1064</v>
      </c>
      <c r="AA150" s="1" t="s">
        <v>1065</v>
      </c>
      <c r="AB150" s="1" t="s">
        <v>295</v>
      </c>
      <c r="AC150" s="1" t="s">
        <v>1078</v>
      </c>
      <c r="AD150" s="1" t="s">
        <v>347</v>
      </c>
      <c r="AE150" s="1" t="s">
        <v>348</v>
      </c>
      <c r="AF150" s="1" t="s">
        <v>1077</v>
      </c>
      <c r="AG150" s="1" t="s">
        <v>1075</v>
      </c>
      <c r="AH150" s="1" t="s">
        <v>1081</v>
      </c>
      <c r="AI150" s="1" t="s">
        <v>1081</v>
      </c>
      <c r="AJ150" s="1" t="s">
        <v>1003</v>
      </c>
      <c r="AK150" s="1" t="s">
        <v>318</v>
      </c>
      <c r="AL150" s="1" t="s">
        <v>670</v>
      </c>
      <c r="AM150">
        <v>0</v>
      </c>
      <c r="AN150" s="1">
        <v>0</v>
      </c>
      <c r="AO150" s="1" t="s">
        <v>315</v>
      </c>
      <c r="AP150" s="1">
        <v>3</v>
      </c>
      <c r="AQ150">
        <v>0.51</v>
      </c>
      <c r="AR150" s="1">
        <v>3.6474164133738614E-2</v>
      </c>
      <c r="AS150" s="1" t="s">
        <v>315</v>
      </c>
      <c r="AT150" s="1">
        <v>3</v>
      </c>
      <c r="AU150" s="1" t="s">
        <v>1096</v>
      </c>
    </row>
    <row r="151" spans="1:47">
      <c r="A151" s="1">
        <v>36</v>
      </c>
      <c r="B151" s="11">
        <v>10</v>
      </c>
      <c r="C151" s="1" t="s">
        <v>232</v>
      </c>
      <c r="D151" s="1" t="s">
        <v>233</v>
      </c>
      <c r="E151" s="1" t="s">
        <v>234</v>
      </c>
      <c r="F151" s="1">
        <v>2001</v>
      </c>
      <c r="G151" s="1" t="s">
        <v>554</v>
      </c>
      <c r="H151" s="1" t="s">
        <v>555</v>
      </c>
      <c r="I151" s="1">
        <v>48.266666999999998</v>
      </c>
      <c r="J151" s="1">
        <v>-4.7833329999999998</v>
      </c>
      <c r="K151" s="1" t="s">
        <v>328</v>
      </c>
      <c r="L151" s="1" t="s">
        <v>556</v>
      </c>
      <c r="M151" s="1" t="s">
        <v>652</v>
      </c>
      <c r="N151" s="1" t="s">
        <v>575</v>
      </c>
      <c r="O151" s="1" t="s">
        <v>791</v>
      </c>
      <c r="P151" s="1" t="s">
        <v>338</v>
      </c>
      <c r="Q151" s="1" t="s">
        <v>333</v>
      </c>
      <c r="R151" s="1" t="s">
        <v>315</v>
      </c>
      <c r="S151" s="1" t="s">
        <v>335</v>
      </c>
      <c r="T151" s="1" t="s">
        <v>578</v>
      </c>
      <c r="V151" s="1" t="s">
        <v>295</v>
      </c>
      <c r="W151" s="1" t="s">
        <v>1066</v>
      </c>
      <c r="X151" s="1" t="s">
        <v>306</v>
      </c>
      <c r="Y151" s="1" t="s">
        <v>307</v>
      </c>
      <c r="Z151" s="1" t="s">
        <v>1064</v>
      </c>
      <c r="AA151" s="1" t="s">
        <v>1065</v>
      </c>
      <c r="AB151" s="1" t="s">
        <v>295</v>
      </c>
      <c r="AC151" s="1" t="s">
        <v>853</v>
      </c>
      <c r="AD151" s="1" t="s">
        <v>347</v>
      </c>
      <c r="AE151" s="1" t="s">
        <v>348</v>
      </c>
      <c r="AF151" s="1" t="s">
        <v>841</v>
      </c>
      <c r="AG151" s="1" t="s">
        <v>1076</v>
      </c>
      <c r="AH151" s="1" t="s">
        <v>1081</v>
      </c>
      <c r="AI151" s="1" t="s">
        <v>1081</v>
      </c>
      <c r="AJ151" s="1" t="s">
        <v>1003</v>
      </c>
      <c r="AK151" s="1" t="s">
        <v>318</v>
      </c>
      <c r="AL151" s="1" t="s">
        <v>670</v>
      </c>
      <c r="AM151">
        <v>0.28999999999999998</v>
      </c>
      <c r="AN151" s="1">
        <v>2.4316109422492398E-2</v>
      </c>
      <c r="AO151" s="1" t="s">
        <v>315</v>
      </c>
      <c r="AP151" s="1">
        <v>3</v>
      </c>
      <c r="AQ151">
        <v>0.57999999999999996</v>
      </c>
      <c r="AR151" s="1">
        <v>4.8632218844984795E-2</v>
      </c>
      <c r="AS151" s="1" t="s">
        <v>315</v>
      </c>
      <c r="AT151" s="1">
        <v>3</v>
      </c>
      <c r="AU151" s="1" t="s">
        <v>1096</v>
      </c>
    </row>
    <row r="152" spans="1:47">
      <c r="A152" s="1">
        <v>36</v>
      </c>
      <c r="B152" s="11">
        <v>11</v>
      </c>
      <c r="C152" s="1" t="s">
        <v>232</v>
      </c>
      <c r="D152" s="1" t="s">
        <v>233</v>
      </c>
      <c r="E152" s="1" t="s">
        <v>234</v>
      </c>
      <c r="F152" s="1">
        <v>2001</v>
      </c>
      <c r="G152" s="1" t="s">
        <v>557</v>
      </c>
      <c r="H152" s="1" t="s">
        <v>558</v>
      </c>
      <c r="I152" s="1">
        <v>-41.166666999999997</v>
      </c>
      <c r="J152" s="1">
        <v>-74.966667000000001</v>
      </c>
      <c r="K152" s="1" t="s">
        <v>270</v>
      </c>
      <c r="L152" s="1" t="s">
        <v>270</v>
      </c>
      <c r="M152" s="1" t="s">
        <v>1054</v>
      </c>
      <c r="N152" s="1" t="s">
        <v>291</v>
      </c>
      <c r="O152" s="1" t="s">
        <v>292</v>
      </c>
      <c r="P152" s="1" t="s">
        <v>276</v>
      </c>
      <c r="Q152" s="1" t="s">
        <v>333</v>
      </c>
      <c r="R152" s="1" t="s">
        <v>315</v>
      </c>
      <c r="S152" s="1" t="s">
        <v>335</v>
      </c>
      <c r="T152" s="1" t="s">
        <v>578</v>
      </c>
      <c r="V152" s="1" t="s">
        <v>295</v>
      </c>
      <c r="W152" s="1" t="s">
        <v>1067</v>
      </c>
      <c r="X152" s="1" t="s">
        <v>306</v>
      </c>
      <c r="Y152" s="1" t="s">
        <v>307</v>
      </c>
      <c r="Z152" s="1" t="s">
        <v>1068</v>
      </c>
      <c r="AA152" s="1" t="s">
        <v>1069</v>
      </c>
      <c r="AB152" s="1" t="s">
        <v>295</v>
      </c>
      <c r="AC152" s="1" t="s">
        <v>1070</v>
      </c>
      <c r="AD152" s="1" t="s">
        <v>347</v>
      </c>
      <c r="AE152" s="1" t="s">
        <v>958</v>
      </c>
      <c r="AF152" s="1" t="s">
        <v>1071</v>
      </c>
      <c r="AG152" s="1" t="s">
        <v>1073</v>
      </c>
      <c r="AH152" s="1" t="s">
        <v>1081</v>
      </c>
      <c r="AI152" s="1" t="s">
        <v>1081</v>
      </c>
      <c r="AJ152" s="1" t="s">
        <v>1003</v>
      </c>
      <c r="AK152" s="1" t="s">
        <v>318</v>
      </c>
      <c r="AL152" s="1" t="s">
        <v>670</v>
      </c>
      <c r="AM152">
        <v>0.28999999999999998</v>
      </c>
      <c r="AN152" s="1">
        <v>3.0395136778115495E-2</v>
      </c>
      <c r="AO152" s="1" t="s">
        <v>315</v>
      </c>
      <c r="AP152" s="1">
        <v>3</v>
      </c>
      <c r="AQ152">
        <v>0.23</v>
      </c>
      <c r="AR152" s="1">
        <v>2.4316109422492405E-2</v>
      </c>
      <c r="AS152" s="1" t="s">
        <v>315</v>
      </c>
      <c r="AT152" s="1">
        <v>3</v>
      </c>
      <c r="AU152" s="1" t="s">
        <v>1096</v>
      </c>
    </row>
    <row r="153" spans="1:47">
      <c r="A153" s="1">
        <v>36</v>
      </c>
      <c r="B153" s="11">
        <v>12</v>
      </c>
      <c r="C153" s="1" t="s">
        <v>232</v>
      </c>
      <c r="D153" s="1" t="s">
        <v>233</v>
      </c>
      <c r="E153" s="1" t="s">
        <v>234</v>
      </c>
      <c r="F153" s="1">
        <v>2001</v>
      </c>
      <c r="G153" s="1" t="s">
        <v>557</v>
      </c>
      <c r="H153" s="1" t="s">
        <v>558</v>
      </c>
      <c r="I153" s="1">
        <v>-41.166666999999997</v>
      </c>
      <c r="J153" s="1">
        <v>-74.966667000000001</v>
      </c>
      <c r="K153" s="1" t="s">
        <v>270</v>
      </c>
      <c r="L153" s="1" t="s">
        <v>270</v>
      </c>
      <c r="M153" s="1" t="s">
        <v>1054</v>
      </c>
      <c r="N153" s="1" t="s">
        <v>291</v>
      </c>
      <c r="O153" s="1" t="s">
        <v>292</v>
      </c>
      <c r="P153" s="1" t="s">
        <v>276</v>
      </c>
      <c r="Q153" s="1" t="s">
        <v>333</v>
      </c>
      <c r="R153" s="1" t="s">
        <v>315</v>
      </c>
      <c r="S153" s="1" t="s">
        <v>335</v>
      </c>
      <c r="T153" s="1" t="s">
        <v>578</v>
      </c>
      <c r="V153" s="1" t="s">
        <v>295</v>
      </c>
      <c r="W153" s="1" t="s">
        <v>1067</v>
      </c>
      <c r="X153" s="1" t="s">
        <v>306</v>
      </c>
      <c r="Y153" s="1" t="s">
        <v>307</v>
      </c>
      <c r="Z153" s="1" t="s">
        <v>1068</v>
      </c>
      <c r="AA153" s="1" t="s">
        <v>1069</v>
      </c>
      <c r="AB153" s="1" t="s">
        <v>295</v>
      </c>
      <c r="AC153" s="1" t="s">
        <v>1078</v>
      </c>
      <c r="AD153" s="1" t="s">
        <v>347</v>
      </c>
      <c r="AE153" s="1" t="s">
        <v>348</v>
      </c>
      <c r="AF153" s="1" t="s">
        <v>1077</v>
      </c>
      <c r="AG153" s="1" t="s">
        <v>1075</v>
      </c>
      <c r="AH153" s="1" t="s">
        <v>1081</v>
      </c>
      <c r="AI153" s="1" t="s">
        <v>1081</v>
      </c>
      <c r="AJ153" s="1" t="s">
        <v>1003</v>
      </c>
      <c r="AK153" s="1" t="s">
        <v>318</v>
      </c>
      <c r="AL153" s="1" t="s">
        <v>670</v>
      </c>
      <c r="AM153">
        <v>0.15</v>
      </c>
      <c r="AN153" s="1">
        <v>3.64741641337386E-2</v>
      </c>
      <c r="AO153" s="1" t="s">
        <v>315</v>
      </c>
      <c r="AP153" s="1">
        <v>3</v>
      </c>
      <c r="AQ153">
        <v>0.26</v>
      </c>
      <c r="AR153" s="1">
        <v>4.2553191489361708E-2</v>
      </c>
      <c r="AS153" s="1" t="s">
        <v>315</v>
      </c>
      <c r="AT153" s="1">
        <v>3</v>
      </c>
      <c r="AU153" s="1" t="s">
        <v>1096</v>
      </c>
    </row>
    <row r="154" spans="1:47">
      <c r="A154" s="1">
        <v>37</v>
      </c>
      <c r="B154" s="1">
        <v>1</v>
      </c>
      <c r="C154" s="1" t="s">
        <v>241</v>
      </c>
      <c r="D154" s="1" t="s">
        <v>242</v>
      </c>
      <c r="E154" s="1" t="s">
        <v>136</v>
      </c>
      <c r="F154" s="1">
        <v>1996</v>
      </c>
      <c r="G154" s="1" t="s">
        <v>543</v>
      </c>
      <c r="H154" s="1" t="s">
        <v>544</v>
      </c>
      <c r="I154" s="1">
        <v>16.8</v>
      </c>
      <c r="J154" s="1">
        <v>-88.083332999999996</v>
      </c>
      <c r="K154" s="1" t="s">
        <v>545</v>
      </c>
      <c r="L154" s="1" t="s">
        <v>546</v>
      </c>
      <c r="M154" s="1" t="s">
        <v>574</v>
      </c>
      <c r="N154" s="1" t="s">
        <v>575</v>
      </c>
      <c r="O154" s="1" t="s">
        <v>791</v>
      </c>
      <c r="P154" s="1" t="s">
        <v>294</v>
      </c>
      <c r="Q154" s="11" t="s">
        <v>918</v>
      </c>
      <c r="R154" s="1" t="s">
        <v>315</v>
      </c>
      <c r="S154" s="1" t="s">
        <v>336</v>
      </c>
      <c r="T154" s="1" t="s">
        <v>315</v>
      </c>
      <c r="U154" s="1" t="s">
        <v>904</v>
      </c>
      <c r="V154" s="1" t="s">
        <v>295</v>
      </c>
      <c r="W154" s="1" t="s">
        <v>907</v>
      </c>
      <c r="X154" s="1" t="s">
        <v>661</v>
      </c>
      <c r="Y154" s="1" t="s">
        <v>662</v>
      </c>
      <c r="Z154" s="1" t="s">
        <v>905</v>
      </c>
      <c r="AA154" s="1" t="s">
        <v>906</v>
      </c>
      <c r="AB154" s="1" t="s">
        <v>295</v>
      </c>
      <c r="AC154" s="1" t="s">
        <v>908</v>
      </c>
      <c r="AD154" s="1" t="s">
        <v>661</v>
      </c>
      <c r="AE154" s="1" t="s">
        <v>601</v>
      </c>
      <c r="AF154" s="1" t="s">
        <v>909</v>
      </c>
      <c r="AG154" s="1" t="s">
        <v>910</v>
      </c>
      <c r="AH154" s="1" t="s">
        <v>657</v>
      </c>
      <c r="AI154" s="1" t="s">
        <v>362</v>
      </c>
      <c r="AJ154" s="1" t="s">
        <v>913</v>
      </c>
      <c r="AK154" s="1" t="s">
        <v>914</v>
      </c>
      <c r="AL154" s="1" t="s">
        <v>670</v>
      </c>
      <c r="AM154" s="1">
        <v>0.734375</v>
      </c>
      <c r="AN154" s="1">
        <v>8.9684311224489305E-2</v>
      </c>
      <c r="AO154" s="1" t="s">
        <v>315</v>
      </c>
      <c r="AP154" s="1">
        <v>6</v>
      </c>
      <c r="AQ154">
        <v>0.59375</v>
      </c>
      <c r="AR154">
        <v>8.9684311224489804E-2</v>
      </c>
      <c r="AS154" s="1" t="s">
        <v>315</v>
      </c>
      <c r="AT154" s="1">
        <v>6</v>
      </c>
      <c r="AU154" s="1" t="s">
        <v>665</v>
      </c>
    </row>
    <row r="155" spans="1:47">
      <c r="A155" s="1">
        <v>37</v>
      </c>
      <c r="B155" s="1">
        <v>2</v>
      </c>
      <c r="C155" s="1" t="s">
        <v>241</v>
      </c>
      <c r="D155" s="1" t="s">
        <v>242</v>
      </c>
      <c r="E155" s="1" t="s">
        <v>136</v>
      </c>
      <c r="F155" s="1">
        <v>1996</v>
      </c>
      <c r="G155" s="1" t="s">
        <v>543</v>
      </c>
      <c r="H155" s="1" t="s">
        <v>544</v>
      </c>
      <c r="I155" s="1">
        <v>16.8</v>
      </c>
      <c r="J155" s="1">
        <v>-88.083332999999996</v>
      </c>
      <c r="K155" s="1" t="s">
        <v>545</v>
      </c>
      <c r="L155" s="1" t="s">
        <v>546</v>
      </c>
      <c r="M155" s="1" t="s">
        <v>574</v>
      </c>
      <c r="N155" s="1" t="s">
        <v>575</v>
      </c>
      <c r="O155" s="1" t="s">
        <v>791</v>
      </c>
      <c r="P155" s="1" t="s">
        <v>294</v>
      </c>
      <c r="Q155" s="11" t="s">
        <v>918</v>
      </c>
      <c r="R155" s="1" t="s">
        <v>315</v>
      </c>
      <c r="S155" s="1" t="s">
        <v>336</v>
      </c>
      <c r="T155" s="1" t="s">
        <v>315</v>
      </c>
      <c r="U155" s="1" t="s">
        <v>904</v>
      </c>
      <c r="V155" s="1" t="s">
        <v>295</v>
      </c>
      <c r="W155" s="1" t="s">
        <v>912</v>
      </c>
      <c r="X155" s="1" t="s">
        <v>661</v>
      </c>
      <c r="Y155" s="1" t="s">
        <v>662</v>
      </c>
      <c r="Z155" s="1" t="s">
        <v>920</v>
      </c>
      <c r="AA155" s="1" t="s">
        <v>911</v>
      </c>
      <c r="AB155" s="1" t="s">
        <v>295</v>
      </c>
      <c r="AC155" s="1" t="s">
        <v>908</v>
      </c>
      <c r="AD155" s="1" t="s">
        <v>661</v>
      </c>
      <c r="AE155" s="1" t="s">
        <v>601</v>
      </c>
      <c r="AF155" s="1" t="s">
        <v>909</v>
      </c>
      <c r="AG155" s="1" t="s">
        <v>910</v>
      </c>
      <c r="AH155" s="1" t="s">
        <v>657</v>
      </c>
      <c r="AI155" s="1" t="s">
        <v>362</v>
      </c>
      <c r="AJ155" s="1" t="s">
        <v>913</v>
      </c>
      <c r="AK155" s="1" t="s">
        <v>914</v>
      </c>
      <c r="AL155" s="1" t="s">
        <v>670</v>
      </c>
      <c r="AM155">
        <v>0.921875</v>
      </c>
      <c r="AN155">
        <v>0.13153698979591327</v>
      </c>
      <c r="AO155" s="1" t="s">
        <v>315</v>
      </c>
      <c r="AP155" s="1">
        <v>6</v>
      </c>
      <c r="AQ155">
        <v>0.59375</v>
      </c>
      <c r="AR155">
        <v>8.9684311224489804E-2</v>
      </c>
      <c r="AS155" s="1" t="s">
        <v>315</v>
      </c>
      <c r="AT155" s="1">
        <v>6</v>
      </c>
    </row>
    <row r="156" spans="1:47">
      <c r="A156" s="1">
        <v>38</v>
      </c>
      <c r="B156" s="1">
        <v>1</v>
      </c>
      <c r="C156" s="1" t="s">
        <v>259</v>
      </c>
      <c r="D156" s="1" t="s">
        <v>260</v>
      </c>
      <c r="E156" s="1" t="s">
        <v>261</v>
      </c>
      <c r="F156" s="1">
        <v>1983</v>
      </c>
      <c r="G156" s="1" t="s">
        <v>550</v>
      </c>
      <c r="H156" s="1" t="s">
        <v>551</v>
      </c>
      <c r="I156" s="1">
        <v>17.757762</v>
      </c>
      <c r="J156" s="1">
        <v>-64.605750999999998</v>
      </c>
      <c r="K156" s="1" t="s">
        <v>366</v>
      </c>
      <c r="L156" s="1" t="s">
        <v>552</v>
      </c>
      <c r="M156" s="1" t="s">
        <v>574</v>
      </c>
      <c r="N156" s="1" t="s">
        <v>575</v>
      </c>
      <c r="O156" s="1" t="s">
        <v>791</v>
      </c>
      <c r="P156" s="1" t="s">
        <v>294</v>
      </c>
      <c r="Q156" s="1" t="s">
        <v>596</v>
      </c>
      <c r="R156" s="1" t="s">
        <v>919</v>
      </c>
      <c r="S156" s="1" t="s">
        <v>336</v>
      </c>
      <c r="T156" s="11" t="s">
        <v>315</v>
      </c>
      <c r="U156" s="11" t="s">
        <v>1197</v>
      </c>
      <c r="V156" s="1" t="s">
        <v>313</v>
      </c>
      <c r="W156" s="1" t="s">
        <v>590</v>
      </c>
      <c r="X156" s="1" t="s">
        <v>306</v>
      </c>
      <c r="Y156" s="1" t="s">
        <v>307</v>
      </c>
      <c r="Z156" s="1" t="s">
        <v>921</v>
      </c>
      <c r="AA156" s="1" t="s">
        <v>922</v>
      </c>
      <c r="AB156" s="1" t="s">
        <v>295</v>
      </c>
      <c r="AC156" s="1" t="s">
        <v>649</v>
      </c>
      <c r="AD156" s="1" t="s">
        <v>308</v>
      </c>
      <c r="AE156" s="1" t="s">
        <v>309</v>
      </c>
      <c r="AF156" s="1" t="s">
        <v>591</v>
      </c>
      <c r="AG156" s="1" t="s">
        <v>923</v>
      </c>
      <c r="AH156" s="1" t="s">
        <v>763</v>
      </c>
      <c r="AI156" s="1" t="s">
        <v>764</v>
      </c>
      <c r="AJ156" s="1" t="s">
        <v>799</v>
      </c>
      <c r="AK156" s="1" t="s">
        <v>318</v>
      </c>
      <c r="AL156" s="1" t="s">
        <v>670</v>
      </c>
      <c r="AM156" s="1">
        <v>5.43</v>
      </c>
      <c r="AN156" s="1">
        <v>0.6</v>
      </c>
      <c r="AO156" s="1" t="s">
        <v>315</v>
      </c>
      <c r="AP156" s="1">
        <v>13</v>
      </c>
      <c r="AQ156" s="1">
        <v>3.18</v>
      </c>
      <c r="AR156" s="1">
        <v>0.63</v>
      </c>
      <c r="AS156" s="1" t="s">
        <v>315</v>
      </c>
      <c r="AT156" s="1">
        <v>13</v>
      </c>
      <c r="AU156" s="1" t="s">
        <v>924</v>
      </c>
    </row>
    <row r="157" spans="1:47">
      <c r="A157" s="1">
        <v>39</v>
      </c>
      <c r="B157" s="1">
        <v>1</v>
      </c>
      <c r="C157" s="1" t="s">
        <v>150</v>
      </c>
      <c r="D157" s="1" t="s">
        <v>535</v>
      </c>
      <c r="E157" s="1" t="s">
        <v>152</v>
      </c>
      <c r="F157" s="1">
        <v>2004</v>
      </c>
      <c r="G157" s="1" t="s">
        <v>536</v>
      </c>
      <c r="H157" s="1" t="s">
        <v>537</v>
      </c>
      <c r="I157" s="1">
        <v>44.619649000000003</v>
      </c>
      <c r="J157" s="1">
        <v>-124.01945499999999</v>
      </c>
      <c r="K157" s="1" t="s">
        <v>366</v>
      </c>
      <c r="L157" s="1" t="s">
        <v>538</v>
      </c>
      <c r="M157" s="1" t="s">
        <v>574</v>
      </c>
      <c r="N157" s="1" t="s">
        <v>291</v>
      </c>
      <c r="O157" s="1" t="s">
        <v>791</v>
      </c>
      <c r="P157" s="1" t="s">
        <v>338</v>
      </c>
      <c r="Q157" s="1" t="s">
        <v>926</v>
      </c>
      <c r="R157" s="1" t="s">
        <v>315</v>
      </c>
      <c r="S157" s="1" t="s">
        <v>335</v>
      </c>
      <c r="T157" s="11" t="s">
        <v>610</v>
      </c>
      <c r="U157" s="1">
        <v>2002</v>
      </c>
      <c r="V157" s="1" t="s">
        <v>295</v>
      </c>
      <c r="W157" s="1" t="s">
        <v>579</v>
      </c>
      <c r="X157" s="1" t="s">
        <v>580</v>
      </c>
      <c r="Y157" s="1" t="s">
        <v>581</v>
      </c>
      <c r="Z157" s="1" t="s">
        <v>582</v>
      </c>
      <c r="AA157" s="1" t="s">
        <v>743</v>
      </c>
      <c r="AB157" s="1" t="s">
        <v>295</v>
      </c>
      <c r="AC157" s="1" t="s">
        <v>822</v>
      </c>
      <c r="AD157" s="1" t="s">
        <v>618</v>
      </c>
      <c r="AE157" s="1" t="s">
        <v>642</v>
      </c>
      <c r="AF157" s="1" t="s">
        <v>820</v>
      </c>
      <c r="AG157" s="1" t="s">
        <v>821</v>
      </c>
      <c r="AH157" s="1" t="s">
        <v>754</v>
      </c>
      <c r="AI157" s="1" t="s">
        <v>362</v>
      </c>
      <c r="AJ157" s="1" t="s">
        <v>745</v>
      </c>
      <c r="AK157" s="1" t="s">
        <v>318</v>
      </c>
      <c r="AL157" s="1" t="s">
        <v>670</v>
      </c>
      <c r="AM157" s="1">
        <v>74.473684210526301</v>
      </c>
      <c r="AN157" s="1">
        <v>10.789473684210506</v>
      </c>
      <c r="AO157" s="1" t="s">
        <v>315</v>
      </c>
      <c r="AP157" s="1">
        <v>15</v>
      </c>
      <c r="AQ157" s="1">
        <v>30.2631578947368</v>
      </c>
      <c r="AR157" s="1">
        <v>7.6315789473684035</v>
      </c>
      <c r="AS157" s="1" t="s">
        <v>315</v>
      </c>
      <c r="AT157" s="1">
        <v>12</v>
      </c>
      <c r="AU157" s="1" t="s">
        <v>925</v>
      </c>
    </row>
    <row r="158" spans="1:47">
      <c r="A158" s="1">
        <v>40</v>
      </c>
      <c r="B158" s="1">
        <v>1</v>
      </c>
      <c r="C158" s="1" t="s">
        <v>565</v>
      </c>
      <c r="D158" s="1" t="s">
        <v>566</v>
      </c>
      <c r="E158" s="1" t="s">
        <v>136</v>
      </c>
      <c r="F158" s="1">
        <v>2007</v>
      </c>
      <c r="G158" s="1" t="s">
        <v>567</v>
      </c>
      <c r="H158" s="1" t="s">
        <v>568</v>
      </c>
      <c r="I158" s="1">
        <v>48.390208000000001</v>
      </c>
      <c r="J158" s="1">
        <v>-124.666158</v>
      </c>
      <c r="K158" s="1" t="s">
        <v>366</v>
      </c>
      <c r="L158" s="1" t="s">
        <v>569</v>
      </c>
      <c r="M158" s="1" t="s">
        <v>574</v>
      </c>
      <c r="N158" s="1" t="s">
        <v>291</v>
      </c>
      <c r="O158" s="1" t="s">
        <v>791</v>
      </c>
      <c r="P158" s="1" t="s">
        <v>338</v>
      </c>
      <c r="Q158" s="1" t="s">
        <v>926</v>
      </c>
      <c r="R158" s="1" t="s">
        <v>315</v>
      </c>
      <c r="S158" s="1" t="s">
        <v>336</v>
      </c>
      <c r="T158" s="11" t="s">
        <v>578</v>
      </c>
      <c r="U158" s="11">
        <v>2005</v>
      </c>
      <c r="V158" s="11" t="s">
        <v>295</v>
      </c>
      <c r="W158" s="11" t="s">
        <v>579</v>
      </c>
      <c r="X158" s="1" t="s">
        <v>580</v>
      </c>
      <c r="Y158" s="1" t="s">
        <v>581</v>
      </c>
      <c r="Z158" s="1" t="s">
        <v>582</v>
      </c>
      <c r="AA158" s="1" t="s">
        <v>743</v>
      </c>
      <c r="AB158" s="1" t="s">
        <v>345</v>
      </c>
      <c r="AC158" s="1" t="s">
        <v>315</v>
      </c>
      <c r="AD158" s="1" t="s">
        <v>347</v>
      </c>
      <c r="AE158" s="1" t="s">
        <v>315</v>
      </c>
      <c r="AF158" s="1" t="s">
        <v>315</v>
      </c>
      <c r="AG158" s="1" t="s">
        <v>315</v>
      </c>
      <c r="AH158" s="1" t="s">
        <v>714</v>
      </c>
      <c r="AI158" s="1" t="s">
        <v>714</v>
      </c>
      <c r="AJ158" s="1" t="s">
        <v>745</v>
      </c>
      <c r="AK158" s="1" t="s">
        <v>584</v>
      </c>
      <c r="AL158" s="1" t="s">
        <v>315</v>
      </c>
      <c r="AM158" s="1">
        <v>2857</v>
      </c>
      <c r="AN158" s="1">
        <v>1589</v>
      </c>
      <c r="AO158" s="1" t="s">
        <v>315</v>
      </c>
      <c r="AP158" s="1">
        <v>10</v>
      </c>
      <c r="AQ158" s="1">
        <v>671</v>
      </c>
      <c r="AR158" s="1">
        <v>181</v>
      </c>
      <c r="AS158" s="1" t="s">
        <v>315</v>
      </c>
      <c r="AT158" s="1">
        <v>10</v>
      </c>
      <c r="AU158" s="1" t="s">
        <v>930</v>
      </c>
    </row>
    <row r="159" spans="1:47">
      <c r="A159" s="1">
        <v>40</v>
      </c>
      <c r="B159" s="1">
        <v>2</v>
      </c>
      <c r="C159" s="1" t="s">
        <v>565</v>
      </c>
      <c r="D159" s="1" t="s">
        <v>566</v>
      </c>
      <c r="E159" s="1" t="s">
        <v>136</v>
      </c>
      <c r="F159" s="1">
        <v>2007</v>
      </c>
      <c r="G159" s="1" t="s">
        <v>567</v>
      </c>
      <c r="H159" s="1" t="s">
        <v>568</v>
      </c>
      <c r="I159" s="1">
        <v>48.390208000000001</v>
      </c>
      <c r="J159" s="1">
        <v>-124.666158</v>
      </c>
      <c r="K159" s="1" t="s">
        <v>366</v>
      </c>
      <c r="L159" s="1" t="s">
        <v>569</v>
      </c>
      <c r="M159" s="1" t="s">
        <v>574</v>
      </c>
      <c r="N159" s="1" t="s">
        <v>291</v>
      </c>
      <c r="O159" s="1" t="s">
        <v>791</v>
      </c>
      <c r="P159" s="1" t="s">
        <v>338</v>
      </c>
      <c r="Q159" s="1" t="s">
        <v>926</v>
      </c>
      <c r="R159" s="1" t="s">
        <v>315</v>
      </c>
      <c r="S159" s="1" t="s">
        <v>336</v>
      </c>
      <c r="T159" s="11" t="s">
        <v>578</v>
      </c>
      <c r="U159" s="11">
        <v>2005</v>
      </c>
      <c r="V159" s="11" t="s">
        <v>295</v>
      </c>
      <c r="W159" s="11" t="s">
        <v>579</v>
      </c>
      <c r="X159" s="1" t="s">
        <v>580</v>
      </c>
      <c r="Y159" s="1" t="s">
        <v>581</v>
      </c>
      <c r="Z159" s="1" t="s">
        <v>582</v>
      </c>
      <c r="AA159" s="1" t="s">
        <v>743</v>
      </c>
      <c r="AB159" s="1" t="s">
        <v>345</v>
      </c>
      <c r="AC159" s="1" t="s">
        <v>315</v>
      </c>
      <c r="AD159" s="1" t="s">
        <v>347</v>
      </c>
      <c r="AE159" s="1" t="s">
        <v>315</v>
      </c>
      <c r="AF159" s="1" t="s">
        <v>315</v>
      </c>
      <c r="AG159" s="1" t="s">
        <v>315</v>
      </c>
      <c r="AH159" s="1" t="s">
        <v>714</v>
      </c>
      <c r="AI159" s="1" t="s">
        <v>714</v>
      </c>
      <c r="AJ159" s="1" t="s">
        <v>745</v>
      </c>
      <c r="AK159" s="1" t="s">
        <v>584</v>
      </c>
      <c r="AL159" s="1" t="s">
        <v>315</v>
      </c>
      <c r="AM159" s="1">
        <v>8071</v>
      </c>
      <c r="AN159" s="1">
        <v>7130</v>
      </c>
      <c r="AO159" s="1" t="s">
        <v>315</v>
      </c>
      <c r="AP159" s="1">
        <v>10</v>
      </c>
      <c r="AQ159" s="1">
        <v>1019</v>
      </c>
      <c r="AR159" s="1">
        <v>359</v>
      </c>
      <c r="AS159" s="1" t="s">
        <v>315</v>
      </c>
      <c r="AT159" s="1">
        <v>10</v>
      </c>
      <c r="AU159" s="1" t="s">
        <v>931</v>
      </c>
    </row>
    <row r="160" spans="1:47">
      <c r="A160" s="1">
        <v>40</v>
      </c>
      <c r="B160" s="1">
        <v>3</v>
      </c>
      <c r="C160" s="1" t="s">
        <v>565</v>
      </c>
      <c r="D160" s="1" t="s">
        <v>566</v>
      </c>
      <c r="E160" s="1" t="s">
        <v>136</v>
      </c>
      <c r="F160" s="1">
        <v>2007</v>
      </c>
      <c r="G160" s="1" t="s">
        <v>567</v>
      </c>
      <c r="H160" s="1" t="s">
        <v>568</v>
      </c>
      <c r="I160" s="1">
        <v>48.390208000000001</v>
      </c>
      <c r="J160" s="1">
        <v>-124.666158</v>
      </c>
      <c r="K160" s="1" t="s">
        <v>366</v>
      </c>
      <c r="L160" s="1" t="s">
        <v>569</v>
      </c>
      <c r="M160" s="1" t="s">
        <v>574</v>
      </c>
      <c r="N160" s="1" t="s">
        <v>291</v>
      </c>
      <c r="O160" s="1" t="s">
        <v>791</v>
      </c>
      <c r="P160" s="1" t="s">
        <v>338</v>
      </c>
      <c r="Q160" s="1" t="s">
        <v>926</v>
      </c>
      <c r="R160" s="1" t="s">
        <v>315</v>
      </c>
      <c r="S160" s="1" t="s">
        <v>336</v>
      </c>
      <c r="T160" s="11" t="s">
        <v>578</v>
      </c>
      <c r="U160" s="11">
        <v>2005</v>
      </c>
      <c r="V160" s="11" t="s">
        <v>295</v>
      </c>
      <c r="W160" s="11" t="s">
        <v>579</v>
      </c>
      <c r="X160" s="1" t="s">
        <v>580</v>
      </c>
      <c r="Y160" s="1" t="s">
        <v>581</v>
      </c>
      <c r="Z160" s="1" t="s">
        <v>582</v>
      </c>
      <c r="AA160" s="1" t="s">
        <v>743</v>
      </c>
      <c r="AB160" s="1" t="s">
        <v>295</v>
      </c>
      <c r="AC160" s="1" t="s">
        <v>929</v>
      </c>
      <c r="AD160" s="1" t="s">
        <v>618</v>
      </c>
      <c r="AE160" s="1" t="s">
        <v>642</v>
      </c>
      <c r="AF160" s="1" t="s">
        <v>927</v>
      </c>
      <c r="AG160" s="1" t="s">
        <v>928</v>
      </c>
      <c r="AH160" s="1" t="s">
        <v>321</v>
      </c>
      <c r="AI160" s="1" t="s">
        <v>362</v>
      </c>
      <c r="AJ160" s="1" t="s">
        <v>745</v>
      </c>
      <c r="AK160" s="1" t="s">
        <v>318</v>
      </c>
      <c r="AL160" s="1" t="s">
        <v>670</v>
      </c>
      <c r="AM160">
        <v>18.213058419243918</v>
      </c>
      <c r="AN160">
        <v>5.6006893515486693</v>
      </c>
      <c r="AO160" s="1" t="s">
        <v>315</v>
      </c>
      <c r="AP160" s="1">
        <v>5</v>
      </c>
      <c r="AQ160">
        <v>2.31958762886598</v>
      </c>
      <c r="AR160">
        <v>3.5421869635890424</v>
      </c>
      <c r="AS160" s="1" t="s">
        <v>315</v>
      </c>
      <c r="AT160" s="1">
        <v>5</v>
      </c>
      <c r="AU160" s="1" t="s">
        <v>932</v>
      </c>
    </row>
    <row r="161" spans="1:47">
      <c r="A161" s="1">
        <v>41</v>
      </c>
      <c r="B161" s="11">
        <v>1</v>
      </c>
      <c r="C161" s="1" t="s">
        <v>140</v>
      </c>
      <c r="D161" s="1" t="s">
        <v>141</v>
      </c>
      <c r="E161" s="1" t="s">
        <v>70</v>
      </c>
      <c r="F161" s="1">
        <v>2005</v>
      </c>
      <c r="G161" s="1" t="s">
        <v>482</v>
      </c>
      <c r="H161" s="1" t="s">
        <v>483</v>
      </c>
      <c r="I161" s="1">
        <v>22.207383</v>
      </c>
      <c r="J161" s="1">
        <v>114.262255</v>
      </c>
      <c r="K161" s="1" t="s">
        <v>409</v>
      </c>
      <c r="L161" s="1" t="s">
        <v>408</v>
      </c>
      <c r="M161" s="1" t="s">
        <v>644</v>
      </c>
      <c r="N161" s="1" t="s">
        <v>291</v>
      </c>
      <c r="O161" s="1" t="s">
        <v>791</v>
      </c>
      <c r="P161" s="1" t="s">
        <v>294</v>
      </c>
      <c r="Q161" s="1" t="s">
        <v>926</v>
      </c>
      <c r="R161" s="1" t="s">
        <v>315</v>
      </c>
      <c r="S161" s="1" t="s">
        <v>335</v>
      </c>
      <c r="T161" s="1" t="s">
        <v>610</v>
      </c>
      <c r="U161" s="1">
        <v>2003</v>
      </c>
      <c r="V161" s="11" t="s">
        <v>295</v>
      </c>
      <c r="W161" s="11" t="s">
        <v>1135</v>
      </c>
      <c r="X161" s="11" t="s">
        <v>878</v>
      </c>
      <c r="Y161" s="11" t="s">
        <v>879</v>
      </c>
      <c r="Z161" s="11" t="s">
        <v>1136</v>
      </c>
      <c r="AA161" s="11" t="s">
        <v>1137</v>
      </c>
      <c r="AB161" s="11" t="s">
        <v>345</v>
      </c>
      <c r="AC161" s="11" t="s">
        <v>315</v>
      </c>
      <c r="AD161" s="1" t="s">
        <v>728</v>
      </c>
      <c r="AE161" s="1" t="s">
        <v>642</v>
      </c>
      <c r="AF161" s="1" t="s">
        <v>315</v>
      </c>
      <c r="AG161" s="1" t="s">
        <v>315</v>
      </c>
      <c r="AH161" s="1" t="s">
        <v>321</v>
      </c>
      <c r="AI161" s="1" t="s">
        <v>362</v>
      </c>
      <c r="AJ161" s="1" t="s">
        <v>1003</v>
      </c>
      <c r="AK161" s="1" t="s">
        <v>1105</v>
      </c>
      <c r="AL161" s="1" t="s">
        <v>315</v>
      </c>
      <c r="AM161" s="7">
        <v>-9.5490716180371962</v>
      </c>
      <c r="AN161" s="1" t="s">
        <v>315</v>
      </c>
      <c r="AO161" s="7">
        <v>18.328125522919279</v>
      </c>
      <c r="AP161" s="1">
        <v>3</v>
      </c>
      <c r="AQ161" s="7">
        <v>2.1220159151193059</v>
      </c>
      <c r="AR161" s="1" t="s">
        <v>315</v>
      </c>
      <c r="AS161" s="7">
        <v>7.0666634717651116</v>
      </c>
      <c r="AT161" s="1">
        <v>3</v>
      </c>
      <c r="AU161" s="1" t="s">
        <v>1141</v>
      </c>
    </row>
    <row r="162" spans="1:47">
      <c r="A162" s="1">
        <v>42</v>
      </c>
      <c r="B162" s="11">
        <v>1</v>
      </c>
      <c r="C162" t="s">
        <v>1199</v>
      </c>
      <c r="D162" t="s">
        <v>1200</v>
      </c>
      <c r="E162" t="s">
        <v>75</v>
      </c>
      <c r="F162">
        <v>2021</v>
      </c>
      <c r="G162" s="1" t="s">
        <v>1203</v>
      </c>
      <c r="H162" s="1" t="s">
        <v>1204</v>
      </c>
      <c r="I162" s="1">
        <v>16.884</v>
      </c>
      <c r="J162" s="1">
        <v>-88.106999999999999</v>
      </c>
      <c r="K162" s="1" t="s">
        <v>546</v>
      </c>
      <c r="L162" s="1" t="s">
        <v>1205</v>
      </c>
      <c r="M162" s="1" t="s">
        <v>574</v>
      </c>
      <c r="N162" s="1" t="s">
        <v>575</v>
      </c>
      <c r="O162" s="1" t="s">
        <v>791</v>
      </c>
      <c r="P162" s="1" t="s">
        <v>294</v>
      </c>
      <c r="Q162" s="1" t="s">
        <v>918</v>
      </c>
      <c r="R162" s="1" t="s">
        <v>315</v>
      </c>
      <c r="S162" s="1" t="s">
        <v>336</v>
      </c>
      <c r="T162" s="1" t="s">
        <v>870</v>
      </c>
      <c r="U162" s="1">
        <v>2019</v>
      </c>
      <c r="V162" s="11" t="s">
        <v>345</v>
      </c>
      <c r="W162" s="11" t="s">
        <v>315</v>
      </c>
      <c r="X162" s="11" t="s">
        <v>614</v>
      </c>
      <c r="Y162" s="11" t="s">
        <v>307</v>
      </c>
      <c r="Z162" s="11" t="s">
        <v>315</v>
      </c>
      <c r="AA162" s="11" t="s">
        <v>315</v>
      </c>
      <c r="AB162" s="11" t="s">
        <v>295</v>
      </c>
      <c r="AC162" s="11" t="s">
        <v>908</v>
      </c>
      <c r="AD162" s="11" t="s">
        <v>315</v>
      </c>
      <c r="AE162" s="11" t="s">
        <v>601</v>
      </c>
      <c r="AF162" s="1" t="s">
        <v>909</v>
      </c>
      <c r="AG162" s="1" t="s">
        <v>910</v>
      </c>
      <c r="AH162" s="1" t="s">
        <v>714</v>
      </c>
      <c r="AI162" s="1" t="s">
        <v>714</v>
      </c>
      <c r="AJ162" s="1" t="s">
        <v>697</v>
      </c>
      <c r="AK162" s="1" t="s">
        <v>749</v>
      </c>
      <c r="AL162" s="1" t="s">
        <v>315</v>
      </c>
      <c r="AM162" s="1">
        <v>2104</v>
      </c>
      <c r="AN162" s="1">
        <v>529.6</v>
      </c>
      <c r="AO162" s="1" t="s">
        <v>315</v>
      </c>
      <c r="AP162" s="1">
        <v>5</v>
      </c>
      <c r="AQ162" s="1">
        <v>935.7</v>
      </c>
      <c r="AR162" s="1">
        <v>229</v>
      </c>
      <c r="AS162" s="1" t="s">
        <v>315</v>
      </c>
      <c r="AT162" s="1">
        <v>5</v>
      </c>
      <c r="AU162" s="1" t="s">
        <v>1206</v>
      </c>
    </row>
    <row r="163" spans="1:47">
      <c r="A163" s="1">
        <v>43</v>
      </c>
      <c r="B163" s="11">
        <v>1</v>
      </c>
      <c r="C163" t="s">
        <v>1201</v>
      </c>
      <c r="D163" t="s">
        <v>1202</v>
      </c>
      <c r="E163" t="s">
        <v>20</v>
      </c>
      <c r="F163">
        <v>2020</v>
      </c>
      <c r="G163" s="1" t="s">
        <v>1207</v>
      </c>
      <c r="H163" s="1" t="s">
        <v>1208</v>
      </c>
      <c r="I163" s="1">
        <v>26.266970000000001</v>
      </c>
      <c r="J163" s="1">
        <v>-76.94126</v>
      </c>
      <c r="K163" s="1" t="s">
        <v>363</v>
      </c>
      <c r="L163" s="1" t="s">
        <v>369</v>
      </c>
      <c r="M163" s="1" t="s">
        <v>574</v>
      </c>
      <c r="N163" s="1" t="s">
        <v>575</v>
      </c>
      <c r="O163" s="1" t="s">
        <v>791</v>
      </c>
      <c r="P163" s="1" t="s">
        <v>424</v>
      </c>
      <c r="Q163" s="1" t="s">
        <v>596</v>
      </c>
      <c r="R163" s="1" t="s">
        <v>827</v>
      </c>
      <c r="S163" s="1" t="s">
        <v>336</v>
      </c>
      <c r="T163" s="1" t="s">
        <v>315</v>
      </c>
      <c r="U163" s="1" t="s">
        <v>1209</v>
      </c>
      <c r="V163" s="11" t="s">
        <v>345</v>
      </c>
      <c r="W163" s="11" t="s">
        <v>315</v>
      </c>
      <c r="X163" s="11" t="s">
        <v>306</v>
      </c>
      <c r="Y163" s="11" t="s">
        <v>307</v>
      </c>
      <c r="Z163" s="11" t="s">
        <v>315</v>
      </c>
      <c r="AA163" s="11" t="s">
        <v>315</v>
      </c>
      <c r="AB163" s="11" t="s">
        <v>295</v>
      </c>
      <c r="AC163" s="11" t="s">
        <v>649</v>
      </c>
      <c r="AD163" s="11" t="s">
        <v>308</v>
      </c>
      <c r="AE163" s="11" t="s">
        <v>309</v>
      </c>
      <c r="AF163" s="11" t="s">
        <v>591</v>
      </c>
      <c r="AG163" s="11" t="s">
        <v>1210</v>
      </c>
      <c r="AH163" s="11" t="s">
        <v>828</v>
      </c>
      <c r="AI163" s="11" t="s">
        <v>1214</v>
      </c>
      <c r="AJ163" s="11" t="s">
        <v>799</v>
      </c>
      <c r="AK163" s="11" t="s">
        <v>318</v>
      </c>
      <c r="AL163" s="11" t="s">
        <v>670</v>
      </c>
      <c r="AM163" s="1">
        <v>0.32865109999999997</v>
      </c>
      <c r="AN163" s="1" t="s">
        <v>315</v>
      </c>
      <c r="AO163" s="1">
        <v>5.5393980000000002E-2</v>
      </c>
      <c r="AP163" s="1">
        <v>13</v>
      </c>
      <c r="AQ163" s="1">
        <v>0.3048997</v>
      </c>
      <c r="AR163" s="1" t="s">
        <v>315</v>
      </c>
      <c r="AS163" s="1">
        <v>4.3531569999999999E-2</v>
      </c>
      <c r="AT163" s="1">
        <v>10</v>
      </c>
      <c r="AU163" s="1" t="s">
        <v>1215</v>
      </c>
    </row>
    <row r="164" spans="1:47">
      <c r="A164" s="1">
        <v>43</v>
      </c>
      <c r="B164" s="11">
        <v>2</v>
      </c>
      <c r="C164" t="s">
        <v>1201</v>
      </c>
      <c r="D164" t="s">
        <v>1202</v>
      </c>
      <c r="E164" t="s">
        <v>20</v>
      </c>
      <c r="F164">
        <v>2020</v>
      </c>
      <c r="G164" s="1" t="s">
        <v>1207</v>
      </c>
      <c r="H164" s="1" t="s">
        <v>1208</v>
      </c>
      <c r="I164" s="1">
        <v>26.266970000000001</v>
      </c>
      <c r="J164" s="1">
        <v>-76.94126</v>
      </c>
      <c r="K164" s="1" t="s">
        <v>363</v>
      </c>
      <c r="L164" s="1" t="s">
        <v>369</v>
      </c>
      <c r="M164" s="1" t="s">
        <v>574</v>
      </c>
      <c r="N164" s="1" t="s">
        <v>575</v>
      </c>
      <c r="O164" s="1" t="s">
        <v>791</v>
      </c>
      <c r="P164" s="1" t="s">
        <v>424</v>
      </c>
      <c r="Q164" s="1" t="s">
        <v>596</v>
      </c>
      <c r="R164" s="1" t="s">
        <v>827</v>
      </c>
      <c r="S164" s="1" t="s">
        <v>336</v>
      </c>
      <c r="T164" s="1" t="s">
        <v>315</v>
      </c>
      <c r="U164" s="1" t="s">
        <v>1209</v>
      </c>
      <c r="V164" s="11" t="s">
        <v>345</v>
      </c>
      <c r="W164" s="11" t="s">
        <v>315</v>
      </c>
      <c r="X164" s="11" t="s">
        <v>306</v>
      </c>
      <c r="Y164" s="11" t="s">
        <v>307</v>
      </c>
      <c r="Z164" s="11" t="s">
        <v>315</v>
      </c>
      <c r="AA164" s="11" t="s">
        <v>315</v>
      </c>
      <c r="AB164" s="11" t="s">
        <v>295</v>
      </c>
      <c r="AC164" s="11" t="s">
        <v>1211</v>
      </c>
      <c r="AD164" s="11" t="s">
        <v>308</v>
      </c>
      <c r="AE164" s="11" t="s">
        <v>309</v>
      </c>
      <c r="AF164" s="11" t="s">
        <v>1212</v>
      </c>
      <c r="AG164" s="11" t="s">
        <v>1213</v>
      </c>
      <c r="AH164" s="11" t="s">
        <v>828</v>
      </c>
      <c r="AI164" s="11" t="s">
        <v>1214</v>
      </c>
      <c r="AJ164" s="11" t="s">
        <v>799</v>
      </c>
      <c r="AK164" s="11" t="s">
        <v>318</v>
      </c>
      <c r="AL164" s="11" t="s">
        <v>670</v>
      </c>
      <c r="AM164" s="1">
        <v>0.50125969999999997</v>
      </c>
      <c r="AN164" s="1" t="s">
        <v>315</v>
      </c>
      <c r="AO164" s="1">
        <v>4.4934149999999999E-2</v>
      </c>
      <c r="AP164" s="1">
        <v>14</v>
      </c>
      <c r="AQ164" s="1">
        <v>0.3885729</v>
      </c>
      <c r="AR164" s="1" t="s">
        <v>315</v>
      </c>
      <c r="AS164" s="1">
        <v>0.16197868000000001</v>
      </c>
      <c r="AT164" s="1">
        <v>15</v>
      </c>
      <c r="AU164" s="1" t="s">
        <v>1215</v>
      </c>
    </row>
    <row r="165" spans="1:47">
      <c r="A165" s="1">
        <v>43</v>
      </c>
      <c r="B165" s="11">
        <v>3</v>
      </c>
      <c r="C165" t="s">
        <v>1201</v>
      </c>
      <c r="D165" t="s">
        <v>1202</v>
      </c>
      <c r="E165" t="s">
        <v>20</v>
      </c>
      <c r="F165">
        <v>2020</v>
      </c>
      <c r="G165" s="1" t="s">
        <v>1207</v>
      </c>
      <c r="H165" s="1" t="s">
        <v>1208</v>
      </c>
      <c r="I165" s="1">
        <v>26.266970000000001</v>
      </c>
      <c r="J165" s="1">
        <v>-76.94126</v>
      </c>
      <c r="K165" s="1" t="s">
        <v>363</v>
      </c>
      <c r="L165" s="1" t="s">
        <v>369</v>
      </c>
      <c r="M165" s="1" t="s">
        <v>574</v>
      </c>
      <c r="N165" s="1" t="s">
        <v>575</v>
      </c>
      <c r="O165" s="1" t="s">
        <v>791</v>
      </c>
      <c r="P165" s="1" t="s">
        <v>424</v>
      </c>
      <c r="Q165" s="1" t="s">
        <v>596</v>
      </c>
      <c r="R165" s="1" t="s">
        <v>827</v>
      </c>
      <c r="S165" s="1" t="s">
        <v>336</v>
      </c>
      <c r="T165" s="1" t="s">
        <v>315</v>
      </c>
      <c r="U165" s="1" t="s">
        <v>1209</v>
      </c>
      <c r="V165" s="11" t="s">
        <v>345</v>
      </c>
      <c r="W165" s="11" t="s">
        <v>315</v>
      </c>
      <c r="X165" s="11" t="s">
        <v>306</v>
      </c>
      <c r="Y165" s="11" t="s">
        <v>307</v>
      </c>
      <c r="Z165" s="11" t="s">
        <v>315</v>
      </c>
      <c r="AA165" s="11" t="s">
        <v>315</v>
      </c>
      <c r="AB165" s="11" t="s">
        <v>295</v>
      </c>
      <c r="AC165" s="11" t="s">
        <v>649</v>
      </c>
      <c r="AD165" s="11" t="s">
        <v>308</v>
      </c>
      <c r="AE165" s="11" t="s">
        <v>309</v>
      </c>
      <c r="AF165" s="11" t="s">
        <v>591</v>
      </c>
      <c r="AG165" s="11" t="s">
        <v>1210</v>
      </c>
      <c r="AH165" s="11" t="s">
        <v>731</v>
      </c>
      <c r="AI165" s="11" t="s">
        <v>1214</v>
      </c>
      <c r="AJ165" s="11" t="s">
        <v>799</v>
      </c>
      <c r="AK165" s="11" t="s">
        <v>350</v>
      </c>
      <c r="AL165" s="11" t="s">
        <v>315</v>
      </c>
      <c r="AM165" s="15">
        <v>1053326</v>
      </c>
      <c r="AN165" s="1" t="s">
        <v>315</v>
      </c>
      <c r="AO165" s="15">
        <v>402967.5</v>
      </c>
      <c r="AP165" s="15">
        <v>12</v>
      </c>
      <c r="AQ165" s="15">
        <v>1012864</v>
      </c>
      <c r="AR165" s="1" t="s">
        <v>315</v>
      </c>
      <c r="AS165" s="15">
        <v>678594.6</v>
      </c>
      <c r="AT165" s="15">
        <v>10</v>
      </c>
      <c r="AU165" s="1" t="s">
        <v>1216</v>
      </c>
    </row>
    <row r="166" spans="1:47">
      <c r="A166" s="1">
        <v>43</v>
      </c>
      <c r="B166" s="11">
        <v>4</v>
      </c>
      <c r="C166" t="s">
        <v>1201</v>
      </c>
      <c r="D166" t="s">
        <v>1202</v>
      </c>
      <c r="E166" t="s">
        <v>20</v>
      </c>
      <c r="F166">
        <v>2020</v>
      </c>
      <c r="G166" s="1" t="s">
        <v>1207</v>
      </c>
      <c r="H166" s="1" t="s">
        <v>1208</v>
      </c>
      <c r="I166" s="1">
        <v>26.266970000000001</v>
      </c>
      <c r="J166" s="1">
        <v>-76.94126</v>
      </c>
      <c r="K166" s="1" t="s">
        <v>363</v>
      </c>
      <c r="L166" s="1" t="s">
        <v>369</v>
      </c>
      <c r="M166" s="1" t="s">
        <v>574</v>
      </c>
      <c r="N166" s="1" t="s">
        <v>575</v>
      </c>
      <c r="O166" s="1" t="s">
        <v>791</v>
      </c>
      <c r="P166" s="1" t="s">
        <v>424</v>
      </c>
      <c r="Q166" s="1" t="s">
        <v>596</v>
      </c>
      <c r="R166" s="1" t="s">
        <v>827</v>
      </c>
      <c r="S166" s="1" t="s">
        <v>336</v>
      </c>
      <c r="T166" s="1" t="s">
        <v>315</v>
      </c>
      <c r="U166" s="1" t="s">
        <v>1209</v>
      </c>
      <c r="V166" s="11" t="s">
        <v>345</v>
      </c>
      <c r="W166" s="11" t="s">
        <v>315</v>
      </c>
      <c r="X166" s="11" t="s">
        <v>306</v>
      </c>
      <c r="Y166" s="11" t="s">
        <v>307</v>
      </c>
      <c r="Z166" s="11" t="s">
        <v>315</v>
      </c>
      <c r="AA166" s="11" t="s">
        <v>315</v>
      </c>
      <c r="AB166" s="11" t="s">
        <v>295</v>
      </c>
      <c r="AC166" s="11" t="s">
        <v>1211</v>
      </c>
      <c r="AD166" s="11" t="s">
        <v>308</v>
      </c>
      <c r="AE166" s="11" t="s">
        <v>309</v>
      </c>
      <c r="AF166" s="11" t="s">
        <v>1212</v>
      </c>
      <c r="AG166" s="11" t="s">
        <v>1213</v>
      </c>
      <c r="AH166" s="11" t="s">
        <v>731</v>
      </c>
      <c r="AI166" s="11" t="s">
        <v>1214</v>
      </c>
      <c r="AJ166" s="11" t="s">
        <v>799</v>
      </c>
      <c r="AK166" s="11" t="s">
        <v>350</v>
      </c>
      <c r="AL166" s="11" t="s">
        <v>315</v>
      </c>
      <c r="AM166" s="15">
        <v>1579943</v>
      </c>
      <c r="AN166" s="1" t="s">
        <v>315</v>
      </c>
      <c r="AO166" s="15">
        <v>796151.8</v>
      </c>
      <c r="AP166" s="1">
        <v>14</v>
      </c>
      <c r="AQ166" s="15">
        <v>1283973</v>
      </c>
      <c r="AR166" s="1" t="s">
        <v>315</v>
      </c>
      <c r="AS166" s="15">
        <v>613608</v>
      </c>
      <c r="AT166" s="1">
        <v>15</v>
      </c>
      <c r="AU166" s="1" t="s">
        <v>1216</v>
      </c>
    </row>
    <row r="167" spans="1:47">
      <c r="C167" s="1" t="s">
        <v>570</v>
      </c>
    </row>
    <row r="168" spans="1:47">
      <c r="C168" s="1" t="s">
        <v>1198</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BBD6-86D3-A649-93C6-E1B7FD833629}">
  <dimension ref="A1:AW13"/>
  <sheetViews>
    <sheetView workbookViewId="0">
      <selection activeCell="D26" sqref="D26"/>
    </sheetView>
  </sheetViews>
  <sheetFormatPr baseColWidth="10" defaultRowHeight="16"/>
  <sheetData>
    <row r="1" spans="1:49" s="1" customFormat="1">
      <c r="A1" s="1" t="s">
        <v>981</v>
      </c>
      <c r="B1" s="1" t="s">
        <v>0</v>
      </c>
      <c r="C1" s="1" t="s">
        <v>1</v>
      </c>
      <c r="D1" s="1" t="s">
        <v>11</v>
      </c>
      <c r="E1" s="1" t="s">
        <v>2</v>
      </c>
      <c r="F1" s="1" t="s">
        <v>4</v>
      </c>
      <c r="G1" s="1" t="s">
        <v>3</v>
      </c>
      <c r="H1" s="1" t="s">
        <v>282</v>
      </c>
      <c r="I1" s="1" t="s">
        <v>283</v>
      </c>
      <c r="J1" s="1" t="s">
        <v>286</v>
      </c>
      <c r="K1" s="1" t="s">
        <v>287</v>
      </c>
      <c r="L1" s="1" t="s">
        <v>6</v>
      </c>
      <c r="M1" s="1" t="s">
        <v>271</v>
      </c>
      <c r="N1" s="1" t="s">
        <v>355</v>
      </c>
      <c r="O1" s="1" t="s">
        <v>288</v>
      </c>
      <c r="P1" s="1" t="s">
        <v>289</v>
      </c>
      <c r="Q1" s="1" t="s">
        <v>5</v>
      </c>
      <c r="R1" s="1" t="s">
        <v>331</v>
      </c>
      <c r="S1" s="1" t="s">
        <v>576</v>
      </c>
      <c r="T1" s="1" t="s">
        <v>334</v>
      </c>
      <c r="U1" s="1" t="s">
        <v>356</v>
      </c>
      <c r="V1" s="1" t="s">
        <v>571</v>
      </c>
      <c r="W1" s="1" t="s">
        <v>312</v>
      </c>
      <c r="X1" s="1" t="s">
        <v>572</v>
      </c>
      <c r="Y1" s="1" t="s">
        <v>277</v>
      </c>
      <c r="Z1" s="1" t="s">
        <v>278</v>
      </c>
      <c r="AA1" s="1" t="s">
        <v>279</v>
      </c>
      <c r="AB1" s="1" t="s">
        <v>280</v>
      </c>
      <c r="AC1" s="1" t="s">
        <v>316</v>
      </c>
      <c r="AD1" s="1" t="s">
        <v>620</v>
      </c>
      <c r="AE1" s="1" t="s">
        <v>7</v>
      </c>
      <c r="AF1" s="1" t="s">
        <v>8</v>
      </c>
      <c r="AG1" s="1" t="s">
        <v>9</v>
      </c>
      <c r="AH1" s="1" t="s">
        <v>281</v>
      </c>
      <c r="AI1" s="1" t="s">
        <v>290</v>
      </c>
      <c r="AJ1" s="1" t="s">
        <v>361</v>
      </c>
      <c r="AK1" s="1" t="s">
        <v>357</v>
      </c>
      <c r="AL1" s="1" t="s">
        <v>317</v>
      </c>
      <c r="AM1" s="1" t="s">
        <v>358</v>
      </c>
      <c r="AN1" s="1" t="s">
        <v>319</v>
      </c>
      <c r="AO1" s="1" t="s">
        <v>322</v>
      </c>
      <c r="AP1" s="1" t="s">
        <v>586</v>
      </c>
      <c r="AQ1" s="1" t="s">
        <v>360</v>
      </c>
      <c r="AR1" s="1" t="s">
        <v>320</v>
      </c>
      <c r="AS1" s="1" t="s">
        <v>323</v>
      </c>
      <c r="AT1" s="1" t="s">
        <v>588</v>
      </c>
      <c r="AU1" s="1" t="s">
        <v>359</v>
      </c>
      <c r="AV1"/>
      <c r="AW1" s="1" t="s">
        <v>10</v>
      </c>
    </row>
    <row r="2" spans="1:49" s="1" customFormat="1">
      <c r="A2" s="1" t="s">
        <v>982</v>
      </c>
      <c r="B2" s="1">
        <v>1</v>
      </c>
      <c r="C2" s="1">
        <v>1</v>
      </c>
      <c r="D2" s="1" t="s">
        <v>18</v>
      </c>
      <c r="E2" s="1" t="s">
        <v>19</v>
      </c>
      <c r="F2" s="1" t="s">
        <v>20</v>
      </c>
      <c r="G2" s="1">
        <v>2019</v>
      </c>
      <c r="H2" s="1" t="s">
        <v>417</v>
      </c>
      <c r="I2" s="1" t="s">
        <v>416</v>
      </c>
      <c r="J2" s="1">
        <v>-5.8333329999999997</v>
      </c>
      <c r="K2" s="1">
        <v>72</v>
      </c>
      <c r="L2" s="1" t="s">
        <v>381</v>
      </c>
      <c r="M2" s="1" t="s">
        <v>380</v>
      </c>
      <c r="N2" s="1" t="s">
        <v>644</v>
      </c>
      <c r="O2" s="1" t="s">
        <v>607</v>
      </c>
      <c r="P2" s="1" t="s">
        <v>608</v>
      </c>
      <c r="Q2" s="1" t="s">
        <v>294</v>
      </c>
      <c r="R2" s="1" t="s">
        <v>609</v>
      </c>
      <c r="S2" s="1" t="s">
        <v>315</v>
      </c>
      <c r="T2" s="1" t="s">
        <v>336</v>
      </c>
      <c r="U2" s="1" t="s">
        <v>610</v>
      </c>
      <c r="V2" s="5" t="s">
        <v>646</v>
      </c>
      <c r="W2" s="1" t="s">
        <v>345</v>
      </c>
      <c r="X2" s="1" t="s">
        <v>315</v>
      </c>
      <c r="Y2" s="1" t="s">
        <v>614</v>
      </c>
      <c r="Z2" s="1" t="s">
        <v>307</v>
      </c>
      <c r="AA2" s="1" t="s">
        <v>315</v>
      </c>
      <c r="AB2" s="1" t="s">
        <v>315</v>
      </c>
      <c r="AC2" s="1" t="s">
        <v>345</v>
      </c>
      <c r="AD2" s="1" t="s">
        <v>315</v>
      </c>
      <c r="AE2" s="1" t="s">
        <v>308</v>
      </c>
      <c r="AF2" s="1" t="s">
        <v>309</v>
      </c>
      <c r="AG2" s="1" t="s">
        <v>315</v>
      </c>
      <c r="AH2" s="1" t="s">
        <v>315</v>
      </c>
      <c r="AI2" s="1" t="s">
        <v>615</v>
      </c>
      <c r="AJ2" s="1" t="s">
        <v>362</v>
      </c>
      <c r="AK2" s="1" t="s">
        <v>697</v>
      </c>
      <c r="AL2" s="1" t="s">
        <v>616</v>
      </c>
      <c r="AM2" s="1" t="s">
        <v>315</v>
      </c>
      <c r="AN2" s="1">
        <v>-10.103626943005203</v>
      </c>
      <c r="AO2" s="1">
        <v>5.8202005886577881</v>
      </c>
      <c r="AP2" s="1" t="s">
        <v>315</v>
      </c>
      <c r="AQ2" s="1">
        <v>5</v>
      </c>
      <c r="AR2" s="1">
        <v>-7.3056994818653003</v>
      </c>
      <c r="AS2" s="1">
        <v>4.663212435233139</v>
      </c>
      <c r="AT2" s="1" t="s">
        <v>315</v>
      </c>
      <c r="AU2" s="1">
        <v>5</v>
      </c>
      <c r="AV2"/>
      <c r="AW2" s="1" t="s">
        <v>639</v>
      </c>
    </row>
    <row r="3" spans="1:49" s="1" customFormat="1">
      <c r="A3" s="1" t="s">
        <v>982</v>
      </c>
      <c r="B3" s="1">
        <v>1</v>
      </c>
      <c r="C3" s="1">
        <v>2</v>
      </c>
      <c r="D3" s="1" t="s">
        <v>18</v>
      </c>
      <c r="E3" s="1" t="s">
        <v>19</v>
      </c>
      <c r="F3" s="1" t="s">
        <v>20</v>
      </c>
      <c r="G3" s="1">
        <v>2019</v>
      </c>
      <c r="H3" s="1" t="s">
        <v>417</v>
      </c>
      <c r="I3" s="1" t="s">
        <v>416</v>
      </c>
      <c r="J3" s="1">
        <v>-5.8333329999999997</v>
      </c>
      <c r="K3" s="1">
        <v>72</v>
      </c>
      <c r="L3" s="1" t="s">
        <v>381</v>
      </c>
      <c r="M3" s="1" t="s">
        <v>380</v>
      </c>
      <c r="N3" s="1" t="s">
        <v>644</v>
      </c>
      <c r="O3" s="1" t="s">
        <v>607</v>
      </c>
      <c r="P3" s="1" t="s">
        <v>608</v>
      </c>
      <c r="Q3" s="1" t="s">
        <v>294</v>
      </c>
      <c r="R3" s="1" t="s">
        <v>609</v>
      </c>
      <c r="S3" s="1" t="s">
        <v>315</v>
      </c>
      <c r="T3" s="1" t="s">
        <v>336</v>
      </c>
      <c r="U3" s="1" t="s">
        <v>610</v>
      </c>
      <c r="V3" s="5" t="s">
        <v>646</v>
      </c>
      <c r="W3" s="1" t="s">
        <v>345</v>
      </c>
      <c r="X3" s="1" t="s">
        <v>315</v>
      </c>
      <c r="Y3" s="1" t="s">
        <v>614</v>
      </c>
      <c r="Z3" s="1" t="s">
        <v>307</v>
      </c>
      <c r="AA3" s="1" t="s">
        <v>315</v>
      </c>
      <c r="AB3" s="1" t="s">
        <v>315</v>
      </c>
      <c r="AC3" s="1" t="s">
        <v>313</v>
      </c>
      <c r="AD3" s="1" t="s">
        <v>617</v>
      </c>
      <c r="AE3" s="1" t="s">
        <v>728</v>
      </c>
      <c r="AF3" s="1" t="s">
        <v>621</v>
      </c>
      <c r="AG3" s="1" t="s">
        <v>619</v>
      </c>
      <c r="AH3" s="1" t="s">
        <v>315</v>
      </c>
      <c r="AI3" s="1" t="s">
        <v>622</v>
      </c>
      <c r="AJ3" s="1" t="s">
        <v>362</v>
      </c>
      <c r="AK3" s="1" t="s">
        <v>697</v>
      </c>
      <c r="AL3" s="1" t="s">
        <v>616</v>
      </c>
      <c r="AM3" s="1" t="s">
        <v>315</v>
      </c>
      <c r="AN3" s="1">
        <v>18.711340206185501</v>
      </c>
      <c r="AO3" s="1">
        <v>4.0942893695486466</v>
      </c>
      <c r="AP3" s="1" t="s">
        <v>315</v>
      </c>
      <c r="AQ3" s="1">
        <v>5</v>
      </c>
      <c r="AR3" s="1">
        <v>-1.237113402061859</v>
      </c>
      <c r="AS3" s="1">
        <v>1.1257901890640061</v>
      </c>
      <c r="AT3" s="1" t="s">
        <v>315</v>
      </c>
      <c r="AU3" s="1">
        <v>5</v>
      </c>
      <c r="AV3"/>
      <c r="AW3" s="1" t="s">
        <v>639</v>
      </c>
    </row>
    <row r="4" spans="1:49" s="1" customFormat="1">
      <c r="A4" s="1" t="s">
        <v>982</v>
      </c>
      <c r="B4" s="1">
        <v>1</v>
      </c>
      <c r="C4" s="1">
        <v>3</v>
      </c>
      <c r="D4" s="1" t="s">
        <v>18</v>
      </c>
      <c r="E4" s="1" t="s">
        <v>19</v>
      </c>
      <c r="F4" s="1" t="s">
        <v>20</v>
      </c>
      <c r="G4" s="1">
        <v>2019</v>
      </c>
      <c r="H4" s="1" t="s">
        <v>417</v>
      </c>
      <c r="I4" s="1" t="s">
        <v>416</v>
      </c>
      <c r="J4" s="1">
        <v>-5.8333329999999997</v>
      </c>
      <c r="K4" s="1">
        <v>72</v>
      </c>
      <c r="L4" s="1" t="s">
        <v>381</v>
      </c>
      <c r="M4" s="1" t="s">
        <v>380</v>
      </c>
      <c r="N4" s="1" t="s">
        <v>644</v>
      </c>
      <c r="O4" s="1" t="s">
        <v>607</v>
      </c>
      <c r="P4" s="1" t="s">
        <v>608</v>
      </c>
      <c r="Q4" s="1" t="s">
        <v>294</v>
      </c>
      <c r="R4" s="1" t="s">
        <v>609</v>
      </c>
      <c r="S4" s="1" t="s">
        <v>315</v>
      </c>
      <c r="T4" s="1" t="s">
        <v>336</v>
      </c>
      <c r="U4" s="1" t="s">
        <v>610</v>
      </c>
      <c r="V4" s="5" t="s">
        <v>646</v>
      </c>
      <c r="W4" s="1" t="s">
        <v>345</v>
      </c>
      <c r="X4" s="1" t="s">
        <v>315</v>
      </c>
      <c r="Y4" s="1" t="s">
        <v>614</v>
      </c>
      <c r="Z4" s="1" t="s">
        <v>307</v>
      </c>
      <c r="AA4" s="1" t="s">
        <v>315</v>
      </c>
      <c r="AB4" s="1" t="s">
        <v>315</v>
      </c>
      <c r="AC4" s="1" t="s">
        <v>345</v>
      </c>
      <c r="AD4" s="1" t="s">
        <v>315</v>
      </c>
      <c r="AE4" s="1" t="s">
        <v>728</v>
      </c>
      <c r="AF4" s="1" t="s">
        <v>642</v>
      </c>
      <c r="AG4" s="1" t="s">
        <v>315</v>
      </c>
      <c r="AH4" s="1" t="s">
        <v>315</v>
      </c>
      <c r="AI4" s="1" t="s">
        <v>640</v>
      </c>
      <c r="AJ4" s="1" t="s">
        <v>362</v>
      </c>
      <c r="AK4" s="1" t="s">
        <v>697</v>
      </c>
      <c r="AL4" s="1" t="s">
        <v>616</v>
      </c>
      <c r="AM4" s="1" t="s">
        <v>315</v>
      </c>
      <c r="AN4">
        <v>19.261363636363551</v>
      </c>
      <c r="AO4">
        <v>4.7681593400112199</v>
      </c>
      <c r="AP4" s="1" t="s">
        <v>315</v>
      </c>
      <c r="AQ4" s="1">
        <v>5</v>
      </c>
      <c r="AR4">
        <v>4.3465909090908603</v>
      </c>
      <c r="AS4">
        <v>4.0917967786900862</v>
      </c>
      <c r="AT4" s="1" t="s">
        <v>315</v>
      </c>
      <c r="AU4" s="1">
        <v>5</v>
      </c>
      <c r="AV4"/>
      <c r="AW4" s="1" t="s">
        <v>639</v>
      </c>
    </row>
    <row r="5" spans="1:49" s="1" customFormat="1">
      <c r="A5" s="1" t="s">
        <v>965</v>
      </c>
      <c r="B5" s="1">
        <v>2</v>
      </c>
      <c r="C5" s="11">
        <v>1</v>
      </c>
      <c r="D5" s="1" t="s">
        <v>30</v>
      </c>
      <c r="E5" s="1" t="s">
        <v>31</v>
      </c>
      <c r="F5" s="1" t="s">
        <v>32</v>
      </c>
      <c r="G5" s="1">
        <v>2018</v>
      </c>
      <c r="H5" s="1" t="s">
        <v>418</v>
      </c>
      <c r="I5" s="1" t="s">
        <v>419</v>
      </c>
      <c r="J5" s="1">
        <v>-14.683332999999999</v>
      </c>
      <c r="K5" s="1">
        <v>145.44999999999999</v>
      </c>
      <c r="L5" s="1" t="s">
        <v>375</v>
      </c>
      <c r="M5" s="1" t="s">
        <v>376</v>
      </c>
      <c r="N5" s="1" t="s">
        <v>645</v>
      </c>
      <c r="O5" s="1" t="s">
        <v>291</v>
      </c>
      <c r="P5" s="1" t="s">
        <v>791</v>
      </c>
      <c r="Q5" s="1" t="s">
        <v>294</v>
      </c>
      <c r="R5" s="1" t="s">
        <v>332</v>
      </c>
      <c r="S5" s="1" t="s">
        <v>315</v>
      </c>
      <c r="T5" s="1" t="s">
        <v>336</v>
      </c>
      <c r="U5" s="1" t="s">
        <v>315</v>
      </c>
      <c r="V5" s="1">
        <v>2016</v>
      </c>
      <c r="W5" s="1" t="s">
        <v>295</v>
      </c>
      <c r="X5" s="1" t="s">
        <v>794</v>
      </c>
      <c r="Y5" s="1" t="s">
        <v>306</v>
      </c>
      <c r="Z5" s="1" t="s">
        <v>307</v>
      </c>
      <c r="AA5" s="1" t="s">
        <v>895</v>
      </c>
      <c r="AB5" s="1" t="s">
        <v>896</v>
      </c>
      <c r="AC5" s="1" t="s">
        <v>313</v>
      </c>
      <c r="AD5" s="11" t="s">
        <v>935</v>
      </c>
      <c r="AE5" s="11" t="s">
        <v>936</v>
      </c>
      <c r="AF5" s="11" t="s">
        <v>958</v>
      </c>
      <c r="AG5" s="11" t="s">
        <v>937</v>
      </c>
      <c r="AH5" s="11" t="s">
        <v>922</v>
      </c>
      <c r="AI5" s="1" t="s">
        <v>615</v>
      </c>
      <c r="AJ5" s="1" t="s">
        <v>362</v>
      </c>
      <c r="AK5" s="1" t="s">
        <v>799</v>
      </c>
      <c r="AL5" s="1" t="s">
        <v>350</v>
      </c>
      <c r="AM5" s="11" t="s">
        <v>315</v>
      </c>
      <c r="AN5" s="11">
        <v>0.36354679802955597</v>
      </c>
      <c r="AO5" s="1">
        <v>2.955665024630505E-2</v>
      </c>
      <c r="AP5" s="1" t="s">
        <v>315</v>
      </c>
      <c r="AQ5" s="11">
        <v>19</v>
      </c>
      <c r="AR5" s="11">
        <v>0.26896551724137902</v>
      </c>
      <c r="AS5" s="1">
        <v>2.6600985221674978E-2</v>
      </c>
      <c r="AT5" s="1" t="s">
        <v>315</v>
      </c>
      <c r="AU5" s="11">
        <v>18</v>
      </c>
      <c r="AV5"/>
      <c r="AW5" s="11" t="s">
        <v>938</v>
      </c>
    </row>
    <row r="6" spans="1:49" s="1" customFormat="1">
      <c r="A6" s="1" t="s">
        <v>965</v>
      </c>
      <c r="B6" s="1">
        <v>2</v>
      </c>
      <c r="C6" s="11">
        <v>2</v>
      </c>
      <c r="D6" s="1" t="s">
        <v>30</v>
      </c>
      <c r="E6" s="1" t="s">
        <v>31</v>
      </c>
      <c r="F6" s="1" t="s">
        <v>32</v>
      </c>
      <c r="G6" s="1">
        <v>2018</v>
      </c>
      <c r="H6" s="1" t="s">
        <v>418</v>
      </c>
      <c r="I6" s="1" t="s">
        <v>419</v>
      </c>
      <c r="J6" s="1">
        <v>-14.683332999999999</v>
      </c>
      <c r="K6" s="1">
        <v>145.44999999999999</v>
      </c>
      <c r="L6" s="1" t="s">
        <v>375</v>
      </c>
      <c r="M6" s="1" t="s">
        <v>376</v>
      </c>
      <c r="N6" s="1" t="s">
        <v>645</v>
      </c>
      <c r="O6" s="1" t="s">
        <v>291</v>
      </c>
      <c r="P6" s="1" t="s">
        <v>791</v>
      </c>
      <c r="Q6" s="1" t="s">
        <v>294</v>
      </c>
      <c r="R6" s="1" t="s">
        <v>332</v>
      </c>
      <c r="S6" s="1" t="s">
        <v>315</v>
      </c>
      <c r="T6" s="1" t="s">
        <v>336</v>
      </c>
      <c r="U6" s="1" t="s">
        <v>315</v>
      </c>
      <c r="V6" s="1">
        <v>2016</v>
      </c>
      <c r="W6" s="1" t="s">
        <v>295</v>
      </c>
      <c r="X6" s="1" t="s">
        <v>794</v>
      </c>
      <c r="Y6" s="1" t="s">
        <v>306</v>
      </c>
      <c r="Z6" s="1" t="s">
        <v>307</v>
      </c>
      <c r="AA6" s="1" t="s">
        <v>895</v>
      </c>
      <c r="AB6" s="1" t="s">
        <v>896</v>
      </c>
      <c r="AC6" s="1" t="s">
        <v>313</v>
      </c>
      <c r="AD6" s="11" t="s">
        <v>935</v>
      </c>
      <c r="AE6" s="11" t="s">
        <v>936</v>
      </c>
      <c r="AF6" s="11" t="s">
        <v>958</v>
      </c>
      <c r="AG6" s="11" t="s">
        <v>937</v>
      </c>
      <c r="AH6" s="11" t="s">
        <v>922</v>
      </c>
      <c r="AI6" s="1" t="s">
        <v>640</v>
      </c>
      <c r="AJ6" s="1" t="s">
        <v>362</v>
      </c>
      <c r="AK6" s="1" t="s">
        <v>799</v>
      </c>
      <c r="AL6" s="1" t="s">
        <v>584</v>
      </c>
      <c r="AM6" s="11" t="s">
        <v>315</v>
      </c>
      <c r="AN6" s="11">
        <v>0.247422680412371</v>
      </c>
      <c r="AO6" s="1">
        <v>2.3195876288659018E-2</v>
      </c>
      <c r="AP6" s="1" t="s">
        <v>315</v>
      </c>
      <c r="AQ6" s="11">
        <v>19</v>
      </c>
      <c r="AR6" s="11">
        <v>0.17783505154639101</v>
      </c>
      <c r="AS6" s="1">
        <v>1.2371134020618985E-2</v>
      </c>
      <c r="AT6" s="1" t="s">
        <v>315</v>
      </c>
      <c r="AU6" s="11">
        <v>18</v>
      </c>
      <c r="AV6"/>
      <c r="AW6" s="1" t="s">
        <v>901</v>
      </c>
    </row>
    <row r="7" spans="1:49" s="1" customFormat="1">
      <c r="A7" s="1" t="s">
        <v>965</v>
      </c>
      <c r="B7" s="1">
        <v>2</v>
      </c>
      <c r="C7" s="11">
        <v>2</v>
      </c>
      <c r="D7" s="1" t="s">
        <v>30</v>
      </c>
      <c r="E7" s="1" t="s">
        <v>31</v>
      </c>
      <c r="F7" s="1" t="s">
        <v>32</v>
      </c>
      <c r="G7" s="1">
        <v>2018</v>
      </c>
      <c r="H7" s="1" t="s">
        <v>418</v>
      </c>
      <c r="I7" s="1" t="s">
        <v>419</v>
      </c>
      <c r="J7" s="1">
        <v>-14.683332999999999</v>
      </c>
      <c r="K7" s="1">
        <v>145.44999999999999</v>
      </c>
      <c r="L7" s="1" t="s">
        <v>375</v>
      </c>
      <c r="M7" s="1" t="s">
        <v>376</v>
      </c>
      <c r="N7" s="1" t="s">
        <v>645</v>
      </c>
      <c r="O7" s="1" t="s">
        <v>291</v>
      </c>
      <c r="P7" s="1" t="s">
        <v>791</v>
      </c>
      <c r="Q7" s="1" t="s">
        <v>294</v>
      </c>
      <c r="R7" s="1" t="s">
        <v>332</v>
      </c>
      <c r="S7" s="1" t="s">
        <v>315</v>
      </c>
      <c r="T7" s="1" t="s">
        <v>336</v>
      </c>
      <c r="U7" s="1" t="s">
        <v>315</v>
      </c>
      <c r="V7" s="1">
        <v>2016</v>
      </c>
      <c r="W7" s="1" t="s">
        <v>295</v>
      </c>
      <c r="X7" s="1" t="s">
        <v>794</v>
      </c>
      <c r="Y7" s="1" t="s">
        <v>306</v>
      </c>
      <c r="Z7" s="1" t="s">
        <v>307</v>
      </c>
      <c r="AA7" s="1" t="s">
        <v>895</v>
      </c>
      <c r="AB7" s="1" t="s">
        <v>896</v>
      </c>
      <c r="AC7" s="1" t="s">
        <v>295</v>
      </c>
      <c r="AD7" s="1" t="s">
        <v>724</v>
      </c>
      <c r="AE7" s="1" t="s">
        <v>308</v>
      </c>
      <c r="AF7" s="1" t="s">
        <v>309</v>
      </c>
      <c r="AG7" s="1" t="s">
        <v>722</v>
      </c>
      <c r="AH7" s="1" t="s">
        <v>897</v>
      </c>
      <c r="AI7" s="1" t="s">
        <v>622</v>
      </c>
      <c r="AJ7" s="1" t="s">
        <v>362</v>
      </c>
      <c r="AK7" s="1" t="s">
        <v>799</v>
      </c>
      <c r="AL7" s="1" t="s">
        <v>941</v>
      </c>
      <c r="AM7" s="11" t="s">
        <v>315</v>
      </c>
      <c r="AN7" s="11">
        <v>1.19366197183098</v>
      </c>
      <c r="AO7" s="1">
        <v>1.37323943661971</v>
      </c>
      <c r="AP7" s="1" t="s">
        <v>315</v>
      </c>
      <c r="AQ7" s="11">
        <v>19</v>
      </c>
      <c r="AR7" s="11">
        <v>0.68661971830985902</v>
      </c>
      <c r="AS7" s="1">
        <v>0.83978873239436602</v>
      </c>
      <c r="AT7" s="1" t="s">
        <v>315</v>
      </c>
      <c r="AU7" s="11">
        <v>18</v>
      </c>
      <c r="AV7"/>
      <c r="AW7" s="1" t="s">
        <v>901</v>
      </c>
    </row>
    <row r="8" spans="1:49" s="1" customFormat="1">
      <c r="A8" s="1" t="s">
        <v>965</v>
      </c>
      <c r="B8" s="1">
        <v>2</v>
      </c>
      <c r="C8" s="11">
        <v>3</v>
      </c>
      <c r="D8" s="1" t="s">
        <v>30</v>
      </c>
      <c r="E8" s="1" t="s">
        <v>31</v>
      </c>
      <c r="F8" s="1" t="s">
        <v>32</v>
      </c>
      <c r="G8" s="1">
        <v>2018</v>
      </c>
      <c r="H8" s="1" t="s">
        <v>418</v>
      </c>
      <c r="I8" s="1" t="s">
        <v>419</v>
      </c>
      <c r="J8" s="1">
        <v>-14.683332999999999</v>
      </c>
      <c r="K8" s="1">
        <v>145.44999999999999</v>
      </c>
      <c r="L8" s="1" t="s">
        <v>375</v>
      </c>
      <c r="M8" s="1" t="s">
        <v>376</v>
      </c>
      <c r="N8" s="1" t="s">
        <v>645</v>
      </c>
      <c r="O8" s="1" t="s">
        <v>291</v>
      </c>
      <c r="P8" s="1" t="s">
        <v>791</v>
      </c>
      <c r="Q8" s="1" t="s">
        <v>294</v>
      </c>
      <c r="R8" s="1" t="s">
        <v>332</v>
      </c>
      <c r="S8" s="1" t="s">
        <v>315</v>
      </c>
      <c r="T8" s="1" t="s">
        <v>335</v>
      </c>
      <c r="U8" s="1" t="s">
        <v>578</v>
      </c>
      <c r="V8" s="5" t="s">
        <v>967</v>
      </c>
      <c r="W8" s="1" t="s">
        <v>295</v>
      </c>
      <c r="X8" s="1" t="s">
        <v>794</v>
      </c>
      <c r="Y8" s="1" t="s">
        <v>306</v>
      </c>
      <c r="Z8" s="1" t="s">
        <v>307</v>
      </c>
      <c r="AA8" s="1" t="s">
        <v>895</v>
      </c>
      <c r="AB8" s="1" t="s">
        <v>896</v>
      </c>
      <c r="AC8" s="1" t="s">
        <v>313</v>
      </c>
      <c r="AD8" s="11" t="s">
        <v>935</v>
      </c>
      <c r="AE8" s="11" t="s">
        <v>936</v>
      </c>
      <c r="AF8" s="11" t="s">
        <v>958</v>
      </c>
      <c r="AG8" s="11" t="s">
        <v>937</v>
      </c>
      <c r="AH8" s="11" t="s">
        <v>922</v>
      </c>
      <c r="AI8" s="11" t="s">
        <v>949</v>
      </c>
      <c r="AJ8" s="11" t="s">
        <v>362</v>
      </c>
      <c r="AK8" s="11" t="s">
        <v>799</v>
      </c>
      <c r="AL8" s="11" t="s">
        <v>350</v>
      </c>
      <c r="AM8" s="11" t="s">
        <v>315</v>
      </c>
      <c r="AN8">
        <v>-0.31587020648967501</v>
      </c>
      <c r="AO8">
        <v>0.22771604960221456</v>
      </c>
      <c r="AP8" s="1" t="s">
        <v>315</v>
      </c>
      <c r="AQ8" s="11">
        <v>10</v>
      </c>
      <c r="AR8">
        <v>-0.849085545722714</v>
      </c>
      <c r="AS8">
        <v>0.13295605379440695</v>
      </c>
      <c r="AT8" s="1" t="s">
        <v>315</v>
      </c>
      <c r="AU8" s="11">
        <v>10</v>
      </c>
      <c r="AV8"/>
      <c r="AW8" s="1" t="s">
        <v>961</v>
      </c>
    </row>
    <row r="9" spans="1:49" s="1" customFormat="1">
      <c r="A9" s="1" t="s">
        <v>965</v>
      </c>
      <c r="B9" s="1">
        <v>2</v>
      </c>
      <c r="C9" s="11">
        <v>4</v>
      </c>
      <c r="D9" s="1" t="s">
        <v>30</v>
      </c>
      <c r="E9" s="1" t="s">
        <v>31</v>
      </c>
      <c r="F9" s="1" t="s">
        <v>32</v>
      </c>
      <c r="G9" s="1">
        <v>2018</v>
      </c>
      <c r="H9" s="1" t="s">
        <v>418</v>
      </c>
      <c r="I9" s="1" t="s">
        <v>419</v>
      </c>
      <c r="J9" s="1">
        <v>-14.683332999999999</v>
      </c>
      <c r="K9" s="1">
        <v>145.44999999999999</v>
      </c>
      <c r="L9" s="1" t="s">
        <v>375</v>
      </c>
      <c r="M9" s="1" t="s">
        <v>376</v>
      </c>
      <c r="N9" s="1" t="s">
        <v>645</v>
      </c>
      <c r="O9" s="1" t="s">
        <v>291</v>
      </c>
      <c r="P9" s="1" t="s">
        <v>791</v>
      </c>
      <c r="Q9" s="1" t="s">
        <v>294</v>
      </c>
      <c r="R9" s="1" t="s">
        <v>332</v>
      </c>
      <c r="S9" s="1" t="s">
        <v>315</v>
      </c>
      <c r="T9" s="1" t="s">
        <v>335</v>
      </c>
      <c r="U9" s="1" t="s">
        <v>578</v>
      </c>
      <c r="V9" s="5"/>
      <c r="W9" s="1" t="s">
        <v>295</v>
      </c>
      <c r="X9" s="1" t="s">
        <v>794</v>
      </c>
      <c r="Y9" s="1" t="s">
        <v>306</v>
      </c>
      <c r="Z9" s="1" t="s">
        <v>307</v>
      </c>
      <c r="AA9" s="1" t="s">
        <v>895</v>
      </c>
      <c r="AB9" s="1" t="s">
        <v>896</v>
      </c>
      <c r="AC9" s="1" t="s">
        <v>313</v>
      </c>
      <c r="AD9" s="11" t="s">
        <v>935</v>
      </c>
      <c r="AE9" s="11" t="s">
        <v>936</v>
      </c>
      <c r="AF9" s="11" t="s">
        <v>958</v>
      </c>
      <c r="AG9" s="11" t="s">
        <v>937</v>
      </c>
      <c r="AH9" s="11" t="s">
        <v>922</v>
      </c>
      <c r="AI9" s="11" t="s">
        <v>950</v>
      </c>
      <c r="AJ9" s="11" t="s">
        <v>362</v>
      </c>
      <c r="AK9" s="11" t="s">
        <v>799</v>
      </c>
      <c r="AL9" s="11" t="s">
        <v>584</v>
      </c>
      <c r="AM9" s="11" t="s">
        <v>315</v>
      </c>
      <c r="AN9">
        <v>-0.17241379310344995</v>
      </c>
      <c r="AO9">
        <v>0.57829344245684555</v>
      </c>
      <c r="AP9" s="1" t="s">
        <v>315</v>
      </c>
      <c r="AQ9" s="11">
        <v>10</v>
      </c>
      <c r="AR9">
        <v>-0.99137931034482207</v>
      </c>
      <c r="AS9">
        <v>0.28914672122841878</v>
      </c>
      <c r="AT9" s="1" t="s">
        <v>315</v>
      </c>
      <c r="AU9" s="11">
        <v>10</v>
      </c>
      <c r="AV9"/>
      <c r="AW9" s="1" t="s">
        <v>962</v>
      </c>
    </row>
    <row r="10" spans="1:49" s="1" customFormat="1">
      <c r="A10" s="1" t="s">
        <v>965</v>
      </c>
      <c r="B10" s="1">
        <v>2</v>
      </c>
      <c r="C10" s="11">
        <v>5</v>
      </c>
      <c r="D10" s="1" t="s">
        <v>30</v>
      </c>
      <c r="E10" s="1" t="s">
        <v>31</v>
      </c>
      <c r="F10" s="1" t="s">
        <v>32</v>
      </c>
      <c r="G10" s="1">
        <v>2018</v>
      </c>
      <c r="H10" s="1" t="s">
        <v>418</v>
      </c>
      <c r="I10" s="1" t="s">
        <v>419</v>
      </c>
      <c r="J10" s="1">
        <v>-14.683332999999999</v>
      </c>
      <c r="K10" s="1">
        <v>145.44999999999999</v>
      </c>
      <c r="L10" s="1" t="s">
        <v>375</v>
      </c>
      <c r="M10" s="1" t="s">
        <v>376</v>
      </c>
      <c r="N10" s="1" t="s">
        <v>645</v>
      </c>
      <c r="O10" s="1" t="s">
        <v>291</v>
      </c>
      <c r="P10" s="1" t="s">
        <v>791</v>
      </c>
      <c r="Q10" s="1" t="s">
        <v>294</v>
      </c>
      <c r="R10" s="1" t="s">
        <v>332</v>
      </c>
      <c r="S10" s="1" t="s">
        <v>315</v>
      </c>
      <c r="T10" s="1" t="s">
        <v>335</v>
      </c>
      <c r="U10" s="1" t="s">
        <v>578</v>
      </c>
      <c r="V10" s="5"/>
      <c r="W10" s="1" t="s">
        <v>295</v>
      </c>
      <c r="X10" s="1" t="s">
        <v>794</v>
      </c>
      <c r="Y10" s="1" t="s">
        <v>306</v>
      </c>
      <c r="Z10" s="1" t="s">
        <v>307</v>
      </c>
      <c r="AA10" s="1" t="s">
        <v>895</v>
      </c>
      <c r="AB10" s="1" t="s">
        <v>896</v>
      </c>
      <c r="AC10" s="1" t="s">
        <v>295</v>
      </c>
      <c r="AD10" s="1" t="s">
        <v>724</v>
      </c>
      <c r="AE10" s="1" t="s">
        <v>308</v>
      </c>
      <c r="AF10" s="1" t="s">
        <v>309</v>
      </c>
      <c r="AG10" s="1" t="s">
        <v>722</v>
      </c>
      <c r="AH10" s="1" t="s">
        <v>897</v>
      </c>
      <c r="AI10" s="11" t="s">
        <v>951</v>
      </c>
      <c r="AJ10" s="11" t="s">
        <v>362</v>
      </c>
      <c r="AK10" s="11" t="s">
        <v>799</v>
      </c>
      <c r="AL10" s="11" t="s">
        <v>941</v>
      </c>
      <c r="AM10" s="11" t="s">
        <v>315</v>
      </c>
      <c r="AN10">
        <v>-0.42086956521739094</v>
      </c>
      <c r="AO10">
        <v>7.8569439986619097E-2</v>
      </c>
      <c r="AP10" s="1" t="s">
        <v>315</v>
      </c>
      <c r="AQ10" s="11">
        <v>10</v>
      </c>
      <c r="AR10">
        <v>-0.73043478260869532</v>
      </c>
      <c r="AS10">
        <v>0.12790592005702212</v>
      </c>
      <c r="AT10" s="1" t="s">
        <v>315</v>
      </c>
      <c r="AU10" s="11">
        <v>10</v>
      </c>
      <c r="AV10"/>
      <c r="AW10" s="1" t="s">
        <v>963</v>
      </c>
    </row>
    <row r="11" spans="1:49" s="1" customFormat="1">
      <c r="A11" s="1" t="s">
        <v>965</v>
      </c>
      <c r="B11" s="1">
        <v>2</v>
      </c>
      <c r="C11" s="11">
        <v>6</v>
      </c>
      <c r="D11" s="1" t="s">
        <v>30</v>
      </c>
      <c r="E11" s="1" t="s">
        <v>31</v>
      </c>
      <c r="F11" s="1" t="s">
        <v>32</v>
      </c>
      <c r="G11" s="1">
        <v>2018</v>
      </c>
      <c r="H11" s="1" t="s">
        <v>418</v>
      </c>
      <c r="I11" s="1" t="s">
        <v>419</v>
      </c>
      <c r="J11" s="1">
        <v>-14.683332999999999</v>
      </c>
      <c r="K11" s="1">
        <v>145.44999999999999</v>
      </c>
      <c r="L11" s="1" t="s">
        <v>375</v>
      </c>
      <c r="M11" s="1" t="s">
        <v>376</v>
      </c>
      <c r="N11" s="1" t="s">
        <v>645</v>
      </c>
      <c r="O11" s="1" t="s">
        <v>291</v>
      </c>
      <c r="P11" s="1" t="s">
        <v>791</v>
      </c>
      <c r="Q11" s="1" t="s">
        <v>294</v>
      </c>
      <c r="R11" s="1" t="s">
        <v>332</v>
      </c>
      <c r="S11" s="1" t="s">
        <v>315</v>
      </c>
      <c r="T11" s="1" t="s">
        <v>335</v>
      </c>
      <c r="U11" s="1" t="s">
        <v>578</v>
      </c>
      <c r="V11" s="5"/>
      <c r="W11" s="1" t="s">
        <v>295</v>
      </c>
      <c r="X11" s="1" t="s">
        <v>794</v>
      </c>
      <c r="Y11" s="1" t="s">
        <v>306</v>
      </c>
      <c r="Z11" s="1" t="s">
        <v>307</v>
      </c>
      <c r="AA11" s="1" t="s">
        <v>895</v>
      </c>
      <c r="AB11" s="1" t="s">
        <v>896</v>
      </c>
      <c r="AC11" s="1" t="s">
        <v>295</v>
      </c>
      <c r="AD11" s="1" t="s">
        <v>724</v>
      </c>
      <c r="AE11" s="1" t="s">
        <v>308</v>
      </c>
      <c r="AF11" s="1" t="s">
        <v>309</v>
      </c>
      <c r="AG11" s="1" t="s">
        <v>722</v>
      </c>
      <c r="AH11" s="1" t="s">
        <v>897</v>
      </c>
      <c r="AI11" s="11" t="s">
        <v>952</v>
      </c>
      <c r="AJ11" s="11" t="s">
        <v>362</v>
      </c>
      <c r="AK11" s="11" t="s">
        <v>799</v>
      </c>
      <c r="AL11" s="11" t="s">
        <v>658</v>
      </c>
      <c r="AM11" s="11" t="s">
        <v>315</v>
      </c>
      <c r="AN11">
        <v>-5.2631578947367919E-2</v>
      </c>
      <c r="AO11">
        <v>0.12959023423415916</v>
      </c>
      <c r="AP11" s="1" t="s">
        <v>315</v>
      </c>
      <c r="AQ11" s="11">
        <v>10</v>
      </c>
      <c r="AR11">
        <v>-0.68421052631578994</v>
      </c>
      <c r="AS11">
        <v>0.22979275258647885</v>
      </c>
      <c r="AT11" s="1" t="s">
        <v>315</v>
      </c>
      <c r="AU11" s="11">
        <v>10</v>
      </c>
      <c r="AV11"/>
      <c r="AW11" s="1" t="s">
        <v>964</v>
      </c>
    </row>
    <row r="12" spans="1:49" s="1" customFormat="1">
      <c r="A12" s="1" t="s">
        <v>983</v>
      </c>
      <c r="B12" s="1">
        <v>3</v>
      </c>
      <c r="C12" s="11">
        <v>1</v>
      </c>
      <c r="D12" s="1" t="s">
        <v>45</v>
      </c>
      <c r="E12" s="1" t="s">
        <v>46</v>
      </c>
      <c r="F12" s="1" t="s">
        <v>47</v>
      </c>
      <c r="G12" s="1">
        <v>2018</v>
      </c>
      <c r="H12" s="1" t="s">
        <v>435</v>
      </c>
      <c r="I12" s="1" t="s">
        <v>436</v>
      </c>
      <c r="J12" s="1">
        <v>31.354237999999999</v>
      </c>
      <c r="K12" s="1">
        <v>-81.246572</v>
      </c>
      <c r="L12" s="1" t="s">
        <v>366</v>
      </c>
      <c r="M12" s="1" t="s">
        <v>373</v>
      </c>
      <c r="N12" s="1" t="s">
        <v>574</v>
      </c>
      <c r="O12" s="1" t="s">
        <v>575</v>
      </c>
      <c r="P12" s="1" t="s">
        <v>791</v>
      </c>
      <c r="Q12" s="1" t="s">
        <v>424</v>
      </c>
      <c r="R12" s="1" t="s">
        <v>972</v>
      </c>
      <c r="S12" s="1" t="s">
        <v>315</v>
      </c>
      <c r="T12" s="1" t="s">
        <v>336</v>
      </c>
      <c r="U12" s="1" t="s">
        <v>315</v>
      </c>
      <c r="V12" s="1" t="s">
        <v>986</v>
      </c>
      <c r="W12" s="1" t="s">
        <v>295</v>
      </c>
      <c r="X12" s="1" t="s">
        <v>579</v>
      </c>
      <c r="Y12" s="1" t="s">
        <v>614</v>
      </c>
      <c r="Z12" s="1" t="s">
        <v>581</v>
      </c>
      <c r="AA12" s="1" t="s">
        <v>973</v>
      </c>
      <c r="AB12" s="1" t="s">
        <v>974</v>
      </c>
      <c r="AC12" s="1" t="s">
        <v>295</v>
      </c>
      <c r="AD12" s="1" t="s">
        <v>975</v>
      </c>
      <c r="AE12" s="1" t="s">
        <v>661</v>
      </c>
      <c r="AF12" s="1" t="s">
        <v>601</v>
      </c>
      <c r="AG12" s="1" t="s">
        <v>977</v>
      </c>
      <c r="AH12" s="1" t="s">
        <v>976</v>
      </c>
      <c r="AI12" s="1" t="s">
        <v>828</v>
      </c>
      <c r="AJ12" s="1" t="s">
        <v>362</v>
      </c>
      <c r="AK12" s="1" t="s">
        <v>745</v>
      </c>
      <c r="AL12" s="1" t="s">
        <v>984</v>
      </c>
      <c r="AM12" s="1" t="s">
        <v>315</v>
      </c>
      <c r="AN12" s="1">
        <v>74.662162162162105</v>
      </c>
      <c r="AO12" s="1" t="s">
        <v>315</v>
      </c>
      <c r="AP12" s="1" t="s">
        <v>315</v>
      </c>
      <c r="AQ12" s="1">
        <v>12</v>
      </c>
      <c r="AR12" s="1">
        <v>24.999999999999901</v>
      </c>
      <c r="AS12" s="1" t="s">
        <v>315</v>
      </c>
      <c r="AT12" s="1" t="s">
        <v>315</v>
      </c>
      <c r="AU12" s="1">
        <v>12</v>
      </c>
      <c r="AV12"/>
      <c r="AW12" s="1" t="s">
        <v>987</v>
      </c>
    </row>
    <row r="13" spans="1:49" s="1" customFormat="1">
      <c r="A13" s="1" t="s">
        <v>983</v>
      </c>
      <c r="B13" s="1">
        <v>3</v>
      </c>
      <c r="C13" s="11">
        <v>2</v>
      </c>
      <c r="D13" s="1" t="s">
        <v>45</v>
      </c>
      <c r="E13" s="1" t="s">
        <v>46</v>
      </c>
      <c r="F13" s="1" t="s">
        <v>47</v>
      </c>
      <c r="G13" s="1">
        <v>2018</v>
      </c>
      <c r="H13" s="1" t="s">
        <v>435</v>
      </c>
      <c r="I13" s="1" t="s">
        <v>436</v>
      </c>
      <c r="J13" s="1">
        <v>31.354237999999999</v>
      </c>
      <c r="K13" s="1">
        <v>-81.246572</v>
      </c>
      <c r="L13" s="1" t="s">
        <v>366</v>
      </c>
      <c r="M13" s="1" t="s">
        <v>373</v>
      </c>
      <c r="N13" s="1" t="s">
        <v>574</v>
      </c>
      <c r="O13" s="1" t="s">
        <v>575</v>
      </c>
      <c r="P13" s="1" t="s">
        <v>791</v>
      </c>
      <c r="Q13" s="1" t="s">
        <v>424</v>
      </c>
      <c r="R13" s="1" t="s">
        <v>972</v>
      </c>
      <c r="S13" s="1" t="s">
        <v>315</v>
      </c>
      <c r="T13" s="1" t="s">
        <v>336</v>
      </c>
      <c r="U13" s="1" t="s">
        <v>315</v>
      </c>
      <c r="V13" s="1" t="s">
        <v>986</v>
      </c>
      <c r="W13" s="1" t="s">
        <v>295</v>
      </c>
      <c r="X13" s="1" t="s">
        <v>579</v>
      </c>
      <c r="Y13" s="1" t="s">
        <v>614</v>
      </c>
      <c r="Z13" s="1" t="s">
        <v>581</v>
      </c>
      <c r="AA13" s="1" t="s">
        <v>973</v>
      </c>
      <c r="AB13" s="1" t="s">
        <v>974</v>
      </c>
      <c r="AC13" s="1" t="s">
        <v>295</v>
      </c>
      <c r="AD13" s="1" t="s">
        <v>975</v>
      </c>
      <c r="AE13" s="1" t="s">
        <v>661</v>
      </c>
      <c r="AF13" s="1" t="s">
        <v>601</v>
      </c>
      <c r="AG13" s="1" t="s">
        <v>977</v>
      </c>
      <c r="AH13" s="1" t="s">
        <v>976</v>
      </c>
      <c r="AI13" s="1" t="s">
        <v>731</v>
      </c>
      <c r="AJ13" s="1" t="s">
        <v>362</v>
      </c>
      <c r="AK13" s="1" t="s">
        <v>745</v>
      </c>
      <c r="AL13" s="1" t="s">
        <v>985</v>
      </c>
      <c r="AM13" s="1" t="s">
        <v>315</v>
      </c>
      <c r="AN13" s="1">
        <v>21.0126582278481</v>
      </c>
      <c r="AO13" s="1">
        <v>24.388185654008399</v>
      </c>
      <c r="AP13" s="1" t="s">
        <v>315</v>
      </c>
      <c r="AQ13" s="1">
        <v>12</v>
      </c>
      <c r="AR13" s="1">
        <v>9.9578059071730003</v>
      </c>
      <c r="AS13" s="1">
        <v>12.067510548523201</v>
      </c>
      <c r="AT13" s="1" t="s">
        <v>315</v>
      </c>
      <c r="AU13" s="1">
        <v>12</v>
      </c>
      <c r="AV13"/>
      <c r="AW13" s="1" t="s">
        <v>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8BB8-D56F-804E-8A1C-E33492E2E26C}">
  <dimension ref="A1:AW30"/>
  <sheetViews>
    <sheetView topLeftCell="A9" zoomScale="132" workbookViewId="0">
      <selection activeCell="A9" sqref="A1:A1048576"/>
    </sheetView>
  </sheetViews>
  <sheetFormatPr baseColWidth="10" defaultRowHeight="16"/>
  <sheetData>
    <row r="1" spans="1:47" s="1" customFormat="1">
      <c r="A1" s="1" t="s">
        <v>0</v>
      </c>
      <c r="B1" s="1" t="s">
        <v>1</v>
      </c>
      <c r="C1" s="1" t="s">
        <v>11</v>
      </c>
      <c r="D1" s="1" t="s">
        <v>2</v>
      </c>
      <c r="E1" s="1" t="s">
        <v>4</v>
      </c>
      <c r="F1" s="1" t="s">
        <v>3</v>
      </c>
      <c r="G1" s="1" t="s">
        <v>282</v>
      </c>
      <c r="H1" s="1" t="s">
        <v>283</v>
      </c>
      <c r="I1" s="1" t="s">
        <v>286</v>
      </c>
      <c r="J1" s="1" t="s">
        <v>287</v>
      </c>
      <c r="K1" s="1" t="s">
        <v>6</v>
      </c>
      <c r="L1" s="1" t="s">
        <v>271</v>
      </c>
      <c r="M1" s="1" t="s">
        <v>355</v>
      </c>
      <c r="N1" s="1" t="s">
        <v>288</v>
      </c>
      <c r="O1" s="1" t="s">
        <v>289</v>
      </c>
      <c r="P1" s="1" t="s">
        <v>5</v>
      </c>
      <c r="Q1" s="1" t="s">
        <v>331</v>
      </c>
      <c r="R1" s="1" t="s">
        <v>576</v>
      </c>
      <c r="S1" s="1" t="s">
        <v>334</v>
      </c>
      <c r="T1" s="1" t="s">
        <v>356</v>
      </c>
      <c r="U1" s="1" t="s">
        <v>571</v>
      </c>
      <c r="V1" s="1" t="s">
        <v>312</v>
      </c>
      <c r="W1" s="1" t="s">
        <v>572</v>
      </c>
      <c r="X1" s="1" t="s">
        <v>277</v>
      </c>
      <c r="Y1" s="1" t="s">
        <v>278</v>
      </c>
      <c r="Z1" s="1" t="s">
        <v>279</v>
      </c>
      <c r="AA1" s="1" t="s">
        <v>280</v>
      </c>
      <c r="AB1" s="1" t="s">
        <v>316</v>
      </c>
      <c r="AC1" s="1" t="s">
        <v>620</v>
      </c>
      <c r="AD1" s="1" t="s">
        <v>7</v>
      </c>
      <c r="AE1" s="1" t="s">
        <v>8</v>
      </c>
      <c r="AF1" s="1" t="s">
        <v>9</v>
      </c>
      <c r="AG1" s="1" t="s">
        <v>281</v>
      </c>
      <c r="AH1" s="1" t="s">
        <v>290</v>
      </c>
      <c r="AI1" s="1" t="s">
        <v>361</v>
      </c>
      <c r="AJ1" s="1" t="s">
        <v>357</v>
      </c>
      <c r="AK1" s="1" t="s">
        <v>317</v>
      </c>
      <c r="AL1" s="1" t="s">
        <v>358</v>
      </c>
      <c r="AM1" s="1" t="s">
        <v>319</v>
      </c>
      <c r="AN1" s="1" t="s">
        <v>322</v>
      </c>
      <c r="AO1" s="1" t="s">
        <v>586</v>
      </c>
      <c r="AP1" s="1" t="s">
        <v>990</v>
      </c>
      <c r="AQ1" s="1" t="s">
        <v>320</v>
      </c>
      <c r="AR1" s="1" t="s">
        <v>323</v>
      </c>
      <c r="AS1" s="1" t="s">
        <v>588</v>
      </c>
      <c r="AT1" s="1" t="s">
        <v>359</v>
      </c>
      <c r="AU1" s="1" t="s">
        <v>10</v>
      </c>
    </row>
    <row r="2" spans="1:47" s="1" customFormat="1">
      <c r="A2" s="1" t="s">
        <v>326</v>
      </c>
      <c r="B2" s="1">
        <v>1</v>
      </c>
      <c r="C2" s="1" t="s">
        <v>12</v>
      </c>
      <c r="D2" s="1" t="s">
        <v>13</v>
      </c>
      <c r="E2" s="1" t="s">
        <v>14</v>
      </c>
      <c r="F2" s="1">
        <v>2020</v>
      </c>
      <c r="G2" s="1" t="s">
        <v>284</v>
      </c>
      <c r="H2" s="1" t="s">
        <v>285</v>
      </c>
      <c r="I2" s="2">
        <v>-33.5</v>
      </c>
      <c r="J2" s="2">
        <v>71.5</v>
      </c>
      <c r="K2" s="1" t="s">
        <v>270</v>
      </c>
      <c r="L2" s="1" t="s">
        <v>272</v>
      </c>
      <c r="M2" s="1" t="s">
        <v>1054</v>
      </c>
      <c r="N2" s="1" t="s">
        <v>291</v>
      </c>
      <c r="O2" s="1" t="s">
        <v>292</v>
      </c>
      <c r="P2" s="1" t="s">
        <v>276</v>
      </c>
    </row>
    <row r="3" spans="1:47" s="1" customFormat="1">
      <c r="A3" s="1" t="s">
        <v>325</v>
      </c>
      <c r="B3" s="1">
        <v>2</v>
      </c>
      <c r="C3" s="1" t="s">
        <v>172</v>
      </c>
      <c r="D3" s="1" t="s">
        <v>173</v>
      </c>
      <c r="E3" s="1" t="s">
        <v>174</v>
      </c>
      <c r="F3" s="1">
        <v>1998</v>
      </c>
      <c r="G3" s="1" t="s">
        <v>1142</v>
      </c>
      <c r="H3" s="1" t="s">
        <v>1143</v>
      </c>
      <c r="I3" s="1">
        <v>-36.306666999999997</v>
      </c>
      <c r="J3" s="1">
        <v>174.815</v>
      </c>
      <c r="K3" s="1" t="s">
        <v>371</v>
      </c>
      <c r="L3" s="1" t="s">
        <v>1144</v>
      </c>
      <c r="M3" s="1" t="s">
        <v>645</v>
      </c>
      <c r="N3" s="1" t="s">
        <v>291</v>
      </c>
      <c r="O3" s="1" t="s">
        <v>292</v>
      </c>
      <c r="P3" s="1" t="s">
        <v>276</v>
      </c>
    </row>
    <row r="4" spans="1:47" s="1" customFormat="1">
      <c r="A4" s="1" t="s">
        <v>354</v>
      </c>
      <c r="B4" s="1">
        <v>3</v>
      </c>
      <c r="C4" s="1" t="s">
        <v>257</v>
      </c>
      <c r="D4" s="1" t="s">
        <v>258</v>
      </c>
      <c r="E4" s="1" t="s">
        <v>174</v>
      </c>
      <c r="F4" s="1">
        <v>1985</v>
      </c>
      <c r="G4" s="1" t="s">
        <v>1145</v>
      </c>
      <c r="H4" s="1" t="s">
        <v>1146</v>
      </c>
      <c r="I4" s="1">
        <v>17.758092999999999</v>
      </c>
      <c r="J4" s="1">
        <v>-64.605564000000001</v>
      </c>
      <c r="K4" s="1" t="s">
        <v>366</v>
      </c>
      <c r="L4" s="1" t="s">
        <v>1147</v>
      </c>
      <c r="M4" s="1" t="s">
        <v>574</v>
      </c>
      <c r="N4" s="1" t="s">
        <v>575</v>
      </c>
      <c r="O4" s="1" t="s">
        <v>791</v>
      </c>
      <c r="P4" s="1" t="s">
        <v>294</v>
      </c>
    </row>
    <row r="5" spans="1:47" s="1" customFormat="1">
      <c r="A5" s="1" t="s">
        <v>354</v>
      </c>
      <c r="B5" s="1">
        <v>4</v>
      </c>
      <c r="C5" s="1" t="s">
        <v>33</v>
      </c>
      <c r="D5" s="1" t="s">
        <v>34</v>
      </c>
      <c r="E5" s="1" t="s">
        <v>35</v>
      </c>
      <c r="F5" s="1">
        <v>2018</v>
      </c>
      <c r="G5" s="1" t="s">
        <v>1149</v>
      </c>
      <c r="H5" s="1" t="s">
        <v>1150</v>
      </c>
      <c r="I5" s="1">
        <v>33.587860999999997</v>
      </c>
      <c r="J5" s="1">
        <v>-117.86708299999999</v>
      </c>
      <c r="K5" s="1" t="s">
        <v>366</v>
      </c>
      <c r="L5" s="1" t="s">
        <v>1148</v>
      </c>
      <c r="M5" s="1" t="s">
        <v>574</v>
      </c>
      <c r="N5" s="1" t="s">
        <v>291</v>
      </c>
      <c r="O5" s="1" t="s">
        <v>791</v>
      </c>
      <c r="P5" s="1" t="s">
        <v>424</v>
      </c>
    </row>
    <row r="6" spans="1:47" s="1" customFormat="1">
      <c r="A6" s="1" t="s">
        <v>354</v>
      </c>
      <c r="B6" s="1">
        <v>5</v>
      </c>
      <c r="C6" s="1" t="s">
        <v>39</v>
      </c>
      <c r="D6" s="1" t="s">
        <v>40</v>
      </c>
      <c r="E6" s="1" t="s">
        <v>41</v>
      </c>
      <c r="F6" s="1">
        <v>2018</v>
      </c>
      <c r="G6" s="1" t="s">
        <v>1151</v>
      </c>
      <c r="H6" s="1" t="s">
        <v>1152</v>
      </c>
      <c r="I6" s="1">
        <v>-5.8333329999999997</v>
      </c>
      <c r="J6" s="1">
        <v>72</v>
      </c>
      <c r="K6" s="1" t="s">
        <v>1153</v>
      </c>
      <c r="L6" s="1" t="s">
        <v>380</v>
      </c>
      <c r="M6" s="1" t="s">
        <v>652</v>
      </c>
      <c r="N6" s="1" t="s">
        <v>607</v>
      </c>
      <c r="O6" s="1" t="s">
        <v>608</v>
      </c>
      <c r="P6" s="1" t="s">
        <v>294</v>
      </c>
    </row>
    <row r="7" spans="1:47" s="1" customFormat="1">
      <c r="A7" s="1" t="s">
        <v>354</v>
      </c>
      <c r="B7" s="1">
        <v>6</v>
      </c>
      <c r="C7" s="1" t="s">
        <v>48</v>
      </c>
      <c r="D7" s="1" t="s">
        <v>49</v>
      </c>
      <c r="E7" s="1" t="s">
        <v>50</v>
      </c>
      <c r="F7" s="1">
        <v>2017</v>
      </c>
      <c r="G7" s="1" t="s">
        <v>1154</v>
      </c>
      <c r="H7" s="1" t="s">
        <v>1155</v>
      </c>
      <c r="I7" s="1">
        <v>29.469228999999999</v>
      </c>
      <c r="J7" s="1">
        <v>34.931817000000002</v>
      </c>
      <c r="K7" s="1" t="s">
        <v>412</v>
      </c>
      <c r="L7" s="1" t="s">
        <v>411</v>
      </c>
      <c r="M7" s="1" t="s">
        <v>644</v>
      </c>
      <c r="N7" s="1" t="s">
        <v>607</v>
      </c>
      <c r="O7" s="1" t="s">
        <v>791</v>
      </c>
      <c r="P7" s="1" t="s">
        <v>424</v>
      </c>
    </row>
    <row r="8" spans="1:47" s="1" customFormat="1">
      <c r="A8" s="1" t="s">
        <v>386</v>
      </c>
      <c r="B8" s="1">
        <v>7</v>
      </c>
      <c r="C8" s="1" t="s">
        <v>81</v>
      </c>
      <c r="D8" s="1" t="s">
        <v>82</v>
      </c>
      <c r="E8" s="1" t="s">
        <v>83</v>
      </c>
      <c r="F8" s="1">
        <v>2014</v>
      </c>
      <c r="G8" s="1" t="s">
        <v>1156</v>
      </c>
      <c r="H8" s="1" t="s">
        <v>1157</v>
      </c>
      <c r="I8" s="1">
        <v>24.095333</v>
      </c>
      <c r="J8" s="1">
        <v>-75.808361000000005</v>
      </c>
      <c r="K8" s="1" t="s">
        <v>363</v>
      </c>
      <c r="L8" s="1" t="s">
        <v>1158</v>
      </c>
      <c r="M8" s="1" t="s">
        <v>574</v>
      </c>
      <c r="N8" s="1" t="s">
        <v>575</v>
      </c>
      <c r="O8" s="1" t="s">
        <v>791</v>
      </c>
      <c r="P8" s="1" t="s">
        <v>424</v>
      </c>
    </row>
    <row r="9" spans="1:47" s="1" customFormat="1">
      <c r="A9" s="1" t="s">
        <v>389</v>
      </c>
      <c r="B9" s="1">
        <v>8</v>
      </c>
      <c r="C9" s="1" t="s">
        <v>87</v>
      </c>
      <c r="D9" s="1" t="s">
        <v>88</v>
      </c>
      <c r="E9" s="1" t="s">
        <v>86</v>
      </c>
      <c r="F9" s="1">
        <v>2014</v>
      </c>
      <c r="G9" s="1" t="s">
        <v>1159</v>
      </c>
      <c r="H9" s="1" t="s">
        <v>1160</v>
      </c>
      <c r="I9" s="1">
        <v>42.224753999999997</v>
      </c>
      <c r="J9" s="1">
        <v>-8.8175150000000002</v>
      </c>
      <c r="K9" s="1" t="s">
        <v>1163</v>
      </c>
      <c r="P9" s="1" t="s">
        <v>338</v>
      </c>
    </row>
    <row r="10" spans="1:47" s="1" customFormat="1">
      <c r="A10" s="1" t="s">
        <v>393</v>
      </c>
      <c r="B10" s="1">
        <v>9</v>
      </c>
      <c r="C10" s="1" t="s">
        <v>102</v>
      </c>
      <c r="D10" s="1" t="s">
        <v>103</v>
      </c>
      <c r="E10" s="1" t="s">
        <v>104</v>
      </c>
      <c r="F10" s="1">
        <v>2011</v>
      </c>
      <c r="G10" s="1" t="s">
        <v>1161</v>
      </c>
      <c r="H10" s="1" t="s">
        <v>1162</v>
      </c>
      <c r="I10" s="1">
        <v>-45.691389000000001</v>
      </c>
      <c r="J10" s="1">
        <v>170.61666700000001</v>
      </c>
      <c r="K10" s="1" t="s">
        <v>371</v>
      </c>
      <c r="P10" s="1" t="s">
        <v>276</v>
      </c>
    </row>
    <row r="11" spans="1:47" s="1" customFormat="1">
      <c r="A11" s="1" t="s">
        <v>396</v>
      </c>
      <c r="B11" s="1">
        <v>10</v>
      </c>
      <c r="C11" s="1" t="s">
        <v>107</v>
      </c>
      <c r="D11" s="1" t="s">
        <v>108</v>
      </c>
      <c r="E11" s="1" t="s">
        <v>109</v>
      </c>
      <c r="F11" s="1">
        <v>2011</v>
      </c>
      <c r="G11" s="1" t="s">
        <v>1164</v>
      </c>
      <c r="H11" s="1" t="s">
        <v>1165</v>
      </c>
      <c r="I11" s="1">
        <v>-53.244253</v>
      </c>
      <c r="J11" s="1">
        <v>-37.673316</v>
      </c>
      <c r="K11" s="1" t="s">
        <v>1166</v>
      </c>
      <c r="P11" s="1" t="s">
        <v>276</v>
      </c>
    </row>
    <row r="12" spans="1:47" s="1" customFormat="1">
      <c r="A12" s="1" t="s">
        <v>406</v>
      </c>
      <c r="B12" s="1">
        <v>11</v>
      </c>
      <c r="C12" s="1" t="s">
        <v>134</v>
      </c>
      <c r="D12" s="1" t="s">
        <v>135</v>
      </c>
      <c r="E12" s="1" t="s">
        <v>136</v>
      </c>
      <c r="F12" s="1">
        <v>2007</v>
      </c>
      <c r="G12" s="1" t="s">
        <v>1167</v>
      </c>
      <c r="H12" s="1" t="s">
        <v>1168</v>
      </c>
      <c r="I12" s="1">
        <v>38.315517999999997</v>
      </c>
      <c r="J12" s="1">
        <v>-123.074901</v>
      </c>
      <c r="K12" s="1" t="s">
        <v>366</v>
      </c>
      <c r="P12" s="1" t="s">
        <v>338</v>
      </c>
    </row>
    <row r="13" spans="1:47" s="1" customFormat="1">
      <c r="A13" s="1" t="s">
        <v>407</v>
      </c>
      <c r="B13" s="1">
        <v>12</v>
      </c>
      <c r="C13" s="1" t="s">
        <v>137</v>
      </c>
      <c r="D13" s="1" t="s">
        <v>138</v>
      </c>
      <c r="E13" s="1" t="s">
        <v>139</v>
      </c>
      <c r="F13" s="1">
        <v>2006</v>
      </c>
      <c r="G13" s="1" t="s">
        <v>1169</v>
      </c>
      <c r="H13" s="1" t="s">
        <v>1170</v>
      </c>
      <c r="I13" s="1">
        <v>-45.783529999999999</v>
      </c>
      <c r="J13" s="1">
        <v>170.71993499999999</v>
      </c>
      <c r="K13" s="1" t="s">
        <v>371</v>
      </c>
      <c r="P13" s="1" t="s">
        <v>276</v>
      </c>
    </row>
    <row r="14" spans="1:47" s="1" customFormat="1">
      <c r="A14" s="11" t="s">
        <v>413</v>
      </c>
      <c r="B14" s="1">
        <v>13</v>
      </c>
      <c r="C14" s="1" t="s">
        <v>153</v>
      </c>
      <c r="D14" s="1" t="s">
        <v>154</v>
      </c>
      <c r="E14" s="1" t="s">
        <v>136</v>
      </c>
      <c r="F14" s="1">
        <v>2004</v>
      </c>
      <c r="G14" s="1" t="s">
        <v>1171</v>
      </c>
      <c r="H14" s="1" t="s">
        <v>1172</v>
      </c>
      <c r="I14" s="1">
        <v>44.255260999999997</v>
      </c>
      <c r="J14" s="1">
        <v>-124.1126</v>
      </c>
      <c r="K14" s="1" t="s">
        <v>366</v>
      </c>
      <c r="P14" s="1" t="s">
        <v>338</v>
      </c>
    </row>
    <row r="15" spans="1:47" s="1" customFormat="1">
      <c r="A15" s="1" t="s">
        <v>494</v>
      </c>
      <c r="B15" s="1">
        <v>14</v>
      </c>
      <c r="C15" s="1" t="s">
        <v>162</v>
      </c>
      <c r="D15" s="1" t="s">
        <v>163</v>
      </c>
      <c r="E15" s="1" t="s">
        <v>53</v>
      </c>
      <c r="F15" s="1">
        <v>2000</v>
      </c>
      <c r="G15" s="1" t="s">
        <v>1174</v>
      </c>
      <c r="H15" s="1" t="s">
        <v>1175</v>
      </c>
      <c r="I15" s="1">
        <v>34.259346999999998</v>
      </c>
      <c r="J15" s="1">
        <v>133.40153699999999</v>
      </c>
      <c r="K15" s="1" t="s">
        <v>1173</v>
      </c>
      <c r="P15" s="1" t="s">
        <v>424</v>
      </c>
    </row>
    <row r="16" spans="1:47" s="1" customFormat="1">
      <c r="A16" s="1" t="s">
        <v>326</v>
      </c>
      <c r="B16" s="1">
        <v>15</v>
      </c>
      <c r="C16" s="1" t="s">
        <v>164</v>
      </c>
      <c r="D16" s="1" t="s">
        <v>165</v>
      </c>
      <c r="E16" s="1" t="s">
        <v>53</v>
      </c>
      <c r="F16" s="1">
        <v>2000</v>
      </c>
      <c r="G16" s="1" t="s">
        <v>1176</v>
      </c>
      <c r="H16" s="1" t="s">
        <v>1177</v>
      </c>
      <c r="I16" s="1">
        <v>-34.112057</v>
      </c>
      <c r="J16" s="1">
        <v>18.475390999999998</v>
      </c>
      <c r="K16" s="1" t="s">
        <v>514</v>
      </c>
      <c r="P16" s="1" t="s">
        <v>425</v>
      </c>
    </row>
    <row r="17" spans="1:49" s="1" customFormat="1">
      <c r="A17" s="1" t="s">
        <v>497</v>
      </c>
      <c r="B17" s="1">
        <v>16</v>
      </c>
      <c r="C17" s="1" t="s">
        <v>169</v>
      </c>
      <c r="D17" s="1" t="s">
        <v>170</v>
      </c>
      <c r="E17" s="1" t="s">
        <v>171</v>
      </c>
      <c r="F17" s="1">
        <v>1999</v>
      </c>
      <c r="G17" s="1" t="s">
        <v>1178</v>
      </c>
      <c r="H17" s="1" t="s">
        <v>1179</v>
      </c>
      <c r="I17" s="1">
        <v>30.5</v>
      </c>
      <c r="J17" s="1">
        <v>-88</v>
      </c>
      <c r="K17" s="1" t="s">
        <v>366</v>
      </c>
      <c r="P17" s="1" t="s">
        <v>424</v>
      </c>
    </row>
    <row r="18" spans="1:49" s="1" customFormat="1">
      <c r="A18" s="1" t="s">
        <v>500</v>
      </c>
      <c r="B18" s="1">
        <v>17</v>
      </c>
      <c r="C18" s="1" t="s">
        <v>177</v>
      </c>
      <c r="D18" s="1" t="s">
        <v>178</v>
      </c>
      <c r="E18" s="1" t="s">
        <v>86</v>
      </c>
      <c r="F18" s="1">
        <v>1998</v>
      </c>
      <c r="G18" s="1" t="s">
        <v>1180</v>
      </c>
      <c r="H18" s="1" t="s">
        <v>1181</v>
      </c>
      <c r="I18" s="1">
        <v>29.096662999999999</v>
      </c>
      <c r="J18" s="1">
        <v>34.77319</v>
      </c>
      <c r="K18" s="1" t="s">
        <v>412</v>
      </c>
      <c r="P18" s="1" t="s">
        <v>424</v>
      </c>
    </row>
    <row r="19" spans="1:49" s="1" customFormat="1">
      <c r="A19" s="1" t="s">
        <v>511</v>
      </c>
      <c r="B19" s="1">
        <v>18</v>
      </c>
      <c r="C19" s="1" t="s">
        <v>191</v>
      </c>
      <c r="D19" s="1" t="s">
        <v>192</v>
      </c>
      <c r="E19" s="1" t="s">
        <v>181</v>
      </c>
      <c r="F19" s="1">
        <v>1994</v>
      </c>
      <c r="G19" s="1" t="s">
        <v>1182</v>
      </c>
      <c r="H19" s="1" t="s">
        <v>1183</v>
      </c>
      <c r="I19" s="1">
        <v>48.853999999999999</v>
      </c>
      <c r="J19" s="1">
        <v>-125.11666700000001</v>
      </c>
      <c r="K19" s="1" t="s">
        <v>367</v>
      </c>
      <c r="P19" s="1" t="s">
        <v>338</v>
      </c>
    </row>
    <row r="20" spans="1:49" s="1" customFormat="1">
      <c r="A20" s="1" t="s">
        <v>527</v>
      </c>
      <c r="B20" s="1">
        <v>19</v>
      </c>
      <c r="C20" s="1" t="s">
        <v>220</v>
      </c>
      <c r="D20" s="1" t="s">
        <v>221</v>
      </c>
      <c r="E20" s="1" t="s">
        <v>53</v>
      </c>
      <c r="F20" s="1">
        <v>2010</v>
      </c>
      <c r="G20" s="1" t="s">
        <v>1184</v>
      </c>
      <c r="H20" s="1" t="s">
        <v>1185</v>
      </c>
      <c r="I20" s="1">
        <v>54.35</v>
      </c>
      <c r="J20" s="1">
        <v>10.15</v>
      </c>
      <c r="K20" s="1" t="s">
        <v>1186</v>
      </c>
      <c r="P20" s="1" t="s">
        <v>338</v>
      </c>
    </row>
    <row r="21" spans="1:49" s="1" customFormat="1">
      <c r="A21" s="1" t="s">
        <v>542</v>
      </c>
      <c r="B21" s="1">
        <v>20</v>
      </c>
      <c r="C21" s="1" t="s">
        <v>238</v>
      </c>
      <c r="D21" s="1" t="s">
        <v>239</v>
      </c>
      <c r="E21" s="1" t="s">
        <v>240</v>
      </c>
      <c r="F21" s="1">
        <v>1998</v>
      </c>
      <c r="G21" s="1" t="s">
        <v>1187</v>
      </c>
      <c r="H21" s="1" t="s">
        <v>1188</v>
      </c>
      <c r="I21" s="1">
        <v>-63.134332999999998</v>
      </c>
      <c r="J21" s="1">
        <v>-51.091971999999998</v>
      </c>
      <c r="K21" s="1" t="s">
        <v>1166</v>
      </c>
      <c r="P21" s="1" t="s">
        <v>276</v>
      </c>
    </row>
    <row r="22" spans="1:49" s="1" customFormat="1">
      <c r="A22" s="1" t="s">
        <v>548</v>
      </c>
      <c r="B22" s="1">
        <v>21</v>
      </c>
      <c r="C22" s="1" t="s">
        <v>246</v>
      </c>
      <c r="D22" s="1" t="s">
        <v>247</v>
      </c>
      <c r="E22" s="1" t="s">
        <v>248</v>
      </c>
      <c r="F22" s="1">
        <v>1993</v>
      </c>
      <c r="G22" s="1" t="s">
        <v>1189</v>
      </c>
      <c r="H22" s="1" t="s">
        <v>1190</v>
      </c>
      <c r="I22" s="1">
        <v>58.866667</v>
      </c>
      <c r="J22" s="1">
        <v>11.15</v>
      </c>
      <c r="K22" s="1" t="s">
        <v>1191</v>
      </c>
      <c r="P22" s="1" t="s">
        <v>338</v>
      </c>
    </row>
    <row r="23" spans="1:49" s="1" customFormat="1">
      <c r="A23" s="1" t="s">
        <v>549</v>
      </c>
      <c r="B23" s="1">
        <v>22</v>
      </c>
      <c r="C23" s="1" t="s">
        <v>249</v>
      </c>
      <c r="D23" s="11" t="s">
        <v>250</v>
      </c>
      <c r="E23" s="1" t="s">
        <v>251</v>
      </c>
      <c r="F23" s="1">
        <v>1988</v>
      </c>
      <c r="G23" s="1" t="s">
        <v>1192</v>
      </c>
      <c r="H23" s="1" t="s">
        <v>1193</v>
      </c>
      <c r="I23" s="1">
        <v>33.466667000000001</v>
      </c>
      <c r="J23" s="1">
        <v>-118.483333</v>
      </c>
      <c r="K23" s="1" t="s">
        <v>366</v>
      </c>
      <c r="P23" s="1" t="s">
        <v>424</v>
      </c>
    </row>
    <row r="24" spans="1:49" s="1" customFormat="1">
      <c r="A24" s="1" t="s">
        <v>548</v>
      </c>
      <c r="B24" s="1">
        <v>23</v>
      </c>
      <c r="C24" s="1" t="s">
        <v>262</v>
      </c>
      <c r="D24" s="1" t="s">
        <v>263</v>
      </c>
      <c r="E24" s="1" t="s">
        <v>80</v>
      </c>
      <c r="F24" s="1">
        <v>1982</v>
      </c>
      <c r="G24" s="1" t="s">
        <v>1194</v>
      </c>
      <c r="H24" s="1" t="s">
        <v>1195</v>
      </c>
      <c r="I24" s="1">
        <v>41.588000000000001</v>
      </c>
      <c r="J24" s="1">
        <v>-70.646495000000002</v>
      </c>
      <c r="K24" s="1" t="s">
        <v>366</v>
      </c>
      <c r="P24" s="1" t="s">
        <v>338</v>
      </c>
    </row>
    <row r="25" spans="1:49" s="1" customFormat="1">
      <c r="A25" s="1" t="s">
        <v>689</v>
      </c>
      <c r="B25" s="1">
        <v>24</v>
      </c>
      <c r="C25" s="1" t="s">
        <v>76</v>
      </c>
      <c r="D25" s="1" t="s">
        <v>77</v>
      </c>
      <c r="E25" s="1" t="s">
        <v>38</v>
      </c>
      <c r="F25" s="1">
        <v>2014</v>
      </c>
      <c r="G25" s="1" t="s">
        <v>454</v>
      </c>
      <c r="H25" s="1" t="s">
        <v>455</v>
      </c>
      <c r="I25" s="1">
        <v>48.297351999999997</v>
      </c>
      <c r="J25" s="1">
        <v>-124.240292</v>
      </c>
      <c r="K25" s="1" t="s">
        <v>366</v>
      </c>
      <c r="L25" s="1" t="s">
        <v>384</v>
      </c>
      <c r="P25" s="1" t="s">
        <v>338</v>
      </c>
      <c r="AV25"/>
      <c r="AW25" s="1" t="s">
        <v>689</v>
      </c>
    </row>
    <row r="26" spans="1:49" s="1" customFormat="1">
      <c r="A26" s="1" t="s">
        <v>688</v>
      </c>
      <c r="B26" s="1">
        <v>25</v>
      </c>
      <c r="C26" s="1" t="s">
        <v>78</v>
      </c>
      <c r="D26" s="1" t="s">
        <v>79</v>
      </c>
      <c r="E26" s="1" t="s">
        <v>80</v>
      </c>
      <c r="F26" s="1">
        <v>2014</v>
      </c>
      <c r="G26" s="11" t="s">
        <v>456</v>
      </c>
      <c r="H26" s="11" t="s">
        <v>457</v>
      </c>
      <c r="I26" s="1">
        <v>32.473244000000001</v>
      </c>
      <c r="J26" s="1">
        <v>-64.871342999999996</v>
      </c>
      <c r="L26" s="1" t="s">
        <v>385</v>
      </c>
      <c r="P26" s="1" t="s">
        <v>424</v>
      </c>
      <c r="AV26"/>
      <c r="AW26" s="1" t="s">
        <v>688</v>
      </c>
    </row>
    <row r="27" spans="1:49" s="1" customFormat="1">
      <c r="A27" s="1" t="s">
        <v>699</v>
      </c>
      <c r="B27" s="1">
        <v>26</v>
      </c>
      <c r="C27" s="1" t="s">
        <v>68</v>
      </c>
      <c r="D27" s="1" t="s">
        <v>69</v>
      </c>
      <c r="E27" s="1" t="s">
        <v>70</v>
      </c>
      <c r="F27" s="1">
        <v>2015</v>
      </c>
      <c r="G27" s="1" t="s">
        <v>441</v>
      </c>
      <c r="H27" s="1" t="s">
        <v>442</v>
      </c>
      <c r="I27" s="1">
        <v>30.279878</v>
      </c>
      <c r="J27" s="1">
        <v>-115.913456</v>
      </c>
      <c r="K27" s="1" t="s">
        <v>364</v>
      </c>
      <c r="L27" s="1" t="s">
        <v>449</v>
      </c>
      <c r="P27" s="1" t="s">
        <v>424</v>
      </c>
      <c r="AV27"/>
      <c r="AW27" s="1" t="s">
        <v>699</v>
      </c>
    </row>
    <row r="28" spans="1:49" s="1" customFormat="1">
      <c r="A28" s="1" t="s">
        <v>1057</v>
      </c>
      <c r="B28" s="1">
        <v>27</v>
      </c>
      <c r="C28" s="1" t="s">
        <v>193</v>
      </c>
      <c r="D28" s="1" t="s">
        <v>194</v>
      </c>
      <c r="E28" s="1" t="s">
        <v>75</v>
      </c>
      <c r="F28" s="1">
        <v>1993</v>
      </c>
      <c r="G28" s="1" t="s">
        <v>513</v>
      </c>
      <c r="H28" s="1" t="s">
        <v>512</v>
      </c>
      <c r="I28" s="1">
        <v>-33.75</v>
      </c>
      <c r="J28" s="1">
        <v>26.55</v>
      </c>
      <c r="K28" s="1" t="s">
        <v>514</v>
      </c>
      <c r="L28" s="1" t="s">
        <v>515</v>
      </c>
      <c r="M28" s="1" t="s">
        <v>889</v>
      </c>
      <c r="N28" s="1" t="s">
        <v>607</v>
      </c>
      <c r="O28" s="1" t="s">
        <v>315</v>
      </c>
      <c r="P28" s="1" t="s">
        <v>425</v>
      </c>
      <c r="W28" s="1" t="s">
        <v>295</v>
      </c>
      <c r="Z28" s="1" t="s">
        <v>581</v>
      </c>
      <c r="AA28" s="1" t="s">
        <v>1055</v>
      </c>
      <c r="AB28" s="1" t="s">
        <v>1056</v>
      </c>
      <c r="AC28" s="1" t="s">
        <v>295</v>
      </c>
    </row>
    <row r="29" spans="1:49" s="1" customFormat="1">
      <c r="A29" s="1" t="s">
        <v>1134</v>
      </c>
      <c r="B29" s="1">
        <v>28</v>
      </c>
      <c r="C29" s="1" t="s">
        <v>94</v>
      </c>
      <c r="D29" s="1" t="s">
        <v>95</v>
      </c>
      <c r="E29" s="1" t="s">
        <v>23</v>
      </c>
      <c r="F29" s="1">
        <v>2013</v>
      </c>
      <c r="G29" s="1" t="s">
        <v>1132</v>
      </c>
      <c r="H29" s="1" t="s">
        <v>1133</v>
      </c>
      <c r="I29" s="1">
        <v>25.0349</v>
      </c>
      <c r="J29" s="1">
        <v>-80.34845</v>
      </c>
      <c r="K29" s="1" t="s">
        <v>366</v>
      </c>
      <c r="L29" s="1" t="s">
        <v>365</v>
      </c>
      <c r="M29" s="1" t="s">
        <v>574</v>
      </c>
      <c r="N29" s="1" t="s">
        <v>291</v>
      </c>
      <c r="O29" s="1" t="s">
        <v>791</v>
      </c>
      <c r="P29" s="1" t="s">
        <v>424</v>
      </c>
      <c r="R29" s="1" t="s">
        <v>609</v>
      </c>
      <c r="S29" s="1" t="s">
        <v>315</v>
      </c>
      <c r="T29" s="1" t="s">
        <v>336</v>
      </c>
      <c r="U29" s="11" t="s">
        <v>578</v>
      </c>
      <c r="V29" s="11">
        <v>2010</v>
      </c>
      <c r="W29" s="11" t="s">
        <v>345</v>
      </c>
      <c r="X29" s="11"/>
    </row>
    <row r="30" spans="1:49" s="1" customFormat="1">
      <c r="A30" s="1" t="s">
        <v>1196</v>
      </c>
      <c r="B30" s="1">
        <v>29</v>
      </c>
      <c r="C30" s="1" t="s">
        <v>42</v>
      </c>
      <c r="D30" s="1" t="s">
        <v>43</v>
      </c>
      <c r="E30" s="1" t="s">
        <v>44</v>
      </c>
      <c r="F30" s="1">
        <v>2018</v>
      </c>
      <c r="G30" s="1" t="s">
        <v>433</v>
      </c>
      <c r="H30" s="1" t="s">
        <v>434</v>
      </c>
      <c r="I30" s="1">
        <v>47.048614000000001</v>
      </c>
      <c r="J30" s="1">
        <v>-2.1556639999999998</v>
      </c>
      <c r="K30" s="1" t="s">
        <v>328</v>
      </c>
      <c r="L30" s="1" t="s">
        <v>374</v>
      </c>
      <c r="M30" s="1" t="s">
        <v>652</v>
      </c>
      <c r="N30" s="1" t="s">
        <v>575</v>
      </c>
      <c r="O30" s="1" t="s">
        <v>791</v>
      </c>
      <c r="P30" s="1" t="s">
        <v>338</v>
      </c>
      <c r="Q30" s="1" t="s">
        <v>596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D794-525F-A546-BCFF-DDC9B2940F7E}">
  <dimension ref="A1:AW32"/>
  <sheetViews>
    <sheetView workbookViewId="0">
      <selection activeCell="D4" sqref="D4"/>
    </sheetView>
  </sheetViews>
  <sheetFormatPr baseColWidth="10" defaultRowHeight="16"/>
  <sheetData>
    <row r="1" spans="1:47" s="1" customFormat="1">
      <c r="A1" s="1" t="s">
        <v>0</v>
      </c>
      <c r="B1" s="1" t="s">
        <v>1</v>
      </c>
      <c r="C1" s="1" t="s">
        <v>11</v>
      </c>
      <c r="D1" s="1" t="s">
        <v>2</v>
      </c>
      <c r="E1" s="1" t="s">
        <v>4</v>
      </c>
      <c r="F1" s="1" t="s">
        <v>3</v>
      </c>
      <c r="G1" s="1" t="s">
        <v>282</v>
      </c>
      <c r="H1" s="1" t="s">
        <v>283</v>
      </c>
      <c r="I1" s="1" t="s">
        <v>286</v>
      </c>
      <c r="J1" s="1" t="s">
        <v>287</v>
      </c>
      <c r="K1" s="1" t="s">
        <v>6</v>
      </c>
      <c r="L1" s="1" t="s">
        <v>271</v>
      </c>
      <c r="M1" s="1" t="s">
        <v>355</v>
      </c>
      <c r="N1" s="1" t="s">
        <v>288</v>
      </c>
      <c r="O1" s="1" t="s">
        <v>289</v>
      </c>
      <c r="P1" s="1" t="s">
        <v>5</v>
      </c>
      <c r="Q1" s="1" t="s">
        <v>331</v>
      </c>
      <c r="R1" s="1" t="s">
        <v>576</v>
      </c>
      <c r="S1" s="1" t="s">
        <v>334</v>
      </c>
      <c r="T1" s="1" t="s">
        <v>356</v>
      </c>
      <c r="U1" s="1" t="s">
        <v>571</v>
      </c>
      <c r="V1" s="1" t="s">
        <v>312</v>
      </c>
      <c r="W1" s="1" t="s">
        <v>572</v>
      </c>
      <c r="X1" s="1" t="s">
        <v>277</v>
      </c>
      <c r="Y1" s="1" t="s">
        <v>278</v>
      </c>
      <c r="Z1" s="1" t="s">
        <v>279</v>
      </c>
      <c r="AA1" s="1" t="s">
        <v>280</v>
      </c>
      <c r="AB1" s="1" t="s">
        <v>316</v>
      </c>
      <c r="AC1" s="1" t="s">
        <v>620</v>
      </c>
      <c r="AD1" s="1" t="s">
        <v>7</v>
      </c>
      <c r="AE1" s="1" t="s">
        <v>8</v>
      </c>
      <c r="AF1" s="1" t="s">
        <v>9</v>
      </c>
      <c r="AG1" s="1" t="s">
        <v>281</v>
      </c>
      <c r="AH1" s="1" t="s">
        <v>290</v>
      </c>
      <c r="AI1" s="1" t="s">
        <v>361</v>
      </c>
      <c r="AJ1" s="1" t="s">
        <v>357</v>
      </c>
      <c r="AK1" s="1" t="s">
        <v>317</v>
      </c>
      <c r="AL1" s="1" t="s">
        <v>358</v>
      </c>
      <c r="AM1" s="1" t="s">
        <v>319</v>
      </c>
      <c r="AN1" s="1" t="s">
        <v>322</v>
      </c>
      <c r="AO1" s="1" t="s">
        <v>586</v>
      </c>
      <c r="AP1" s="1" t="s">
        <v>990</v>
      </c>
      <c r="AQ1" s="1" t="s">
        <v>320</v>
      </c>
      <c r="AR1" s="1" t="s">
        <v>323</v>
      </c>
      <c r="AS1" s="1" t="s">
        <v>588</v>
      </c>
      <c r="AT1" s="1" t="s">
        <v>359</v>
      </c>
      <c r="AU1" s="1" t="s">
        <v>10</v>
      </c>
    </row>
    <row r="2" spans="1:47" s="1" customFormat="1">
      <c r="A2" s="1" t="s">
        <v>327</v>
      </c>
      <c r="C2" s="1" t="s">
        <v>15</v>
      </c>
      <c r="D2" s="1" t="s">
        <v>16</v>
      </c>
      <c r="E2" s="1" t="s">
        <v>17</v>
      </c>
      <c r="F2" s="1">
        <v>2019</v>
      </c>
    </row>
    <row r="3" spans="1:47" s="1" customFormat="1">
      <c r="A3" s="1" t="s">
        <v>523</v>
      </c>
      <c r="C3" s="1" t="s">
        <v>211</v>
      </c>
      <c r="D3" s="1" t="s">
        <v>212</v>
      </c>
      <c r="E3" s="1" t="s">
        <v>213</v>
      </c>
      <c r="F3" s="1">
        <v>2013</v>
      </c>
    </row>
    <row r="4" spans="1:47" s="1" customFormat="1">
      <c r="A4" s="1" t="s">
        <v>390</v>
      </c>
      <c r="C4" s="1" t="s">
        <v>89</v>
      </c>
      <c r="D4" s="11" t="s">
        <v>90</v>
      </c>
      <c r="E4" s="1" t="s">
        <v>91</v>
      </c>
      <c r="F4" s="1">
        <v>2013</v>
      </c>
    </row>
    <row r="5" spans="1:47" s="1" customFormat="1">
      <c r="A5" s="1" t="s">
        <v>397</v>
      </c>
      <c r="C5" s="1" t="s">
        <v>110</v>
      </c>
      <c r="D5" s="1" t="s">
        <v>111</v>
      </c>
      <c r="E5" s="1" t="s">
        <v>112</v>
      </c>
      <c r="F5" s="1">
        <v>2011</v>
      </c>
    </row>
    <row r="6" spans="1:47" s="1" customFormat="1">
      <c r="A6" s="1" t="s">
        <v>398</v>
      </c>
      <c r="C6" s="1" t="s">
        <v>113</v>
      </c>
      <c r="D6" s="1" t="s">
        <v>114</v>
      </c>
      <c r="E6" s="1" t="s">
        <v>70</v>
      </c>
      <c r="F6" s="1">
        <v>2010</v>
      </c>
    </row>
    <row r="7" spans="1:47" s="1" customFormat="1">
      <c r="A7" s="1" t="s">
        <v>405</v>
      </c>
      <c r="C7" s="1" t="s">
        <v>131</v>
      </c>
      <c r="D7" s="1" t="s">
        <v>132</v>
      </c>
      <c r="E7" s="1" t="s">
        <v>133</v>
      </c>
      <c r="F7" s="1">
        <v>2007</v>
      </c>
    </row>
    <row r="8" spans="1:47" s="1" customFormat="1">
      <c r="A8" s="1" t="s">
        <v>405</v>
      </c>
      <c r="C8" s="1" t="s">
        <v>142</v>
      </c>
      <c r="D8" s="1" t="s">
        <v>143</v>
      </c>
      <c r="E8" s="1" t="s">
        <v>144</v>
      </c>
      <c r="F8" s="1">
        <v>2005</v>
      </c>
    </row>
    <row r="9" spans="1:47" s="1" customFormat="1">
      <c r="A9" s="1" t="s">
        <v>508</v>
      </c>
      <c r="C9" s="1" t="s">
        <v>184</v>
      </c>
      <c r="D9" s="1" t="s">
        <v>185</v>
      </c>
      <c r="E9" s="1" t="s">
        <v>181</v>
      </c>
      <c r="F9" s="1">
        <v>1996</v>
      </c>
    </row>
    <row r="10" spans="1:47" s="1" customFormat="1">
      <c r="A10" s="1" t="s">
        <v>509</v>
      </c>
      <c r="C10" s="1" t="s">
        <v>186</v>
      </c>
      <c r="D10" s="1" t="s">
        <v>187</v>
      </c>
      <c r="E10" s="1" t="s">
        <v>188</v>
      </c>
      <c r="F10" s="1">
        <v>1995</v>
      </c>
    </row>
    <row r="11" spans="1:47" s="1" customFormat="1">
      <c r="A11" s="1" t="s">
        <v>510</v>
      </c>
      <c r="C11" s="1" t="s">
        <v>189</v>
      </c>
      <c r="D11" s="1" t="s">
        <v>190</v>
      </c>
      <c r="E11" s="1" t="s">
        <v>75</v>
      </c>
      <c r="F11" s="1">
        <v>1995</v>
      </c>
    </row>
    <row r="12" spans="1:47" s="1" customFormat="1">
      <c r="A12" s="1" t="s">
        <v>1131</v>
      </c>
      <c r="C12" s="1" t="s">
        <v>195</v>
      </c>
      <c r="D12" s="1" t="s">
        <v>196</v>
      </c>
      <c r="E12" s="1" t="s">
        <v>197</v>
      </c>
      <c r="F12" s="1">
        <v>1993</v>
      </c>
    </row>
    <row r="13" spans="1:47" s="1" customFormat="1">
      <c r="A13" s="1" t="s">
        <v>516</v>
      </c>
      <c r="C13" s="1" t="s">
        <v>198</v>
      </c>
      <c r="D13" s="1" t="s">
        <v>199</v>
      </c>
      <c r="E13" s="1" t="s">
        <v>200</v>
      </c>
      <c r="F13" s="1">
        <v>1991</v>
      </c>
    </row>
    <row r="14" spans="1:47" s="1" customFormat="1">
      <c r="A14" s="1" t="s">
        <v>516</v>
      </c>
      <c r="C14" s="1" t="s">
        <v>206</v>
      </c>
      <c r="D14" s="1" t="s">
        <v>207</v>
      </c>
      <c r="E14" s="1" t="s">
        <v>208</v>
      </c>
      <c r="F14" s="1">
        <v>2016</v>
      </c>
    </row>
    <row r="15" spans="1:47" s="1" customFormat="1">
      <c r="A15" s="1" t="s">
        <v>526</v>
      </c>
      <c r="C15" s="1" t="s">
        <v>217</v>
      </c>
      <c r="D15" s="1" t="s">
        <v>218</v>
      </c>
      <c r="E15" s="1" t="s">
        <v>219</v>
      </c>
      <c r="F15" s="1">
        <v>2010</v>
      </c>
    </row>
    <row r="16" spans="1:47" s="1" customFormat="1">
      <c r="A16" s="1" t="s">
        <v>530</v>
      </c>
      <c r="C16" s="1" t="s">
        <v>224</v>
      </c>
      <c r="D16" s="1" t="s">
        <v>225</v>
      </c>
      <c r="E16" s="1" t="s">
        <v>226</v>
      </c>
      <c r="F16" s="1">
        <v>2005</v>
      </c>
    </row>
    <row r="17" spans="1:49" s="1" customFormat="1">
      <c r="A17" s="1" t="s">
        <v>540</v>
      </c>
      <c r="C17" s="1" t="s">
        <v>229</v>
      </c>
      <c r="D17" s="1" t="s">
        <v>230</v>
      </c>
      <c r="E17" s="1" t="s">
        <v>152</v>
      </c>
      <c r="F17" s="1">
        <v>2003</v>
      </c>
    </row>
    <row r="18" spans="1:49" s="1" customFormat="1">
      <c r="A18" s="1" t="s">
        <v>539</v>
      </c>
      <c r="C18" s="1" t="s">
        <v>155</v>
      </c>
      <c r="D18" s="1" t="s">
        <v>231</v>
      </c>
      <c r="E18" s="1" t="s">
        <v>53</v>
      </c>
      <c r="F18" s="1">
        <v>2001</v>
      </c>
    </row>
    <row r="19" spans="1:49" s="1" customFormat="1">
      <c r="A19" s="1" t="s">
        <v>541</v>
      </c>
      <c r="C19" s="1" t="s">
        <v>235</v>
      </c>
      <c r="D19" s="1" t="s">
        <v>236</v>
      </c>
      <c r="E19" s="1" t="s">
        <v>237</v>
      </c>
      <c r="F19" s="1">
        <v>1999</v>
      </c>
    </row>
    <row r="20" spans="1:49" s="1" customFormat="1">
      <c r="A20" s="1" t="s">
        <v>547</v>
      </c>
      <c r="C20" s="1" t="s">
        <v>243</v>
      </c>
      <c r="D20" s="1" t="s">
        <v>244</v>
      </c>
      <c r="E20" s="1" t="s">
        <v>245</v>
      </c>
      <c r="F20" s="1">
        <v>1995</v>
      </c>
    </row>
    <row r="21" spans="1:49" s="1" customFormat="1">
      <c r="A21" s="1" t="s">
        <v>541</v>
      </c>
      <c r="C21" s="1" t="s">
        <v>252</v>
      </c>
      <c r="D21" s="1" t="s">
        <v>253</v>
      </c>
      <c r="E21" s="1" t="s">
        <v>254</v>
      </c>
      <c r="F21" s="1">
        <v>1988</v>
      </c>
    </row>
    <row r="22" spans="1:49" s="1" customFormat="1">
      <c r="A22" s="1" t="s">
        <v>516</v>
      </c>
      <c r="C22" s="1" t="s">
        <v>255</v>
      </c>
      <c r="D22" s="1" t="s">
        <v>256</v>
      </c>
      <c r="E22" s="1" t="s">
        <v>75</v>
      </c>
      <c r="F22" s="1">
        <v>1985</v>
      </c>
      <c r="AQ22" s="1" t="s">
        <v>353</v>
      </c>
    </row>
    <row r="23" spans="1:49" s="1" customFormat="1">
      <c r="A23" s="1" t="s">
        <v>771</v>
      </c>
      <c r="B23" s="11">
        <v>1</v>
      </c>
      <c r="C23" s="11" t="s">
        <v>118</v>
      </c>
      <c r="D23" s="11" t="s">
        <v>119</v>
      </c>
      <c r="E23" s="11" t="s">
        <v>80</v>
      </c>
      <c r="F23" s="11">
        <v>2009</v>
      </c>
      <c r="G23" s="11" t="s">
        <v>470</v>
      </c>
      <c r="H23" s="11" t="s">
        <v>471</v>
      </c>
      <c r="I23" s="11">
        <v>7.588381</v>
      </c>
      <c r="J23" s="11">
        <v>134.73338100000001</v>
      </c>
      <c r="K23" s="12" t="s">
        <v>366</v>
      </c>
      <c r="L23" s="11" t="s">
        <v>473</v>
      </c>
      <c r="M23" s="11"/>
      <c r="P23" s="1" t="s">
        <v>294</v>
      </c>
      <c r="AV23"/>
      <c r="AW23" s="1" t="s">
        <v>472</v>
      </c>
    </row>
    <row r="24" spans="1:49" s="1" customFormat="1">
      <c r="A24" s="1" t="s">
        <v>790</v>
      </c>
      <c r="B24" s="11">
        <v>1</v>
      </c>
      <c r="C24" s="11" t="s">
        <v>209</v>
      </c>
      <c r="D24" s="11" t="s">
        <v>210</v>
      </c>
      <c r="E24" s="11" t="s">
        <v>80</v>
      </c>
      <c r="F24" s="11">
        <v>2015</v>
      </c>
      <c r="G24" s="11" t="s">
        <v>521</v>
      </c>
      <c r="H24" s="11" t="s">
        <v>522</v>
      </c>
      <c r="I24" s="11">
        <v>47.016666999999998</v>
      </c>
      <c r="J24" s="11">
        <v>-2.0333329999999998</v>
      </c>
      <c r="K24" s="11" t="s">
        <v>328</v>
      </c>
      <c r="L24" s="11" t="s">
        <v>374</v>
      </c>
      <c r="M24" s="1" t="s">
        <v>652</v>
      </c>
      <c r="N24" s="1" t="s">
        <v>575</v>
      </c>
      <c r="O24" s="1" t="s">
        <v>791</v>
      </c>
      <c r="P24" s="1" t="s">
        <v>338</v>
      </c>
      <c r="Q24" s="1" t="s">
        <v>903</v>
      </c>
      <c r="R24" s="1" t="s">
        <v>315</v>
      </c>
      <c r="S24" s="1" t="s">
        <v>336</v>
      </c>
      <c r="AV24"/>
    </row>
    <row r="25" spans="1:49" s="1" customFormat="1">
      <c r="A25" s="1" t="s">
        <v>539</v>
      </c>
      <c r="B25" s="11">
        <v>1</v>
      </c>
      <c r="C25" s="11" t="s">
        <v>222</v>
      </c>
      <c r="D25" s="11" t="s">
        <v>223</v>
      </c>
      <c r="E25" s="11" t="s">
        <v>174</v>
      </c>
      <c r="F25" s="11">
        <v>2009</v>
      </c>
      <c r="G25" s="11" t="s">
        <v>528</v>
      </c>
      <c r="H25" s="11" t="s">
        <v>529</v>
      </c>
      <c r="I25" s="11">
        <v>38.315705000000001</v>
      </c>
      <c r="J25" s="11">
        <v>-123.070932</v>
      </c>
      <c r="K25" s="11" t="s">
        <v>366</v>
      </c>
      <c r="L25" s="11" t="s">
        <v>400</v>
      </c>
      <c r="M25" s="1" t="s">
        <v>574</v>
      </c>
      <c r="N25" s="1" t="s">
        <v>291</v>
      </c>
      <c r="O25" s="1" t="s">
        <v>791</v>
      </c>
      <c r="P25" s="1" t="s">
        <v>338</v>
      </c>
    </row>
    <row r="26" spans="1:49" s="1" customFormat="1">
      <c r="A26" s="1" t="s">
        <v>1061</v>
      </c>
      <c r="B26" s="11">
        <v>1</v>
      </c>
      <c r="C26" s="1" t="s">
        <v>227</v>
      </c>
      <c r="D26" s="1" t="s">
        <v>228</v>
      </c>
      <c r="E26" s="1" t="s">
        <v>139</v>
      </c>
      <c r="F26" s="1">
        <v>2004</v>
      </c>
      <c r="G26" s="1" t="s">
        <v>531</v>
      </c>
      <c r="H26" s="1" t="s">
        <v>532</v>
      </c>
      <c r="I26" s="1">
        <v>59.751111000000002</v>
      </c>
      <c r="J26" s="1">
        <v>23.219166999999999</v>
      </c>
      <c r="K26" s="1" t="s">
        <v>533</v>
      </c>
      <c r="L26" s="1" t="s">
        <v>534</v>
      </c>
      <c r="M26" s="1" t="s">
        <v>652</v>
      </c>
      <c r="N26" s="1" t="s">
        <v>575</v>
      </c>
      <c r="O26" s="1" t="s">
        <v>791</v>
      </c>
      <c r="P26" s="1" t="s">
        <v>338</v>
      </c>
      <c r="Q26" s="1" t="s">
        <v>1058</v>
      </c>
      <c r="R26" s="1" t="s">
        <v>315</v>
      </c>
      <c r="S26" s="1" t="s">
        <v>335</v>
      </c>
      <c r="T26" s="1" t="s">
        <v>578</v>
      </c>
      <c r="U26" s="1">
        <v>2000</v>
      </c>
      <c r="V26" s="1" t="s">
        <v>313</v>
      </c>
      <c r="W26" s="1" t="s">
        <v>1059</v>
      </c>
      <c r="X26" s="1" t="s">
        <v>884</v>
      </c>
      <c r="Y26" s="1" t="s">
        <v>885</v>
      </c>
      <c r="Z26" s="1" t="s">
        <v>1060</v>
      </c>
      <c r="AA26" s="1" t="s">
        <v>922</v>
      </c>
    </row>
    <row r="27" spans="1:49" s="1" customFormat="1">
      <c r="A27" s="1" t="s">
        <v>1025</v>
      </c>
      <c r="B27" s="11">
        <v>1</v>
      </c>
      <c r="C27" s="1" t="s">
        <v>51</v>
      </c>
      <c r="D27" s="1" t="s">
        <v>52</v>
      </c>
      <c r="E27" s="1" t="s">
        <v>53</v>
      </c>
      <c r="F27" s="1">
        <v>2017</v>
      </c>
      <c r="G27" s="1" t="s">
        <v>437</v>
      </c>
      <c r="H27" s="1" t="s">
        <v>438</v>
      </c>
      <c r="I27" s="1">
        <v>-37.006335999999997</v>
      </c>
      <c r="J27" s="1">
        <v>175.89027200000001</v>
      </c>
      <c r="K27" s="1" t="s">
        <v>371</v>
      </c>
      <c r="L27" s="1" t="s">
        <v>372</v>
      </c>
      <c r="M27" s="1" t="s">
        <v>645</v>
      </c>
      <c r="N27" s="1" t="s">
        <v>291</v>
      </c>
      <c r="O27" s="1" t="s">
        <v>292</v>
      </c>
      <c r="P27" s="1" t="s">
        <v>425</v>
      </c>
      <c r="Q27" s="1" t="s">
        <v>1021</v>
      </c>
      <c r="R27" s="1" t="s">
        <v>315</v>
      </c>
      <c r="S27" s="1" t="s">
        <v>336</v>
      </c>
      <c r="T27" s="1" t="s">
        <v>578</v>
      </c>
      <c r="U27" s="1">
        <v>2008</v>
      </c>
      <c r="V27" s="1" t="s">
        <v>295</v>
      </c>
      <c r="W27" s="1" t="s">
        <v>1024</v>
      </c>
      <c r="X27" s="1" t="s">
        <v>884</v>
      </c>
      <c r="Y27" s="1" t="s">
        <v>885</v>
      </c>
      <c r="Z27" s="1" t="s">
        <v>1022</v>
      </c>
      <c r="AA27" s="1" t="s">
        <v>1023</v>
      </c>
      <c r="AV27"/>
      <c r="AW27" s="1" t="s">
        <v>989</v>
      </c>
    </row>
    <row r="28" spans="1:49" s="1" customFormat="1">
      <c r="A28" s="1" t="s">
        <v>548</v>
      </c>
      <c r="C28" s="1" t="s">
        <v>264</v>
      </c>
      <c r="D28" s="1" t="s">
        <v>265</v>
      </c>
      <c r="E28" s="1" t="s">
        <v>266</v>
      </c>
      <c r="F28" s="1">
        <v>1980</v>
      </c>
    </row>
    <row r="29" spans="1:49" s="1" customFormat="1" ht="18">
      <c r="A29" s="1" t="s">
        <v>519</v>
      </c>
      <c r="C29" s="1" t="s">
        <v>204</v>
      </c>
      <c r="D29" s="1" t="s">
        <v>205</v>
      </c>
      <c r="E29" s="1" t="s">
        <v>518</v>
      </c>
      <c r="F29" s="1">
        <v>2016</v>
      </c>
      <c r="AV29"/>
      <c r="AW29" s="8" t="s">
        <v>520</v>
      </c>
    </row>
    <row r="30" spans="1:49" s="1" customFormat="1">
      <c r="A30" s="1" t="s">
        <v>524</v>
      </c>
      <c r="C30" s="1" t="s">
        <v>214</v>
      </c>
      <c r="D30" s="1" t="s">
        <v>215</v>
      </c>
      <c r="E30" s="1" t="s">
        <v>216</v>
      </c>
      <c r="F30" s="1">
        <v>2013</v>
      </c>
      <c r="AV30"/>
      <c r="AW30" s="1" t="s">
        <v>525</v>
      </c>
    </row>
    <row r="31" spans="1:49" s="1" customFormat="1">
      <c r="A31" s="1" t="s">
        <v>553</v>
      </c>
      <c r="C31" s="1" t="s">
        <v>267</v>
      </c>
      <c r="D31" s="1" t="s">
        <v>268</v>
      </c>
      <c r="E31" s="1" t="s">
        <v>269</v>
      </c>
      <c r="F31" s="1">
        <v>1967</v>
      </c>
    </row>
    <row r="32" spans="1:49" s="1" customFormat="1">
      <c r="A32" s="1" t="s">
        <v>517</v>
      </c>
      <c r="C32" s="1" t="s">
        <v>201</v>
      </c>
      <c r="D32" s="1" t="s">
        <v>202</v>
      </c>
      <c r="E32" s="1" t="s">
        <v>203</v>
      </c>
      <c r="F32" s="1">
        <v>2019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FEB7-D2F3-9F49-9059-690B7F4F42EF}">
  <dimension ref="A1:F27"/>
  <sheetViews>
    <sheetView zoomScale="150" workbookViewId="0">
      <selection activeCell="F3" sqref="F3"/>
    </sheetView>
  </sheetViews>
  <sheetFormatPr baseColWidth="10" defaultRowHeight="16"/>
  <sheetData>
    <row r="1" spans="1:6">
      <c r="A1" s="3" t="s">
        <v>274</v>
      </c>
      <c r="E1" s="3"/>
      <c r="F1" t="s">
        <v>1004</v>
      </c>
    </row>
    <row r="2" spans="1:6">
      <c r="A2" s="3" t="s">
        <v>420</v>
      </c>
      <c r="F2" t="s">
        <v>1005</v>
      </c>
    </row>
    <row r="3" spans="1:6">
      <c r="A3" s="3" t="s">
        <v>421</v>
      </c>
      <c r="F3" t="s">
        <v>1006</v>
      </c>
    </row>
    <row r="4" spans="1:6">
      <c r="A4" s="3" t="s">
        <v>273</v>
      </c>
    </row>
    <row r="5" spans="1:6">
      <c r="A5" s="6" t="s">
        <v>422</v>
      </c>
    </row>
    <row r="6" spans="1:6">
      <c r="A6" s="3" t="s">
        <v>423</v>
      </c>
    </row>
    <row r="7" spans="1:6">
      <c r="A7" s="3" t="s">
        <v>275</v>
      </c>
    </row>
    <row r="11" spans="1:6">
      <c r="A11" s="9" t="s">
        <v>293</v>
      </c>
    </row>
    <row r="14" spans="1:6">
      <c r="A14" t="s">
        <v>346</v>
      </c>
    </row>
    <row r="15" spans="1:6">
      <c r="A15" s="4" t="s">
        <v>296</v>
      </c>
    </row>
    <row r="16" spans="1:6">
      <c r="A16" s="4" t="s">
        <v>297</v>
      </c>
    </row>
    <row r="17" spans="1:1">
      <c r="A17" s="4" t="s">
        <v>298</v>
      </c>
    </row>
    <row r="18" spans="1:1">
      <c r="A18" s="4" t="s">
        <v>299</v>
      </c>
    </row>
    <row r="19" spans="1:1">
      <c r="A19" s="4" t="s">
        <v>300</v>
      </c>
    </row>
    <row r="20" spans="1:1">
      <c r="A20" s="4" t="s">
        <v>301</v>
      </c>
    </row>
    <row r="21" spans="1:1">
      <c r="A21" s="4" t="s">
        <v>302</v>
      </c>
    </row>
    <row r="22" spans="1:1">
      <c r="A22" s="4" t="s">
        <v>303</v>
      </c>
    </row>
    <row r="23" spans="1:1">
      <c r="A23" s="4" t="s">
        <v>304</v>
      </c>
    </row>
    <row r="24" spans="1:1">
      <c r="A24" s="4" t="s">
        <v>613</v>
      </c>
    </row>
    <row r="25" spans="1:1">
      <c r="A25" s="4" t="s">
        <v>612</v>
      </c>
    </row>
    <row r="26" spans="1:1">
      <c r="A26" s="4" t="s">
        <v>305</v>
      </c>
    </row>
    <row r="27" spans="1:1">
      <c r="A27" s="4" t="s">
        <v>934</v>
      </c>
    </row>
  </sheetData>
  <hyperlinks>
    <hyperlink ref="A11" r:id="rId1" xr:uid="{B3D2F834-A87A-B544-9B08-92CFCE54EDD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A992A-0E1F-CA49-B16D-27E6F6318975}">
  <dimension ref="B1:J31"/>
  <sheetViews>
    <sheetView topLeftCell="A7" workbookViewId="0">
      <selection activeCell="B20" sqref="B20:I31"/>
    </sheetView>
  </sheetViews>
  <sheetFormatPr baseColWidth="10" defaultRowHeight="16"/>
  <sheetData>
    <row r="1" spans="2:10">
      <c r="B1" t="s">
        <v>1008</v>
      </c>
      <c r="E1" t="s">
        <v>1001</v>
      </c>
      <c r="G1" t="s">
        <v>864</v>
      </c>
    </row>
    <row r="2" spans="2:10">
      <c r="B2" t="s">
        <v>681</v>
      </c>
      <c r="C2" t="s">
        <v>1007</v>
      </c>
      <c r="D2" t="s">
        <v>682</v>
      </c>
      <c r="G2" t="s">
        <v>681</v>
      </c>
      <c r="H2" t="s">
        <v>1007</v>
      </c>
      <c r="I2" t="s">
        <v>682</v>
      </c>
    </row>
    <row r="3" spans="2:10">
      <c r="B3">
        <v>0.72352941176470598</v>
      </c>
      <c r="C3">
        <v>0.77647058823529402</v>
      </c>
      <c r="D3">
        <f t="shared" ref="D3:D14" si="0">C3-B3</f>
        <v>5.2941176470588047E-2</v>
      </c>
      <c r="E3">
        <v>10</v>
      </c>
      <c r="G3">
        <v>0.76588235294117601</v>
      </c>
      <c r="H3">
        <v>0.82941176470588196</v>
      </c>
      <c r="I3">
        <f t="shared" ref="I3:I14" si="1">H3-G3</f>
        <v>6.3529411764705945E-2</v>
      </c>
      <c r="J3">
        <v>10</v>
      </c>
    </row>
    <row r="4" spans="2:10">
      <c r="B4">
        <v>0.73411764705882299</v>
      </c>
      <c r="C4">
        <v>0.79058823529411704</v>
      </c>
      <c r="D4">
        <f t="shared" si="0"/>
        <v>5.647058823529405E-2</v>
      </c>
      <c r="E4">
        <v>10</v>
      </c>
      <c r="G4">
        <v>0.80823529411764705</v>
      </c>
      <c r="H4">
        <v>0.86117647058823499</v>
      </c>
      <c r="I4">
        <f t="shared" si="1"/>
        <v>5.2941176470587936E-2</v>
      </c>
      <c r="J4">
        <v>10</v>
      </c>
    </row>
    <row r="5" spans="2:10">
      <c r="B5">
        <v>0.82941176470588196</v>
      </c>
      <c r="C5">
        <v>0.88941176470588201</v>
      </c>
      <c r="D5">
        <f t="shared" si="0"/>
        <v>6.0000000000000053E-2</v>
      </c>
      <c r="E5">
        <v>10</v>
      </c>
      <c r="G5">
        <v>0.748235294117647</v>
      </c>
      <c r="H5">
        <v>0.79058823529411704</v>
      </c>
      <c r="I5">
        <f t="shared" si="1"/>
        <v>4.2352941176470038E-2</v>
      </c>
      <c r="J5">
        <v>10</v>
      </c>
    </row>
    <row r="6" spans="2:10">
      <c r="B6">
        <v>0.86470588235294099</v>
      </c>
      <c r="C6">
        <v>0.89999999999999902</v>
      </c>
      <c r="D6">
        <f t="shared" si="0"/>
        <v>3.5294117647058032E-2</v>
      </c>
      <c r="E6">
        <v>10</v>
      </c>
      <c r="G6">
        <v>0.83647058823529397</v>
      </c>
      <c r="H6">
        <v>0.88588235294117601</v>
      </c>
      <c r="I6">
        <f t="shared" si="1"/>
        <v>4.9411764705882044E-2</v>
      </c>
      <c r="J6">
        <v>10</v>
      </c>
    </row>
    <row r="7" spans="2:10">
      <c r="B7">
        <v>0.92470588235294104</v>
      </c>
      <c r="C7">
        <v>0.99176470588235299</v>
      </c>
      <c r="D7">
        <f t="shared" si="0"/>
        <v>6.7058823529411948E-2</v>
      </c>
      <c r="E7">
        <v>10</v>
      </c>
      <c r="G7">
        <v>0.875294117647058</v>
      </c>
      <c r="H7">
        <v>0.91058823529411703</v>
      </c>
      <c r="I7">
        <f t="shared" si="1"/>
        <v>3.5294117647059031E-2</v>
      </c>
      <c r="J7">
        <v>10</v>
      </c>
    </row>
    <row r="8" spans="2:10">
      <c r="B8">
        <v>1.1505882352941099</v>
      </c>
      <c r="C8">
        <v>1.2035294117647</v>
      </c>
      <c r="D8">
        <f t="shared" si="0"/>
        <v>5.2941176470590046E-2</v>
      </c>
      <c r="E8">
        <v>10</v>
      </c>
      <c r="G8">
        <v>1.0588235294117601</v>
      </c>
      <c r="H8">
        <v>1.1047058823529401</v>
      </c>
      <c r="I8">
        <f t="shared" si="1"/>
        <v>4.5882352941180038E-2</v>
      </c>
      <c r="J8">
        <v>10</v>
      </c>
    </row>
    <row r="9" spans="2:10">
      <c r="B9">
        <v>1.22117647058823</v>
      </c>
      <c r="C9">
        <v>1.2635294117647</v>
      </c>
      <c r="D9">
        <f t="shared" si="0"/>
        <v>4.2352941176470038E-2</v>
      </c>
      <c r="E9">
        <v>10</v>
      </c>
      <c r="G9">
        <v>1.03764705882352</v>
      </c>
      <c r="H9">
        <v>1.0835294117647001</v>
      </c>
      <c r="I9">
        <f t="shared" si="1"/>
        <v>4.5882352941180038E-2</v>
      </c>
      <c r="J9">
        <v>10</v>
      </c>
    </row>
    <row r="10" spans="2:10">
      <c r="B10">
        <v>0.878823529411764</v>
      </c>
      <c r="C10">
        <v>0.92117647058823504</v>
      </c>
      <c r="D10">
        <f t="shared" si="0"/>
        <v>4.2352941176471037E-2</v>
      </c>
      <c r="E10">
        <v>9</v>
      </c>
      <c r="G10">
        <v>0.83294117647058796</v>
      </c>
      <c r="H10">
        <v>0.871764705882353</v>
      </c>
      <c r="I10">
        <f t="shared" si="1"/>
        <v>3.8823529411765034E-2</v>
      </c>
      <c r="J10">
        <v>9</v>
      </c>
    </row>
    <row r="11" spans="2:10">
      <c r="B11">
        <v>0.83647058823529397</v>
      </c>
      <c r="C11">
        <v>0.86823529411764699</v>
      </c>
      <c r="D11">
        <f t="shared" si="0"/>
        <v>3.1764705882353028E-2</v>
      </c>
      <c r="E11">
        <v>9</v>
      </c>
      <c r="G11">
        <v>0.73411764705882299</v>
      </c>
      <c r="H11">
        <v>0.76941176470588202</v>
      </c>
      <c r="I11">
        <f t="shared" si="1"/>
        <v>3.5294117647059031E-2</v>
      </c>
      <c r="J11">
        <v>9</v>
      </c>
    </row>
    <row r="12" spans="2:10">
      <c r="B12">
        <v>0.89294117647058802</v>
      </c>
      <c r="C12">
        <v>0.92823529411764705</v>
      </c>
      <c r="D12">
        <f t="shared" si="0"/>
        <v>3.5294117647059031E-2</v>
      </c>
      <c r="E12">
        <v>9</v>
      </c>
      <c r="G12">
        <v>0.77647058823529402</v>
      </c>
      <c r="H12">
        <v>0.81529411764705795</v>
      </c>
      <c r="I12">
        <f t="shared" si="1"/>
        <v>3.8823529411763924E-2</v>
      </c>
      <c r="J12">
        <v>9</v>
      </c>
    </row>
    <row r="13" spans="2:10">
      <c r="B13">
        <v>0.878823529411764</v>
      </c>
      <c r="C13">
        <v>0.91058823529411703</v>
      </c>
      <c r="D13">
        <f t="shared" si="0"/>
        <v>3.1764705882353028E-2</v>
      </c>
      <c r="E13">
        <v>9</v>
      </c>
      <c r="G13">
        <v>0.76941176470588202</v>
      </c>
      <c r="H13">
        <v>0.80823529411764705</v>
      </c>
      <c r="I13">
        <f t="shared" si="1"/>
        <v>3.8823529411765034E-2</v>
      </c>
      <c r="J13">
        <v>9</v>
      </c>
    </row>
    <row r="14" spans="2:10">
      <c r="B14">
        <v>0.96</v>
      </c>
      <c r="C14">
        <v>0.98470588235294099</v>
      </c>
      <c r="D14">
        <f t="shared" si="0"/>
        <v>2.4705882352941022E-2</v>
      </c>
      <c r="E14">
        <v>9</v>
      </c>
      <c r="G14">
        <v>0.81882352941176395</v>
      </c>
      <c r="H14">
        <v>0.85058823529411698</v>
      </c>
      <c r="I14">
        <f t="shared" si="1"/>
        <v>3.1764705882353028E-2</v>
      </c>
      <c r="J14">
        <v>9</v>
      </c>
    </row>
    <row r="19" spans="2:9">
      <c r="B19" s="1" t="s">
        <v>319</v>
      </c>
      <c r="C19" s="1" t="s">
        <v>322</v>
      </c>
      <c r="D19" s="1" t="s">
        <v>586</v>
      </c>
      <c r="E19" s="1" t="s">
        <v>990</v>
      </c>
      <c r="F19" s="1" t="s">
        <v>320</v>
      </c>
      <c r="G19" s="1" t="s">
        <v>323</v>
      </c>
      <c r="H19" s="1" t="s">
        <v>588</v>
      </c>
      <c r="I19" s="1" t="s">
        <v>359</v>
      </c>
    </row>
    <row r="20" spans="2:9">
      <c r="B20">
        <v>0.72352941176470598</v>
      </c>
      <c r="C20">
        <v>5.2941176470588047E-2</v>
      </c>
      <c r="D20" t="s">
        <v>315</v>
      </c>
      <c r="E20">
        <v>10</v>
      </c>
      <c r="F20">
        <v>0.76588235294117601</v>
      </c>
      <c r="G20">
        <v>6.3529411764705945E-2</v>
      </c>
      <c r="H20" t="s">
        <v>315</v>
      </c>
      <c r="I20">
        <v>10</v>
      </c>
    </row>
    <row r="21" spans="2:9">
      <c r="B21">
        <v>0.73411764705882299</v>
      </c>
      <c r="C21">
        <v>5.647058823529405E-2</v>
      </c>
      <c r="D21" t="s">
        <v>315</v>
      </c>
      <c r="E21">
        <v>10</v>
      </c>
      <c r="F21">
        <v>0.80823529411764705</v>
      </c>
      <c r="G21">
        <v>5.2941176470587936E-2</v>
      </c>
      <c r="H21" t="s">
        <v>315</v>
      </c>
      <c r="I21">
        <v>10</v>
      </c>
    </row>
    <row r="22" spans="2:9">
      <c r="B22">
        <v>0.82941176470588196</v>
      </c>
      <c r="C22">
        <v>6.0000000000000053E-2</v>
      </c>
      <c r="D22" t="s">
        <v>315</v>
      </c>
      <c r="E22">
        <v>10</v>
      </c>
      <c r="F22">
        <v>0.748235294117647</v>
      </c>
      <c r="G22">
        <v>4.2352941176470038E-2</v>
      </c>
      <c r="H22" t="s">
        <v>315</v>
      </c>
      <c r="I22">
        <v>10</v>
      </c>
    </row>
    <row r="23" spans="2:9">
      <c r="B23">
        <v>0.86470588235294099</v>
      </c>
      <c r="C23">
        <v>3.5294117647058032E-2</v>
      </c>
      <c r="D23" t="s">
        <v>315</v>
      </c>
      <c r="E23">
        <v>10</v>
      </c>
      <c r="F23">
        <v>0.83647058823529397</v>
      </c>
      <c r="G23">
        <v>4.9411764705882044E-2</v>
      </c>
      <c r="H23" t="s">
        <v>315</v>
      </c>
      <c r="I23">
        <v>10</v>
      </c>
    </row>
    <row r="24" spans="2:9">
      <c r="B24">
        <v>0.92470588235294104</v>
      </c>
      <c r="C24">
        <v>6.7058823529411948E-2</v>
      </c>
      <c r="D24" t="s">
        <v>315</v>
      </c>
      <c r="E24">
        <v>10</v>
      </c>
      <c r="F24">
        <v>0.875294117647058</v>
      </c>
      <c r="G24">
        <v>3.5294117647059031E-2</v>
      </c>
      <c r="H24" t="s">
        <v>315</v>
      </c>
      <c r="I24">
        <v>10</v>
      </c>
    </row>
    <row r="25" spans="2:9">
      <c r="B25">
        <v>1.1505882352941099</v>
      </c>
      <c r="C25">
        <v>5.2941176470590046E-2</v>
      </c>
      <c r="D25" t="s">
        <v>315</v>
      </c>
      <c r="E25">
        <v>10</v>
      </c>
      <c r="F25">
        <v>1.0588235294117601</v>
      </c>
      <c r="G25">
        <v>4.5882352941180038E-2</v>
      </c>
      <c r="H25" t="s">
        <v>315</v>
      </c>
      <c r="I25">
        <v>10</v>
      </c>
    </row>
    <row r="26" spans="2:9">
      <c r="B26">
        <v>1.22117647058823</v>
      </c>
      <c r="C26">
        <v>4.2352941176470038E-2</v>
      </c>
      <c r="D26" t="s">
        <v>315</v>
      </c>
      <c r="E26">
        <v>10</v>
      </c>
      <c r="F26">
        <v>1.03764705882352</v>
      </c>
      <c r="G26">
        <v>4.5882352941180038E-2</v>
      </c>
      <c r="H26" t="s">
        <v>315</v>
      </c>
      <c r="I26">
        <v>10</v>
      </c>
    </row>
    <row r="27" spans="2:9">
      <c r="B27">
        <v>0.878823529411764</v>
      </c>
      <c r="C27">
        <v>4.2352941176471037E-2</v>
      </c>
      <c r="D27" t="s">
        <v>315</v>
      </c>
      <c r="E27">
        <v>9</v>
      </c>
      <c r="F27">
        <v>0.83294117647058796</v>
      </c>
      <c r="G27">
        <v>3.8823529411765034E-2</v>
      </c>
      <c r="H27" t="s">
        <v>315</v>
      </c>
      <c r="I27">
        <v>9</v>
      </c>
    </row>
    <row r="28" spans="2:9">
      <c r="B28">
        <v>0.83647058823529397</v>
      </c>
      <c r="C28">
        <v>3.1764705882353028E-2</v>
      </c>
      <c r="D28" t="s">
        <v>315</v>
      </c>
      <c r="E28">
        <v>9</v>
      </c>
      <c r="F28">
        <v>0.73411764705882299</v>
      </c>
      <c r="G28">
        <v>3.5294117647059031E-2</v>
      </c>
      <c r="H28" t="s">
        <v>315</v>
      </c>
      <c r="I28">
        <v>9</v>
      </c>
    </row>
    <row r="29" spans="2:9">
      <c r="B29">
        <v>0.89294117647058802</v>
      </c>
      <c r="C29">
        <v>3.5294117647059031E-2</v>
      </c>
      <c r="D29" t="s">
        <v>315</v>
      </c>
      <c r="E29">
        <v>9</v>
      </c>
      <c r="F29">
        <v>0.77647058823529402</v>
      </c>
      <c r="G29">
        <v>3.8823529411763924E-2</v>
      </c>
      <c r="H29" t="s">
        <v>315</v>
      </c>
      <c r="I29">
        <v>9</v>
      </c>
    </row>
    <row r="30" spans="2:9">
      <c r="B30">
        <v>0.878823529411764</v>
      </c>
      <c r="C30">
        <v>3.1764705882353028E-2</v>
      </c>
      <c r="D30" t="s">
        <v>315</v>
      </c>
      <c r="E30">
        <v>9</v>
      </c>
      <c r="F30">
        <v>0.76941176470588202</v>
      </c>
      <c r="G30">
        <v>3.8823529411765034E-2</v>
      </c>
      <c r="H30" t="s">
        <v>315</v>
      </c>
      <c r="I30">
        <v>9</v>
      </c>
    </row>
    <row r="31" spans="2:9">
      <c r="B31">
        <v>0.96</v>
      </c>
      <c r="C31">
        <v>2.4705882352941022E-2</v>
      </c>
      <c r="D31" t="s">
        <v>315</v>
      </c>
      <c r="E31">
        <v>9</v>
      </c>
      <c r="F31">
        <v>0.81882352941176395</v>
      </c>
      <c r="G31">
        <v>3.1764705882353028E-2</v>
      </c>
      <c r="H31" t="s">
        <v>315</v>
      </c>
      <c r="I31">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920B-18C7-1A4E-A6A1-47B05CFEA008}">
  <dimension ref="A1:P151"/>
  <sheetViews>
    <sheetView topLeftCell="A126" workbookViewId="0">
      <selection activeCell="F151" sqref="F151:G151"/>
    </sheetView>
  </sheetViews>
  <sheetFormatPr baseColWidth="10" defaultRowHeight="16"/>
  <sheetData>
    <row r="1" spans="1:13">
      <c r="A1" t="s">
        <v>633</v>
      </c>
    </row>
    <row r="2" spans="1:13">
      <c r="A2" t="s">
        <v>638</v>
      </c>
    </row>
    <row r="3" spans="1:13">
      <c r="B3" s="10" t="s">
        <v>634</v>
      </c>
      <c r="C3" s="1" t="s">
        <v>625</v>
      </c>
      <c r="D3" s="1" t="s">
        <v>627</v>
      </c>
      <c r="E3" s="1" t="s">
        <v>629</v>
      </c>
      <c r="F3" s="1" t="s">
        <v>632</v>
      </c>
      <c r="G3" s="1" t="s">
        <v>631</v>
      </c>
      <c r="H3" s="1"/>
      <c r="I3" s="1" t="s">
        <v>626</v>
      </c>
      <c r="J3" s="1" t="s">
        <v>628</v>
      </c>
      <c r="K3" s="1" t="s">
        <v>630</v>
      </c>
      <c r="L3" s="1" t="s">
        <v>636</v>
      </c>
      <c r="M3" s="1" t="s">
        <v>637</v>
      </c>
    </row>
    <row r="4" spans="1:13">
      <c r="B4" s="1" t="s">
        <v>623</v>
      </c>
      <c r="C4" s="1">
        <v>28.290155440414502</v>
      </c>
      <c r="D4" s="1">
        <v>2.7979274611398992</v>
      </c>
      <c r="E4" s="1">
        <v>5</v>
      </c>
      <c r="F4" s="1">
        <v>-7.3056994818653003</v>
      </c>
      <c r="G4" s="1">
        <v>4.663212435233139</v>
      </c>
      <c r="H4" s="1"/>
      <c r="I4" s="1">
        <v>26.269430051813401</v>
      </c>
      <c r="J4" s="1">
        <v>3.2642487046631992</v>
      </c>
      <c r="K4" s="1">
        <v>5</v>
      </c>
      <c r="L4" s="1">
        <v>-10.103626943005203</v>
      </c>
      <c r="M4" s="1">
        <v>5.8202005886577881</v>
      </c>
    </row>
    <row r="5" spans="1:13">
      <c r="B5" s="1" t="s">
        <v>624</v>
      </c>
      <c r="C5" s="1">
        <v>20.984455958549201</v>
      </c>
      <c r="D5" s="1">
        <v>3.7305699481864991</v>
      </c>
      <c r="E5" s="1">
        <v>5</v>
      </c>
      <c r="F5" s="1"/>
      <c r="G5" s="1"/>
      <c r="H5" s="1"/>
      <c r="I5" s="1">
        <v>16.165803108808198</v>
      </c>
      <c r="J5" s="1">
        <v>4.8186528497410031</v>
      </c>
      <c r="K5" s="1">
        <v>5</v>
      </c>
      <c r="L5" s="1"/>
      <c r="M5" s="1"/>
    </row>
    <row r="10" spans="1:13">
      <c r="B10" s="10" t="s">
        <v>635</v>
      </c>
      <c r="C10" s="1" t="s">
        <v>625</v>
      </c>
      <c r="D10" s="1" t="s">
        <v>627</v>
      </c>
      <c r="E10" s="1" t="s">
        <v>629</v>
      </c>
      <c r="F10" s="1" t="s">
        <v>632</v>
      </c>
      <c r="G10" s="1" t="s">
        <v>631</v>
      </c>
      <c r="H10" s="1"/>
      <c r="I10" s="1" t="s">
        <v>626</v>
      </c>
      <c r="J10" s="1" t="s">
        <v>628</v>
      </c>
      <c r="K10" s="1" t="s">
        <v>630</v>
      </c>
      <c r="L10" s="1" t="s">
        <v>636</v>
      </c>
      <c r="M10" s="1" t="s">
        <v>637</v>
      </c>
    </row>
    <row r="11" spans="1:13">
      <c r="B11" s="1" t="s">
        <v>623</v>
      </c>
      <c r="C11" s="1">
        <v>1.85567010309278</v>
      </c>
      <c r="D11">
        <v>1.0824742268041301</v>
      </c>
      <c r="E11" s="1">
        <v>5</v>
      </c>
      <c r="F11" s="1">
        <v>-1.237113402061859</v>
      </c>
      <c r="G11" s="1">
        <v>1.1257901890640061</v>
      </c>
      <c r="H11" s="1"/>
      <c r="I11" s="1">
        <v>2.4742268041236999</v>
      </c>
      <c r="J11">
        <v>0.77319587628866993</v>
      </c>
      <c r="K11" s="1">
        <v>5</v>
      </c>
      <c r="L11" s="1">
        <v>18.711340206185501</v>
      </c>
      <c r="M11" s="1">
        <v>4.0942893695486466</v>
      </c>
    </row>
    <row r="12" spans="1:13">
      <c r="B12" s="1" t="s">
        <v>624</v>
      </c>
      <c r="C12" s="1">
        <v>0.61855670103092097</v>
      </c>
      <c r="D12">
        <v>0.30927835051547203</v>
      </c>
      <c r="E12" s="1">
        <v>5</v>
      </c>
      <c r="F12" s="1"/>
      <c r="G12" s="1"/>
      <c r="H12" s="1"/>
      <c r="I12" s="1">
        <v>21.1855670103092</v>
      </c>
      <c r="J12">
        <v>4.0206185567011019</v>
      </c>
      <c r="K12" s="1">
        <v>5</v>
      </c>
      <c r="L12" s="1"/>
      <c r="M12" s="1"/>
    </row>
    <row r="17" spans="1:13">
      <c r="B17" s="10" t="s">
        <v>641</v>
      </c>
      <c r="C17" s="1" t="s">
        <v>625</v>
      </c>
      <c r="D17" s="1" t="s">
        <v>627</v>
      </c>
      <c r="E17" s="1" t="s">
        <v>629</v>
      </c>
      <c r="F17" s="1" t="s">
        <v>632</v>
      </c>
      <c r="G17" s="1" t="s">
        <v>631</v>
      </c>
      <c r="H17" s="1"/>
      <c r="I17" s="1" t="s">
        <v>626</v>
      </c>
      <c r="J17" s="1" t="s">
        <v>628</v>
      </c>
      <c r="K17" s="1" t="s">
        <v>630</v>
      </c>
      <c r="L17" s="1" t="s">
        <v>636</v>
      </c>
      <c r="M17" s="1" t="s">
        <v>637</v>
      </c>
    </row>
    <row r="18" spans="1:13">
      <c r="B18" t="s">
        <v>623</v>
      </c>
      <c r="C18">
        <v>7.6704545454545396</v>
      </c>
      <c r="D18">
        <v>2.3863636363635603</v>
      </c>
      <c r="E18">
        <v>5</v>
      </c>
      <c r="F18">
        <v>4.3465909090908603</v>
      </c>
      <c r="G18">
        <v>4.0917967786900862</v>
      </c>
      <c r="I18">
        <v>9.2045454545454497</v>
      </c>
      <c r="J18">
        <v>1.9602272727272503</v>
      </c>
      <c r="K18">
        <v>5</v>
      </c>
      <c r="L18">
        <v>19.261363636363551</v>
      </c>
      <c r="M18">
        <v>4.7681593400112199</v>
      </c>
    </row>
    <row r="19" spans="1:13">
      <c r="B19" t="s">
        <v>624</v>
      </c>
      <c r="C19">
        <v>12.0170454545454</v>
      </c>
      <c r="D19">
        <v>3.3238636363635994</v>
      </c>
      <c r="E19">
        <v>5</v>
      </c>
      <c r="I19">
        <v>28.465909090909001</v>
      </c>
      <c r="J19">
        <v>4.3465909090909989</v>
      </c>
      <c r="K19">
        <v>5</v>
      </c>
    </row>
    <row r="23" spans="1:13">
      <c r="A23" t="s">
        <v>947</v>
      </c>
    </row>
    <row r="24" spans="1:13">
      <c r="A24" s="7" t="s">
        <v>732</v>
      </c>
      <c r="B24" s="7"/>
      <c r="C24" s="7"/>
      <c r="D24" s="7"/>
      <c r="E24" s="7"/>
      <c r="F24" s="7"/>
    </row>
    <row r="25" spans="1:13">
      <c r="A25" s="7"/>
      <c r="B25" s="7" t="s">
        <v>681</v>
      </c>
      <c r="C25" s="7" t="s">
        <v>733</v>
      </c>
      <c r="D25" s="7" t="s">
        <v>682</v>
      </c>
      <c r="E25" s="7" t="s">
        <v>734</v>
      </c>
      <c r="F25" s="7" t="s">
        <v>735</v>
      </c>
    </row>
    <row r="26" spans="1:13">
      <c r="A26" s="7" t="s">
        <v>623</v>
      </c>
      <c r="B26" s="7">
        <v>23.7804878</v>
      </c>
      <c r="C26" s="7">
        <v>24.878048799999998</v>
      </c>
      <c r="D26" s="7">
        <v>1.0975609799999999</v>
      </c>
      <c r="E26" s="7">
        <v>25.2439024</v>
      </c>
      <c r="F26" s="7">
        <v>5.5964848299999996</v>
      </c>
    </row>
    <row r="27" spans="1:13">
      <c r="A27" s="7" t="s">
        <v>624</v>
      </c>
      <c r="B27" s="7">
        <v>49.024390199999999</v>
      </c>
      <c r="C27" s="7">
        <v>54.5121951</v>
      </c>
      <c r="D27" s="7">
        <v>5.4878048799999997</v>
      </c>
      <c r="E27" s="7">
        <v>25.2439024</v>
      </c>
      <c r="F27" s="7">
        <v>5.5964848299999996</v>
      </c>
    </row>
    <row r="28" spans="1:13">
      <c r="A28" s="7"/>
      <c r="B28" s="7"/>
      <c r="C28" s="7"/>
      <c r="D28" s="7"/>
      <c r="E28" s="7"/>
      <c r="F28" s="7"/>
    </row>
    <row r="29" spans="1:13">
      <c r="A29" s="7"/>
      <c r="B29" s="7"/>
      <c r="C29" s="7"/>
      <c r="D29" s="7"/>
      <c r="E29" s="7"/>
      <c r="F29" s="7"/>
    </row>
    <row r="30" spans="1:13">
      <c r="A30" s="7"/>
      <c r="B30" s="7" t="s">
        <v>681</v>
      </c>
      <c r="C30" s="7" t="s">
        <v>733</v>
      </c>
      <c r="D30" s="7" t="s">
        <v>682</v>
      </c>
      <c r="E30" s="7" t="s">
        <v>734</v>
      </c>
      <c r="F30" s="7" t="s">
        <v>735</v>
      </c>
    </row>
    <row r="31" spans="1:13">
      <c r="A31" s="7" t="s">
        <v>623</v>
      </c>
      <c r="B31" s="7">
        <v>21.829268299999999</v>
      </c>
      <c r="C31" s="7">
        <v>20.4878049</v>
      </c>
      <c r="D31" s="7">
        <v>1.34146341</v>
      </c>
      <c r="E31" s="7">
        <v>7.1951219499999999</v>
      </c>
      <c r="F31" s="7">
        <v>3.44282786</v>
      </c>
    </row>
    <row r="32" spans="1:13">
      <c r="A32" s="7" t="s">
        <v>624</v>
      </c>
      <c r="B32" s="7">
        <v>29.024390199999999</v>
      </c>
      <c r="C32" s="7">
        <v>32.195121999999998</v>
      </c>
      <c r="D32" s="7">
        <v>3.1707317100000001</v>
      </c>
      <c r="E32" s="7">
        <v>7.1951219499999999</v>
      </c>
      <c r="F32" s="7">
        <v>3.44282786</v>
      </c>
    </row>
    <row r="35" spans="1:16">
      <c r="A35" t="s">
        <v>944</v>
      </c>
    </row>
    <row r="36" spans="1:16">
      <c r="A36" t="s">
        <v>745</v>
      </c>
      <c r="C36" t="s">
        <v>681</v>
      </c>
      <c r="D36" t="s">
        <v>733</v>
      </c>
      <c r="E36" t="s">
        <v>682</v>
      </c>
      <c r="F36" t="s">
        <v>734</v>
      </c>
      <c r="G36" t="s">
        <v>735</v>
      </c>
    </row>
    <row r="37" spans="1:16">
      <c r="B37" t="s">
        <v>623</v>
      </c>
      <c r="C37">
        <v>6.1855670103092804</v>
      </c>
      <c r="D37">
        <v>8.1615120274913995</v>
      </c>
      <c r="E37">
        <f>D37-C37</f>
        <v>1.9759450171821191</v>
      </c>
      <c r="F37">
        <f>C38-C37</f>
        <v>18.213058419243918</v>
      </c>
      <c r="G37">
        <f>SQRT(E37^2 +E38^2)</f>
        <v>5.6006893515486693</v>
      </c>
    </row>
    <row r="38" spans="1:16">
      <c r="B38" t="s">
        <v>624</v>
      </c>
      <c r="C38">
        <v>24.398625429553199</v>
      </c>
      <c r="D38">
        <v>29.6391752577319</v>
      </c>
      <c r="E38">
        <f>D38-C38</f>
        <v>5.2405498281787004</v>
      </c>
      <c r="F38">
        <v>18.213058419243918</v>
      </c>
      <c r="G38">
        <v>5.6006893515486693</v>
      </c>
    </row>
    <row r="41" spans="1:16">
      <c r="A41" t="s">
        <v>933</v>
      </c>
      <c r="C41" t="s">
        <v>681</v>
      </c>
      <c r="D41" t="s">
        <v>733</v>
      </c>
      <c r="E41" t="s">
        <v>682</v>
      </c>
      <c r="F41" t="s">
        <v>734</v>
      </c>
      <c r="G41" t="s">
        <v>735</v>
      </c>
    </row>
    <row r="42" spans="1:16">
      <c r="B42" t="s">
        <v>623</v>
      </c>
      <c r="C42">
        <v>5.58419243986254</v>
      </c>
      <c r="D42">
        <v>7.8178694158075501</v>
      </c>
      <c r="E42">
        <f>D42-C42</f>
        <v>2.2336769759450101</v>
      </c>
      <c r="F42">
        <f>C43-C42</f>
        <v>2.31958762886598</v>
      </c>
      <c r="G42">
        <f>SQRT(E42^2 +E43^2)</f>
        <v>3.5421869635890424</v>
      </c>
    </row>
    <row r="43" spans="1:16">
      <c r="B43" t="s">
        <v>624</v>
      </c>
      <c r="C43">
        <v>7.90378006872852</v>
      </c>
      <c r="D43">
        <v>10.6529209621993</v>
      </c>
      <c r="E43">
        <f>D43-C43</f>
        <v>2.7491408934707797</v>
      </c>
      <c r="F43">
        <v>2.31958762886598</v>
      </c>
      <c r="G43">
        <v>3.5421869635890424</v>
      </c>
    </row>
    <row r="45" spans="1:16">
      <c r="A45" s="10" t="s">
        <v>943</v>
      </c>
      <c r="J45" t="s">
        <v>965</v>
      </c>
    </row>
    <row r="46" spans="1:16">
      <c r="A46" t="s">
        <v>350</v>
      </c>
      <c r="B46" t="s">
        <v>966</v>
      </c>
      <c r="J46" t="s">
        <v>350</v>
      </c>
    </row>
    <row r="47" spans="1:16">
      <c r="A47" t="s">
        <v>799</v>
      </c>
      <c r="C47" t="s">
        <v>681</v>
      </c>
      <c r="D47" t="s">
        <v>733</v>
      </c>
      <c r="E47" t="s">
        <v>682</v>
      </c>
      <c r="F47" t="s">
        <v>734</v>
      </c>
      <c r="G47" t="s">
        <v>735</v>
      </c>
      <c r="J47" t="s">
        <v>799</v>
      </c>
      <c r="L47" t="s">
        <v>681</v>
      </c>
      <c r="M47" t="s">
        <v>733</v>
      </c>
      <c r="N47" t="s">
        <v>682</v>
      </c>
      <c r="O47" t="s">
        <v>734</v>
      </c>
      <c r="P47" t="s">
        <v>735</v>
      </c>
    </row>
    <row r="48" spans="1:16">
      <c r="B48" t="s">
        <v>623</v>
      </c>
      <c r="C48">
        <v>1.1305147058823499</v>
      </c>
      <c r="D48">
        <v>1.23161764705882</v>
      </c>
      <c r="E48">
        <f>D48-C48</f>
        <v>0.10110294117647012</v>
      </c>
      <c r="F48">
        <f>C49-C48</f>
        <v>1.2057684799583501</v>
      </c>
      <c r="G48">
        <f>SQRT(E48^2 +E49^2)</f>
        <v>0.25944787132001085</v>
      </c>
      <c r="K48" t="s">
        <v>623</v>
      </c>
      <c r="L48">
        <v>0.92920353982300796</v>
      </c>
      <c r="M48">
        <v>1.0088495575221199</v>
      </c>
      <c r="N48">
        <f>M48-L48</f>
        <v>7.9646017699111948E-2</v>
      </c>
      <c r="O48">
        <f>L49-L48</f>
        <v>-0.31587020648967501</v>
      </c>
      <c r="P48">
        <f>SQRT(N48^2 +N49^2)</f>
        <v>0.22771604960221456</v>
      </c>
    </row>
    <row r="49" spans="1:16">
      <c r="B49" t="s">
        <v>624</v>
      </c>
      <c r="C49">
        <v>2.3362831858407</v>
      </c>
      <c r="D49">
        <v>2.5752212389380502</v>
      </c>
      <c r="E49">
        <f>D49-C49</f>
        <v>0.23893805309735017</v>
      </c>
      <c r="F49">
        <v>1.2057684799583501</v>
      </c>
      <c r="G49">
        <v>0.25944787132001085</v>
      </c>
      <c r="K49" t="s">
        <v>624</v>
      </c>
      <c r="L49">
        <v>0.61333333333333295</v>
      </c>
      <c r="M49">
        <v>0.82666666666666599</v>
      </c>
      <c r="N49">
        <f>M49-L49</f>
        <v>0.21333333333333304</v>
      </c>
      <c r="O49">
        <v>-0.31587020648967501</v>
      </c>
      <c r="P49">
        <v>0.22771604960221456</v>
      </c>
    </row>
    <row r="52" spans="1:16">
      <c r="A52" t="s">
        <v>942</v>
      </c>
      <c r="C52" t="s">
        <v>681</v>
      </c>
      <c r="D52" t="s">
        <v>733</v>
      </c>
      <c r="E52" t="s">
        <v>682</v>
      </c>
      <c r="F52" t="s">
        <v>734</v>
      </c>
      <c r="G52" t="s">
        <v>735</v>
      </c>
      <c r="J52" t="s">
        <v>942</v>
      </c>
      <c r="L52" t="s">
        <v>681</v>
      </c>
      <c r="M52" t="s">
        <v>733</v>
      </c>
      <c r="N52" t="s">
        <v>682</v>
      </c>
      <c r="O52" t="s">
        <v>734</v>
      </c>
      <c r="P52" t="s">
        <v>735</v>
      </c>
    </row>
    <row r="53" spans="1:16">
      <c r="B53" t="s">
        <v>623</v>
      </c>
      <c r="C53">
        <v>0.97426470588235203</v>
      </c>
      <c r="D53">
        <v>1.11213235294117</v>
      </c>
      <c r="E53">
        <f>D53-C53</f>
        <v>0.13786764705881793</v>
      </c>
      <c r="F53">
        <f>C54-C53</f>
        <v>0.45936361270171788</v>
      </c>
      <c r="G53">
        <f>SQRT(E53^2 +E54^2)</f>
        <v>0.210669031057832</v>
      </c>
      <c r="K53" t="s">
        <v>623</v>
      </c>
      <c r="L53">
        <v>0.95575221238938002</v>
      </c>
      <c r="M53">
        <v>1.06194690265486</v>
      </c>
      <c r="N53">
        <f>M53-L53</f>
        <v>0.10619469026548001</v>
      </c>
      <c r="O53">
        <f>L54-L53</f>
        <v>-0.849085545722714</v>
      </c>
      <c r="P53">
        <f>SQRT(N53^2 +N54^2)</f>
        <v>0.13295605379440695</v>
      </c>
    </row>
    <row r="54" spans="1:16">
      <c r="B54" t="s">
        <v>624</v>
      </c>
      <c r="C54">
        <v>1.4336283185840699</v>
      </c>
      <c r="D54">
        <v>1.5929203539823</v>
      </c>
      <c r="E54">
        <f>D54-C54</f>
        <v>0.15929203539823011</v>
      </c>
      <c r="F54">
        <v>0.45936361270171788</v>
      </c>
      <c r="G54">
        <v>0.210669031057832</v>
      </c>
      <c r="K54" t="s">
        <v>624</v>
      </c>
      <c r="L54">
        <v>0.10666666666666599</v>
      </c>
      <c r="M54">
        <v>0.18666666666666601</v>
      </c>
      <c r="N54">
        <f>M54-L54</f>
        <v>8.0000000000000016E-2</v>
      </c>
      <c r="O54">
        <v>-0.849085545722714</v>
      </c>
      <c r="P54">
        <v>0.13295605379440695</v>
      </c>
    </row>
    <row r="56" spans="1:16">
      <c r="A56" t="s">
        <v>948</v>
      </c>
      <c r="J56" t="s">
        <v>948</v>
      </c>
    </row>
    <row r="57" spans="1:16">
      <c r="A57" t="s">
        <v>799</v>
      </c>
      <c r="C57" t="s">
        <v>681</v>
      </c>
      <c r="D57" t="s">
        <v>733</v>
      </c>
      <c r="E57" t="s">
        <v>682</v>
      </c>
      <c r="F57" t="s">
        <v>734</v>
      </c>
      <c r="G57" t="s">
        <v>735</v>
      </c>
      <c r="J57" t="s">
        <v>799</v>
      </c>
      <c r="L57" t="s">
        <v>681</v>
      </c>
      <c r="M57" t="s">
        <v>733</v>
      </c>
      <c r="N57" t="s">
        <v>682</v>
      </c>
      <c r="O57" t="s">
        <v>734</v>
      </c>
      <c r="P57" t="s">
        <v>735</v>
      </c>
    </row>
    <row r="58" spans="1:16">
      <c r="B58" t="s">
        <v>623</v>
      </c>
      <c r="C58">
        <v>1.76086956521739</v>
      </c>
      <c r="D58">
        <v>2</v>
      </c>
      <c r="E58">
        <f>D58-C58</f>
        <v>0.23913043478260998</v>
      </c>
      <c r="F58">
        <f>C59-C58</f>
        <v>1.98913043478261</v>
      </c>
      <c r="G58">
        <f>SQRT(E58^2 +E59^2)</f>
        <v>0.45571246675307958</v>
      </c>
      <c r="K58" t="s">
        <v>623</v>
      </c>
      <c r="L58">
        <v>1.55172413793103</v>
      </c>
      <c r="M58">
        <v>1.8103448275862</v>
      </c>
      <c r="N58">
        <f>M58-L58</f>
        <v>0.25862068965516993</v>
      </c>
      <c r="O58">
        <f>L59-L58</f>
        <v>-0.17241379310344995</v>
      </c>
      <c r="P58">
        <f>SQRT(N58^2 +N59^2)</f>
        <v>0.57829344245684555</v>
      </c>
    </row>
    <row r="59" spans="1:16">
      <c r="B59" t="s">
        <v>624</v>
      </c>
      <c r="C59">
        <v>3.75</v>
      </c>
      <c r="D59">
        <v>4.13793103448275</v>
      </c>
      <c r="E59">
        <f>D59-C59</f>
        <v>0.38793103448275001</v>
      </c>
      <c r="F59">
        <v>1.98913043478261</v>
      </c>
      <c r="G59">
        <v>0.45571246675307958</v>
      </c>
      <c r="K59" t="s">
        <v>624</v>
      </c>
      <c r="L59">
        <v>1.3793103448275801</v>
      </c>
      <c r="M59">
        <v>1.8965517241379299</v>
      </c>
      <c r="N59">
        <f>M59-L59</f>
        <v>0.51724137931034986</v>
      </c>
      <c r="O59">
        <v>-0.17241379310344995</v>
      </c>
      <c r="P59">
        <v>0.57829344245684555</v>
      </c>
    </row>
    <row r="62" spans="1:16">
      <c r="A62" t="s">
        <v>942</v>
      </c>
      <c r="C62" t="s">
        <v>681</v>
      </c>
      <c r="D62" t="s">
        <v>733</v>
      </c>
      <c r="E62" t="s">
        <v>682</v>
      </c>
      <c r="F62" t="s">
        <v>734</v>
      </c>
      <c r="G62" t="s">
        <v>735</v>
      </c>
      <c r="J62" t="s">
        <v>942</v>
      </c>
      <c r="L62" t="s">
        <v>681</v>
      </c>
      <c r="M62" t="s">
        <v>733</v>
      </c>
      <c r="N62" t="s">
        <v>682</v>
      </c>
      <c r="O62" t="s">
        <v>734</v>
      </c>
      <c r="P62" t="s">
        <v>735</v>
      </c>
    </row>
    <row r="63" spans="1:16">
      <c r="B63" t="s">
        <v>623</v>
      </c>
      <c r="C63">
        <v>1.4347826086956501</v>
      </c>
      <c r="D63">
        <v>1.60869565217391</v>
      </c>
      <c r="E63">
        <f>D63-C63</f>
        <v>0.17391304347825987</v>
      </c>
      <c r="F63">
        <f>C64-C63</f>
        <v>1.1083208395802098</v>
      </c>
      <c r="G63">
        <f>SQRT(E63^2 +E64^2)</f>
        <v>0.42513084363138792</v>
      </c>
      <c r="K63" t="s">
        <v>623</v>
      </c>
      <c r="L63">
        <v>1.16379310344827</v>
      </c>
      <c r="M63">
        <v>1.42241379310344</v>
      </c>
      <c r="N63">
        <f>M63-L63</f>
        <v>0.25862068965516993</v>
      </c>
      <c r="O63">
        <f>L64-L63</f>
        <v>-0.99137931034482207</v>
      </c>
      <c r="P63">
        <f>SQRT(N63^2 +N64^2)</f>
        <v>0.28914672122841878</v>
      </c>
    </row>
    <row r="64" spans="1:16">
      <c r="B64" t="s">
        <v>624</v>
      </c>
      <c r="C64">
        <v>2.5431034482758599</v>
      </c>
      <c r="D64">
        <v>2.9310344827586201</v>
      </c>
      <c r="E64">
        <f>D64-C64</f>
        <v>0.38793103448276023</v>
      </c>
      <c r="F64">
        <v>1.1083208395802098</v>
      </c>
      <c r="G64">
        <v>0.42513084363138792</v>
      </c>
      <c r="K64" t="s">
        <v>624</v>
      </c>
      <c r="L64">
        <v>0.17241379310344801</v>
      </c>
      <c r="M64">
        <v>0.30172413793103398</v>
      </c>
      <c r="N64">
        <f>M64-L64</f>
        <v>0.12931034482758597</v>
      </c>
      <c r="O64">
        <v>-0.99137931034482207</v>
      </c>
      <c r="P64">
        <v>0.28914672122841878</v>
      </c>
    </row>
    <row r="66" spans="1:16">
      <c r="A66" t="s">
        <v>941</v>
      </c>
      <c r="J66" t="s">
        <v>941</v>
      </c>
    </row>
    <row r="67" spans="1:16">
      <c r="A67" t="s">
        <v>799</v>
      </c>
      <c r="C67" t="s">
        <v>681</v>
      </c>
      <c r="D67" t="s">
        <v>733</v>
      </c>
      <c r="E67" t="s">
        <v>682</v>
      </c>
      <c r="F67" t="s">
        <v>734</v>
      </c>
      <c r="G67" t="s">
        <v>735</v>
      </c>
      <c r="J67" t="s">
        <v>799</v>
      </c>
      <c r="L67" t="s">
        <v>681</v>
      </c>
      <c r="M67" t="s">
        <v>733</v>
      </c>
      <c r="N67" t="s">
        <v>682</v>
      </c>
      <c r="O67" t="s">
        <v>734</v>
      </c>
      <c r="P67" t="s">
        <v>735</v>
      </c>
    </row>
    <row r="68" spans="1:16">
      <c r="B68" t="s">
        <v>623</v>
      </c>
      <c r="C68">
        <v>0.64521739130434697</v>
      </c>
      <c r="D68">
        <v>0.713043478260869</v>
      </c>
      <c r="E68">
        <f>D68-C68</f>
        <v>6.7826086956522036E-2</v>
      </c>
      <c r="F68">
        <f>C69-C68</f>
        <v>-4.1769115442278015E-2</v>
      </c>
      <c r="G68">
        <f>SQRT(E68^2 +E69^2)</f>
        <v>0.20955594849830667</v>
      </c>
      <c r="K68" t="s">
        <v>623</v>
      </c>
      <c r="L68">
        <v>0.55130434782608595</v>
      </c>
      <c r="M68">
        <v>0.58782608695652105</v>
      </c>
      <c r="N68">
        <f>M68-L68</f>
        <v>3.6521739130435105E-2</v>
      </c>
      <c r="O68">
        <f>L69-L68</f>
        <v>-0.42086956521739094</v>
      </c>
      <c r="P68">
        <f>SQRT(N68^2 +N69^2)</f>
        <v>7.8569439986619097E-2</v>
      </c>
    </row>
    <row r="69" spans="1:16">
      <c r="B69" t="s">
        <v>624</v>
      </c>
      <c r="C69">
        <v>0.60344827586206895</v>
      </c>
      <c r="D69">
        <v>0.80172413793103403</v>
      </c>
      <c r="E69">
        <f>D69-C69</f>
        <v>0.19827586206896508</v>
      </c>
      <c r="F69">
        <v>-4.1769115442278015E-2</v>
      </c>
      <c r="G69">
        <v>0.20955594849830667</v>
      </c>
      <c r="K69" t="s">
        <v>624</v>
      </c>
      <c r="L69">
        <v>0.13043478260869501</v>
      </c>
      <c r="M69">
        <v>0.19999999999999901</v>
      </c>
      <c r="N69">
        <f>M69-L69</f>
        <v>6.9565217391304002E-2</v>
      </c>
      <c r="O69">
        <v>-0.42086956521739094</v>
      </c>
      <c r="P69">
        <v>7.8569439986619097E-2</v>
      </c>
    </row>
    <row r="72" spans="1:16">
      <c r="A72" t="s">
        <v>942</v>
      </c>
      <c r="C72" t="s">
        <v>681</v>
      </c>
      <c r="D72" t="s">
        <v>733</v>
      </c>
      <c r="E72" t="s">
        <v>682</v>
      </c>
      <c r="F72" t="s">
        <v>734</v>
      </c>
      <c r="G72" t="s">
        <v>735</v>
      </c>
      <c r="J72" t="s">
        <v>942</v>
      </c>
      <c r="L72" t="s">
        <v>681</v>
      </c>
      <c r="M72" t="s">
        <v>733</v>
      </c>
      <c r="N72" t="s">
        <v>682</v>
      </c>
      <c r="O72" t="s">
        <v>734</v>
      </c>
      <c r="P72" t="s">
        <v>735</v>
      </c>
    </row>
    <row r="73" spans="1:16">
      <c r="B73" t="s">
        <v>623</v>
      </c>
      <c r="C73">
        <v>0.629565217391304</v>
      </c>
      <c r="D73">
        <v>0.68173913043478196</v>
      </c>
      <c r="E73">
        <f>D73-C73</f>
        <v>5.217391304347796E-2</v>
      </c>
      <c r="F73">
        <f>C74-C73</f>
        <v>-0.11232383808096003</v>
      </c>
      <c r="G73">
        <f>SQRT(E73^2 +E74^2)</f>
        <v>0.18013504171755976</v>
      </c>
      <c r="K73" t="s">
        <v>623</v>
      </c>
      <c r="L73">
        <v>0.73913043478260798</v>
      </c>
      <c r="M73">
        <v>0.86434782608695604</v>
      </c>
      <c r="N73">
        <f>M73-L73</f>
        <v>0.12521739130434806</v>
      </c>
      <c r="O73">
        <f>L74-L73</f>
        <v>-0.73043478260869532</v>
      </c>
      <c r="P73">
        <f>SQRT(N73^2 +N74^2)</f>
        <v>0.12790592005702212</v>
      </c>
    </row>
    <row r="74" spans="1:16">
      <c r="B74" t="s">
        <v>624</v>
      </c>
      <c r="C74">
        <v>0.51724137931034397</v>
      </c>
      <c r="D74">
        <v>0.68965517241379204</v>
      </c>
      <c r="E74">
        <f>D74-C74</f>
        <v>0.17241379310344807</v>
      </c>
      <c r="F74">
        <v>-0.11232383808096003</v>
      </c>
      <c r="G74">
        <v>0.18013504171755976</v>
      </c>
      <c r="K74" t="s">
        <v>624</v>
      </c>
      <c r="L74">
        <v>8.6956521739127001E-3</v>
      </c>
      <c r="M74">
        <v>3.4782608695652001E-2</v>
      </c>
      <c r="N74">
        <f>M74-L74</f>
        <v>2.6086956521739299E-2</v>
      </c>
      <c r="O74">
        <v>-0.73043478260869532</v>
      </c>
      <c r="P74">
        <v>0.12790592005702212</v>
      </c>
    </row>
    <row r="76" spans="1:16">
      <c r="A76" t="s">
        <v>957</v>
      </c>
      <c r="J76" t="s">
        <v>957</v>
      </c>
    </row>
    <row r="77" spans="1:16">
      <c r="A77" t="s">
        <v>799</v>
      </c>
      <c r="C77" t="s">
        <v>681</v>
      </c>
      <c r="D77" t="s">
        <v>733</v>
      </c>
      <c r="E77" t="s">
        <v>682</v>
      </c>
      <c r="F77" t="s">
        <v>734</v>
      </c>
      <c r="G77" t="s">
        <v>735</v>
      </c>
      <c r="J77" t="s">
        <v>799</v>
      </c>
      <c r="L77" t="s">
        <v>681</v>
      </c>
      <c r="M77" t="s">
        <v>733</v>
      </c>
      <c r="N77" t="s">
        <v>682</v>
      </c>
      <c r="O77" t="s">
        <v>734</v>
      </c>
      <c r="P77" t="s">
        <v>735</v>
      </c>
    </row>
    <row r="78" spans="1:16">
      <c r="B78" t="s">
        <v>623</v>
      </c>
      <c r="C78">
        <v>0.65789473684210498</v>
      </c>
      <c r="D78">
        <v>0.71052631578947401</v>
      </c>
      <c r="E78">
        <f>D78-C78</f>
        <v>5.2631578947369029E-2</v>
      </c>
      <c r="F78">
        <f>C79-C78</f>
        <v>0.39473684210525495</v>
      </c>
      <c r="G78">
        <f>SQRT(E78^2 +E79^2)</f>
        <v>0.10608233879340685</v>
      </c>
      <c r="K78" t="s">
        <v>623</v>
      </c>
      <c r="L78">
        <v>0.73684210526315697</v>
      </c>
      <c r="M78">
        <v>0.789473684210525</v>
      </c>
      <c r="N78">
        <f>M78-L78</f>
        <v>5.263157894736803E-2</v>
      </c>
      <c r="O78">
        <f>L79-L78</f>
        <v>-5.2631578947367919E-2</v>
      </c>
      <c r="P78">
        <f>SQRT(N78^2 +N79^2)</f>
        <v>0.12959023423415916</v>
      </c>
    </row>
    <row r="79" spans="1:16">
      <c r="B79" t="s">
        <v>624</v>
      </c>
      <c r="C79">
        <v>1.0526315789473599</v>
      </c>
      <c r="D79">
        <v>1.1447368421052599</v>
      </c>
      <c r="E79">
        <f>D79-C79</f>
        <v>9.2105263157900019E-2</v>
      </c>
      <c r="F79">
        <v>0.39473684210525495</v>
      </c>
      <c r="G79">
        <v>0.10608233879340685</v>
      </c>
      <c r="K79" t="s">
        <v>624</v>
      </c>
      <c r="L79">
        <v>0.68421052631578905</v>
      </c>
      <c r="M79">
        <v>0.80263157894736803</v>
      </c>
      <c r="N79">
        <f>M79-L79</f>
        <v>0.11842105263157898</v>
      </c>
      <c r="O79">
        <v>-5.2631578947367919E-2</v>
      </c>
      <c r="P79">
        <v>0.12959023423415916</v>
      </c>
    </row>
    <row r="82" spans="1:16">
      <c r="A82" t="s">
        <v>942</v>
      </c>
      <c r="C82" t="s">
        <v>681</v>
      </c>
      <c r="D82" t="s">
        <v>733</v>
      </c>
      <c r="E82" t="s">
        <v>682</v>
      </c>
      <c r="F82" t="s">
        <v>734</v>
      </c>
      <c r="G82" t="s">
        <v>735</v>
      </c>
      <c r="J82" t="s">
        <v>942</v>
      </c>
      <c r="L82" t="s">
        <v>681</v>
      </c>
      <c r="M82" t="s">
        <v>733</v>
      </c>
      <c r="N82" t="s">
        <v>682</v>
      </c>
      <c r="O82" t="s">
        <v>734</v>
      </c>
      <c r="P82" t="s">
        <v>735</v>
      </c>
    </row>
    <row r="83" spans="1:16">
      <c r="B83" t="s">
        <v>623</v>
      </c>
      <c r="C83">
        <v>0.82894736842105099</v>
      </c>
      <c r="D83">
        <v>0.92105263157894601</v>
      </c>
      <c r="E83">
        <f>D83-C83</f>
        <v>9.2105263157895023E-2</v>
      </c>
      <c r="F83">
        <f>C84-C83</f>
        <v>0.26315789473683904</v>
      </c>
      <c r="G83">
        <f>SQRT(E83^2 +E84^2)</f>
        <v>0.17155795803164609</v>
      </c>
      <c r="K83" t="s">
        <v>623</v>
      </c>
      <c r="L83">
        <v>0.90789473684210498</v>
      </c>
      <c r="M83">
        <v>1.1184210526315701</v>
      </c>
      <c r="N83">
        <f>M83-L83</f>
        <v>0.21052631578946512</v>
      </c>
      <c r="O83">
        <f>L84-L83</f>
        <v>-0.68421052631578994</v>
      </c>
      <c r="P83">
        <f>SQRT(N83^2 +N84^2)</f>
        <v>0.22979275258647885</v>
      </c>
    </row>
    <row r="84" spans="1:16">
      <c r="B84" t="s">
        <v>624</v>
      </c>
      <c r="C84">
        <v>1.09210526315789</v>
      </c>
      <c r="D84">
        <v>1.23684210526315</v>
      </c>
      <c r="E84">
        <f>D84-C84</f>
        <v>0.14473684210525994</v>
      </c>
      <c r="F84">
        <v>0.26315789473683904</v>
      </c>
      <c r="G84">
        <v>0.17155795803164609</v>
      </c>
      <c r="K84" t="s">
        <v>624</v>
      </c>
      <c r="L84">
        <v>0.22368421052631501</v>
      </c>
      <c r="M84">
        <v>0.31578947368421001</v>
      </c>
      <c r="N84">
        <f>M84-L84</f>
        <v>9.2105263157894995E-2</v>
      </c>
      <c r="O84">
        <v>-0.68421052631578994</v>
      </c>
      <c r="P84">
        <v>0.22979275258647885</v>
      </c>
    </row>
    <row r="86" spans="1:16">
      <c r="A86" s="10" t="s">
        <v>960</v>
      </c>
    </row>
    <row r="87" spans="1:16">
      <c r="A87" t="s">
        <v>755</v>
      </c>
    </row>
    <row r="88" spans="1:16">
      <c r="A88" t="s">
        <v>745</v>
      </c>
      <c r="C88" t="s">
        <v>681</v>
      </c>
      <c r="D88" t="s">
        <v>733</v>
      </c>
      <c r="E88" t="s">
        <v>682</v>
      </c>
      <c r="F88" t="s">
        <v>734</v>
      </c>
      <c r="G88" t="s">
        <v>735</v>
      </c>
    </row>
    <row r="89" spans="1:16">
      <c r="B89" t="s">
        <v>623</v>
      </c>
      <c r="C89">
        <v>3.4415584415584402</v>
      </c>
      <c r="D89">
        <v>3.5194805194805099</v>
      </c>
      <c r="E89">
        <f>D89-C89</f>
        <v>7.7922077922069732E-2</v>
      </c>
      <c r="F89">
        <f>C90-C89</f>
        <v>-0.45779220779221008</v>
      </c>
      <c r="G89">
        <f>SQRT(E89^2 +E90^2)</f>
        <v>0.11728825888433668</v>
      </c>
    </row>
    <row r="90" spans="1:16">
      <c r="B90" t="s">
        <v>624</v>
      </c>
      <c r="C90">
        <v>2.9837662337662301</v>
      </c>
      <c r="D90">
        <v>3.0714285714285698</v>
      </c>
      <c r="E90">
        <f>D90-C90</f>
        <v>8.7662337662339773E-2</v>
      </c>
      <c r="F90">
        <v>-0.45779220779221008</v>
      </c>
      <c r="G90">
        <v>0.11728825888433668</v>
      </c>
    </row>
    <row r="93" spans="1:16">
      <c r="A93" t="s">
        <v>933</v>
      </c>
      <c r="C93" t="s">
        <v>681</v>
      </c>
      <c r="D93" t="s">
        <v>733</v>
      </c>
      <c r="E93" t="s">
        <v>682</v>
      </c>
      <c r="F93" t="s">
        <v>734</v>
      </c>
      <c r="G93" t="s">
        <v>735</v>
      </c>
    </row>
    <row r="94" spans="1:16">
      <c r="B94" t="s">
        <v>623</v>
      </c>
      <c r="C94">
        <v>4.12337662337662</v>
      </c>
      <c r="D94">
        <v>4.43506493506493</v>
      </c>
      <c r="E94">
        <f>D94-C94</f>
        <v>0.31168831168831002</v>
      </c>
      <c r="F94">
        <f>C95-C94</f>
        <v>-1.4025974025974</v>
      </c>
      <c r="G94">
        <f>SQRT(E94^2 +E95^2)</f>
        <v>0.32655301196571451</v>
      </c>
    </row>
    <row r="95" spans="1:16">
      <c r="B95" t="s">
        <v>624</v>
      </c>
      <c r="C95">
        <v>2.7207792207792201</v>
      </c>
      <c r="D95">
        <v>2.8181818181818099</v>
      </c>
      <c r="E95">
        <f>D95-C95</f>
        <v>9.740259740258983E-2</v>
      </c>
      <c r="F95">
        <v>-1.4025974025974</v>
      </c>
      <c r="G95">
        <v>0.32655301196571451</v>
      </c>
    </row>
    <row r="97" spans="1:7">
      <c r="A97" t="s">
        <v>829</v>
      </c>
    </row>
    <row r="98" spans="1:7">
      <c r="A98" t="s">
        <v>745</v>
      </c>
      <c r="C98" t="s">
        <v>681</v>
      </c>
      <c r="D98" t="s">
        <v>733</v>
      </c>
      <c r="E98" t="s">
        <v>682</v>
      </c>
      <c r="F98" t="s">
        <v>734</v>
      </c>
      <c r="G98" t="s">
        <v>735</v>
      </c>
    </row>
    <row r="99" spans="1:7">
      <c r="B99" t="s">
        <v>623</v>
      </c>
      <c r="C99">
        <v>6.7302158273381298</v>
      </c>
      <c r="D99">
        <v>6.8093525179856096</v>
      </c>
      <c r="E99">
        <f>D99-C99</f>
        <v>7.9136690647479746E-2</v>
      </c>
      <c r="F99">
        <f>C100-C99</f>
        <v>0.82014388489208034</v>
      </c>
      <c r="G99">
        <f>SQRT(E99^2 +E100^2)</f>
        <v>0.11191618119498993</v>
      </c>
    </row>
    <row r="100" spans="1:7">
      <c r="B100" t="s">
        <v>624</v>
      </c>
      <c r="C100">
        <v>7.5503597122302102</v>
      </c>
      <c r="D100">
        <v>7.6294964028776899</v>
      </c>
      <c r="E100">
        <f>D100-C100</f>
        <v>7.9136690647479746E-2</v>
      </c>
      <c r="F100">
        <v>0.82014388489208034</v>
      </c>
      <c r="G100">
        <v>0.11191618119498993</v>
      </c>
    </row>
    <row r="103" spans="1:7">
      <c r="A103" t="s">
        <v>933</v>
      </c>
      <c r="C103" t="s">
        <v>681</v>
      </c>
      <c r="D103" t="s">
        <v>733</v>
      </c>
      <c r="E103" t="s">
        <v>682</v>
      </c>
      <c r="F103" t="s">
        <v>734</v>
      </c>
      <c r="G103" t="s">
        <v>735</v>
      </c>
    </row>
    <row r="104" spans="1:7">
      <c r="B104" t="s">
        <v>623</v>
      </c>
      <c r="C104">
        <v>6.7661870503597097</v>
      </c>
      <c r="D104">
        <v>6.8237410071942399</v>
      </c>
      <c r="E104">
        <f>D104-C104</f>
        <v>5.755395683453024E-2</v>
      </c>
      <c r="F104">
        <f>C105-C104</f>
        <v>0.53956834532374032</v>
      </c>
      <c r="G104">
        <f>SQRT(E104^2 +E105^2)</f>
        <v>9.7852305818237506E-2</v>
      </c>
    </row>
    <row r="105" spans="1:7">
      <c r="B105" t="s">
        <v>624</v>
      </c>
      <c r="C105">
        <v>7.30575539568345</v>
      </c>
      <c r="D105">
        <v>7.3848920863309298</v>
      </c>
      <c r="E105">
        <f>D105-C105</f>
        <v>7.9136690647479746E-2</v>
      </c>
      <c r="F105">
        <v>0.53956834532374032</v>
      </c>
      <c r="G105">
        <v>9.7852305818237506E-2</v>
      </c>
    </row>
    <row r="107" spans="1:7">
      <c r="A107" s="7" t="s">
        <v>830</v>
      </c>
      <c r="B107" s="7"/>
      <c r="C107" s="7"/>
      <c r="D107" s="7"/>
      <c r="E107" s="7"/>
      <c r="F107" s="7"/>
      <c r="G107" s="7"/>
    </row>
    <row r="108" spans="1:7">
      <c r="A108" s="7" t="s">
        <v>745</v>
      </c>
      <c r="B108" s="7"/>
      <c r="C108" s="7" t="s">
        <v>681</v>
      </c>
      <c r="D108" s="7" t="s">
        <v>733</v>
      </c>
      <c r="E108" s="7" t="s">
        <v>682</v>
      </c>
      <c r="F108" s="7" t="s">
        <v>734</v>
      </c>
      <c r="G108" s="7" t="s">
        <v>735</v>
      </c>
    </row>
    <row r="109" spans="1:7">
      <c r="A109" s="7"/>
      <c r="B109" s="7" t="s">
        <v>623</v>
      </c>
      <c r="C109" s="7">
        <v>113.587786259542</v>
      </c>
      <c r="D109" s="7">
        <v>119.083969465648</v>
      </c>
      <c r="E109">
        <f>D109-C109</f>
        <v>5.4961832061059965</v>
      </c>
      <c r="F109">
        <f>C110-C109</f>
        <v>122.748091603053</v>
      </c>
      <c r="G109">
        <f>SQRT(E109^2 +E110^2)</f>
        <v>11.477829697228936</v>
      </c>
    </row>
    <row r="110" spans="1:7">
      <c r="A110" s="7"/>
      <c r="B110" s="7" t="s">
        <v>624</v>
      </c>
      <c r="C110" s="7">
        <v>236.335877862595</v>
      </c>
      <c r="D110" s="7">
        <v>246.41221374045799</v>
      </c>
      <c r="E110">
        <f>D110-C110</f>
        <v>10.076335877862988</v>
      </c>
      <c r="F110" s="7">
        <v>122.748091603053</v>
      </c>
      <c r="G110" s="7">
        <v>11.477829697228936</v>
      </c>
    </row>
    <row r="111" spans="1:7">
      <c r="A111" s="7"/>
      <c r="B111" s="7"/>
      <c r="C111" s="7"/>
      <c r="D111" s="7"/>
      <c r="E111" s="7"/>
      <c r="F111" s="7"/>
      <c r="G111" s="7"/>
    </row>
    <row r="112" spans="1:7">
      <c r="A112" s="7"/>
      <c r="B112" s="7"/>
      <c r="C112" s="7"/>
      <c r="D112" s="7"/>
      <c r="E112" s="7"/>
      <c r="F112" s="7"/>
      <c r="G112" s="7"/>
    </row>
    <row r="113" spans="1:7">
      <c r="A113" s="7" t="s">
        <v>933</v>
      </c>
      <c r="B113" s="7"/>
      <c r="C113" s="7" t="s">
        <v>681</v>
      </c>
      <c r="D113" s="7" t="s">
        <v>733</v>
      </c>
      <c r="E113" s="7" t="s">
        <v>682</v>
      </c>
      <c r="F113" s="7" t="s">
        <v>734</v>
      </c>
      <c r="G113" s="7" t="s">
        <v>735</v>
      </c>
    </row>
    <row r="114" spans="1:7">
      <c r="A114" s="7"/>
      <c r="B114" s="7" t="s">
        <v>623</v>
      </c>
      <c r="C114" s="7">
        <v>105.343511450381</v>
      </c>
      <c r="D114" s="7">
        <v>109.923664122137</v>
      </c>
      <c r="E114">
        <f>D114-C114</f>
        <v>4.5801526717559966</v>
      </c>
      <c r="F114">
        <f>C115-C114</f>
        <v>89.770992366411988</v>
      </c>
      <c r="G114">
        <f>SQRT(E114^2 +E115^2)</f>
        <v>9.431111579530814</v>
      </c>
    </row>
    <row r="115" spans="1:7">
      <c r="A115" s="7"/>
      <c r="B115" s="7" t="s">
        <v>624</v>
      </c>
      <c r="C115" s="7">
        <v>195.11450381679299</v>
      </c>
      <c r="D115" s="7">
        <v>203.35877862595399</v>
      </c>
      <c r="E115">
        <f>D115-C115</f>
        <v>8.2442748091609985</v>
      </c>
      <c r="F115" s="7">
        <v>89.770992366411988</v>
      </c>
      <c r="G115" s="7">
        <v>9.431111579530814</v>
      </c>
    </row>
    <row r="118" spans="1:7">
      <c r="A118" s="10" t="s">
        <v>970</v>
      </c>
    </row>
    <row r="120" spans="1:7">
      <c r="A120" s="7" t="s">
        <v>799</v>
      </c>
      <c r="B120" s="7"/>
      <c r="C120" s="7" t="s">
        <v>681</v>
      </c>
      <c r="D120" s="7" t="s">
        <v>733</v>
      </c>
      <c r="E120" s="7" t="s">
        <v>682</v>
      </c>
      <c r="F120" s="7" t="s">
        <v>734</v>
      </c>
      <c r="G120" s="7" t="s">
        <v>735</v>
      </c>
    </row>
    <row r="121" spans="1:7">
      <c r="A121" s="7"/>
      <c r="B121" s="7" t="s">
        <v>623</v>
      </c>
      <c r="C121" s="7">
        <v>2.2756264236902002</v>
      </c>
      <c r="D121" s="7">
        <v>3.1412300683371299</v>
      </c>
      <c r="E121">
        <f>D121-C121</f>
        <v>0.86560364464692974</v>
      </c>
      <c r="F121">
        <f>C122-C121</f>
        <v>1.0205011389521599</v>
      </c>
      <c r="G121">
        <f>SQRT(E121^2 +E122^2)</f>
        <v>1.4088870494564949</v>
      </c>
    </row>
    <row r="122" spans="1:7">
      <c r="A122" s="7"/>
      <c r="B122" s="7" t="s">
        <v>624</v>
      </c>
      <c r="C122" s="7">
        <v>3.2961275626423601</v>
      </c>
      <c r="D122" s="7">
        <v>4.4077448747152603</v>
      </c>
      <c r="E122">
        <f>D122-C122</f>
        <v>1.1116173120729003</v>
      </c>
      <c r="F122" s="7">
        <v>1.0205011389521599</v>
      </c>
      <c r="G122" s="7">
        <v>1.4088870494564949</v>
      </c>
    </row>
    <row r="123" spans="1:7">
      <c r="A123" s="7"/>
      <c r="B123" s="7"/>
      <c r="C123" s="7"/>
      <c r="D123" s="7"/>
      <c r="E123" s="7"/>
      <c r="F123" s="7"/>
      <c r="G123" s="7"/>
    </row>
    <row r="124" spans="1:7">
      <c r="A124" s="7"/>
      <c r="B124" s="7"/>
      <c r="C124" s="7"/>
      <c r="D124" s="7"/>
      <c r="E124" s="7"/>
      <c r="F124" s="7"/>
      <c r="G124" s="7"/>
    </row>
    <row r="125" spans="1:7">
      <c r="A125" s="7" t="s">
        <v>942</v>
      </c>
      <c r="B125" s="7"/>
      <c r="C125" s="7" t="s">
        <v>681</v>
      </c>
      <c r="D125" s="7" t="s">
        <v>733</v>
      </c>
      <c r="E125" s="7" t="s">
        <v>682</v>
      </c>
      <c r="F125" s="7" t="s">
        <v>734</v>
      </c>
      <c r="G125" s="7" t="s">
        <v>735</v>
      </c>
    </row>
    <row r="126" spans="1:7">
      <c r="A126" s="7"/>
      <c r="B126" s="7" t="s">
        <v>623</v>
      </c>
      <c r="C126" s="7">
        <v>2.2756264236902002</v>
      </c>
      <c r="D126" s="7">
        <v>3.1412300683371299</v>
      </c>
      <c r="E126">
        <f>D126-C126</f>
        <v>0.86560364464692974</v>
      </c>
      <c r="F126">
        <f>C127-C126</f>
        <v>-0.30068337129841027</v>
      </c>
      <c r="G126">
        <f>SQRT(E126^2 +E127^2)</f>
        <v>0.98245039228676834</v>
      </c>
    </row>
    <row r="127" spans="1:7">
      <c r="A127" s="7"/>
      <c r="B127" s="7" t="s">
        <v>624</v>
      </c>
      <c r="C127" s="7">
        <v>1.9749430523917899</v>
      </c>
      <c r="D127" s="7">
        <v>2.4396355353075099</v>
      </c>
      <c r="E127">
        <f>D127-C127</f>
        <v>0.46469248291571996</v>
      </c>
      <c r="F127" s="7">
        <v>-0.30068337129841027</v>
      </c>
      <c r="G127" s="7">
        <v>0.98245039228676834</v>
      </c>
    </row>
    <row r="130" spans="1:7">
      <c r="A130" s="10" t="s">
        <v>1117</v>
      </c>
    </row>
    <row r="132" spans="1:7">
      <c r="A132" s="7" t="s">
        <v>1116</v>
      </c>
      <c r="B132" s="7"/>
      <c r="C132" s="7" t="s">
        <v>681</v>
      </c>
      <c r="D132" s="7" t="s">
        <v>733</v>
      </c>
      <c r="E132" s="7" t="s">
        <v>682</v>
      </c>
      <c r="F132" s="7" t="s">
        <v>734</v>
      </c>
      <c r="G132" s="7" t="s">
        <v>735</v>
      </c>
    </row>
    <row r="133" spans="1:7">
      <c r="A133" s="7"/>
      <c r="B133" s="7" t="s">
        <v>623</v>
      </c>
      <c r="C133" s="7">
        <v>123.630136986301</v>
      </c>
      <c r="D133" s="7">
        <v>125</v>
      </c>
      <c r="E133">
        <f>D133-C133</f>
        <v>1.3698630136990033</v>
      </c>
      <c r="F133">
        <f>C134-C133</f>
        <v>29.109589041096015</v>
      </c>
      <c r="G133">
        <f>SQRT(E133^2 +E134^2)</f>
        <v>1.7123287671236027</v>
      </c>
    </row>
    <row r="134" spans="1:7">
      <c r="A134" s="7"/>
      <c r="B134" s="7" t="s">
        <v>624</v>
      </c>
      <c r="C134" s="7">
        <v>152.73972602739701</v>
      </c>
      <c r="D134" s="7">
        <v>153.76712328767101</v>
      </c>
      <c r="E134">
        <f>D134-C134</f>
        <v>1.0273972602740002</v>
      </c>
      <c r="F134" s="7">
        <v>29.109589041096015</v>
      </c>
      <c r="G134" s="7">
        <v>1.7123287671236027</v>
      </c>
    </row>
    <row r="135" spans="1:7">
      <c r="A135" s="7"/>
      <c r="B135" s="7"/>
      <c r="C135" s="7"/>
      <c r="D135" s="7"/>
      <c r="E135" s="7"/>
      <c r="F135" s="7"/>
      <c r="G135" s="7"/>
    </row>
    <row r="136" spans="1:7">
      <c r="A136" s="7"/>
      <c r="B136" s="7"/>
      <c r="C136" s="7"/>
      <c r="D136" s="7"/>
      <c r="E136" s="7"/>
      <c r="F136" s="7"/>
      <c r="G136" s="7"/>
    </row>
    <row r="137" spans="1:7">
      <c r="A137" s="7" t="s">
        <v>1118</v>
      </c>
      <c r="B137" s="7"/>
      <c r="C137" s="7" t="s">
        <v>681</v>
      </c>
      <c r="D137" s="7" t="s">
        <v>733</v>
      </c>
      <c r="E137" s="7" t="s">
        <v>682</v>
      </c>
      <c r="F137" s="7" t="s">
        <v>734</v>
      </c>
      <c r="G137" s="7" t="s">
        <v>735</v>
      </c>
    </row>
    <row r="138" spans="1:7">
      <c r="A138" s="7"/>
      <c r="B138" s="7" t="s">
        <v>623</v>
      </c>
      <c r="C138" s="7">
        <v>122.945205479452</v>
      </c>
      <c r="D138" s="7">
        <v>124.657534246575</v>
      </c>
      <c r="E138">
        <f>D138-C138</f>
        <v>1.7123287671229974</v>
      </c>
      <c r="F138">
        <f>C139-C138</f>
        <v>30.479452054793995</v>
      </c>
      <c r="G138">
        <f>SQRT(E138^2 +E139^2)</f>
        <v>2.9460018037818907</v>
      </c>
    </row>
    <row r="139" spans="1:7">
      <c r="A139" s="7"/>
      <c r="B139" s="7" t="s">
        <v>624</v>
      </c>
      <c r="C139" s="7">
        <v>153.42465753424599</v>
      </c>
      <c r="D139" s="7">
        <v>155.82191780821901</v>
      </c>
      <c r="E139">
        <f>D139-C139</f>
        <v>2.3972602739730178</v>
      </c>
      <c r="F139" s="7">
        <v>30.479452054793995</v>
      </c>
      <c r="G139" s="7">
        <v>2.9460018037818907</v>
      </c>
    </row>
    <row r="142" spans="1:7">
      <c r="A142" t="s">
        <v>1138</v>
      </c>
    </row>
    <row r="144" spans="1:7">
      <c r="A144" s="7" t="s">
        <v>1139</v>
      </c>
      <c r="B144" s="7"/>
      <c r="C144" s="7" t="s">
        <v>681</v>
      </c>
      <c r="D144" s="7" t="s">
        <v>733</v>
      </c>
      <c r="E144" s="7" t="s">
        <v>682</v>
      </c>
      <c r="F144" s="7" t="s">
        <v>734</v>
      </c>
      <c r="G144" s="7" t="s">
        <v>735</v>
      </c>
    </row>
    <row r="145" spans="1:7">
      <c r="A145" s="7"/>
      <c r="B145" s="7" t="s">
        <v>623</v>
      </c>
      <c r="C145" s="7">
        <v>71.299734748010593</v>
      </c>
      <c r="D145" s="7">
        <v>72.9973474801061</v>
      </c>
      <c r="E145">
        <f>D145-C145</f>
        <v>1.6976127320955072</v>
      </c>
      <c r="F145">
        <f>C146-C145</f>
        <v>-9.5490716180371962</v>
      </c>
      <c r="G145">
        <f>SQRT(E145^2 +E146^2)</f>
        <v>18.328125522919279</v>
      </c>
    </row>
    <row r="146" spans="1:7">
      <c r="A146" s="7"/>
      <c r="B146" s="7" t="s">
        <v>624</v>
      </c>
      <c r="C146" s="7">
        <v>61.750663129973397</v>
      </c>
      <c r="D146" s="7">
        <v>80</v>
      </c>
      <c r="E146">
        <f>D146-C146</f>
        <v>18.249336870026603</v>
      </c>
      <c r="F146" s="7">
        <v>-9.5490716180371962</v>
      </c>
      <c r="G146" s="7">
        <v>18.328125522919279</v>
      </c>
    </row>
    <row r="147" spans="1:7">
      <c r="A147" s="7"/>
      <c r="B147" s="7"/>
      <c r="C147" s="7"/>
      <c r="D147" s="7"/>
      <c r="E147" s="7"/>
      <c r="F147" s="7"/>
      <c r="G147" s="7"/>
    </row>
    <row r="148" spans="1:7">
      <c r="A148" s="7"/>
      <c r="B148" s="7"/>
      <c r="C148" s="7"/>
      <c r="D148" s="7"/>
      <c r="E148" s="7"/>
      <c r="F148" s="7"/>
      <c r="G148" s="7"/>
    </row>
    <row r="149" spans="1:7">
      <c r="A149" s="7" t="s">
        <v>1140</v>
      </c>
      <c r="B149" s="7"/>
      <c r="C149" s="7" t="s">
        <v>681</v>
      </c>
      <c r="D149" s="7" t="s">
        <v>733</v>
      </c>
      <c r="E149" s="7" t="s">
        <v>682</v>
      </c>
      <c r="F149" s="7" t="s">
        <v>734</v>
      </c>
      <c r="G149" s="7" t="s">
        <v>735</v>
      </c>
    </row>
    <row r="150" spans="1:7">
      <c r="A150" s="7"/>
      <c r="B150" s="7" t="s">
        <v>623</v>
      </c>
      <c r="C150" s="7">
        <v>74.058355437665796</v>
      </c>
      <c r="D150" s="7">
        <v>78.726790450928306</v>
      </c>
      <c r="E150">
        <f>D150-C150</f>
        <v>4.6684350132625099</v>
      </c>
      <c r="F150">
        <f>C151-C150</f>
        <v>2.1220159151193059</v>
      </c>
      <c r="G150">
        <f>SQRT(E150^2 +E151^2)</f>
        <v>7.0666634717651116</v>
      </c>
    </row>
    <row r="151" spans="1:7">
      <c r="A151" s="7"/>
      <c r="B151" s="7" t="s">
        <v>624</v>
      </c>
      <c r="C151" s="7">
        <v>76.180371352785102</v>
      </c>
      <c r="D151" s="7">
        <v>81.485411140583494</v>
      </c>
      <c r="E151">
        <f>D151-C151</f>
        <v>5.3050397877983926</v>
      </c>
      <c r="F151" s="7">
        <v>2.1220159151193059</v>
      </c>
      <c r="G151" s="7">
        <v>7.0666634717651116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FE19-C577-864C-85A7-6A92D61B2A52}">
  <dimension ref="A2:M68"/>
  <sheetViews>
    <sheetView topLeftCell="A52" workbookViewId="0">
      <selection activeCell="H67" sqref="H67:H68"/>
    </sheetView>
  </sheetViews>
  <sheetFormatPr baseColWidth="10" defaultRowHeight="16"/>
  <sheetData>
    <row r="2" spans="1:13">
      <c r="A2" t="s">
        <v>858</v>
      </c>
    </row>
    <row r="3" spans="1:13" ht="18">
      <c r="C3" s="14" t="s">
        <v>857</v>
      </c>
    </row>
    <row r="6" spans="1:13">
      <c r="A6" t="s">
        <v>945</v>
      </c>
    </row>
    <row r="7" spans="1:13">
      <c r="D7" t="s">
        <v>681</v>
      </c>
      <c r="E7" t="s">
        <v>859</v>
      </c>
      <c r="F7" t="s">
        <v>860</v>
      </c>
      <c r="G7" t="s">
        <v>861</v>
      </c>
      <c r="H7" t="s">
        <v>693</v>
      </c>
      <c r="L7" s="1"/>
      <c r="M7" s="1"/>
    </row>
    <row r="8" spans="1:13">
      <c r="A8" t="s">
        <v>833</v>
      </c>
      <c r="C8" t="s">
        <v>862</v>
      </c>
      <c r="D8">
        <v>2108.1081081081002</v>
      </c>
      <c r="E8">
        <v>3531.5315315315302</v>
      </c>
      <c r="F8">
        <f>E8-D8</f>
        <v>1423.42342342343</v>
      </c>
      <c r="G8">
        <f>F8*2</f>
        <v>2846.84684684686</v>
      </c>
      <c r="H8">
        <f>G8/3.92</f>
        <v>726.2364405221582</v>
      </c>
      <c r="I8">
        <v>726.2364405221582</v>
      </c>
      <c r="L8" s="1"/>
      <c r="M8" s="1"/>
    </row>
    <row r="9" spans="1:13">
      <c r="C9" t="s">
        <v>863</v>
      </c>
      <c r="D9">
        <v>1513.5135135135099</v>
      </c>
      <c r="E9">
        <v>2216.2162162162099</v>
      </c>
      <c r="F9">
        <f t="shared" ref="F9:F10" si="0">E9-D9</f>
        <v>702.70270270269998</v>
      </c>
      <c r="G9">
        <f t="shared" ref="G9:G10" si="1">F9*2</f>
        <v>1405.4054054054</v>
      </c>
      <c r="H9">
        <f t="shared" ref="H9:H10" si="2">G9/3.92</f>
        <v>358.5217870932143</v>
      </c>
      <c r="I9">
        <v>358.5217870932143</v>
      </c>
    </row>
    <row r="10" spans="1:13">
      <c r="C10" t="s">
        <v>864</v>
      </c>
      <c r="D10">
        <v>1765.7657657657601</v>
      </c>
      <c r="E10">
        <v>2063.0630630630599</v>
      </c>
      <c r="F10">
        <f t="shared" si="0"/>
        <v>297.29729729729979</v>
      </c>
      <c r="G10">
        <f t="shared" si="1"/>
        <v>594.59459459459958</v>
      </c>
      <c r="H10">
        <f t="shared" si="2"/>
        <v>151.68229453943869</v>
      </c>
      <c r="I10">
        <v>151.68229453943869</v>
      </c>
    </row>
    <row r="12" spans="1:13">
      <c r="A12" s="1" t="s">
        <v>834</v>
      </c>
      <c r="B12" s="1" t="s">
        <v>835</v>
      </c>
      <c r="C12" t="s">
        <v>862</v>
      </c>
      <c r="D12">
        <v>182.584269662921</v>
      </c>
      <c r="E12">
        <v>228.08988764044901</v>
      </c>
      <c r="F12">
        <f>E12-D12</f>
        <v>45.505617977528004</v>
      </c>
      <c r="G12">
        <f>F12*2</f>
        <v>91.011235955056009</v>
      </c>
      <c r="H12">
        <f>G12/3.92</f>
        <v>23.217152029351023</v>
      </c>
      <c r="I12">
        <v>23.217152029351023</v>
      </c>
    </row>
    <row r="13" spans="1:13">
      <c r="C13" t="s">
        <v>863</v>
      </c>
      <c r="D13">
        <v>185.955056179775</v>
      </c>
      <c r="E13">
        <v>223.033707865168</v>
      </c>
      <c r="F13">
        <f t="shared" ref="F13:F14" si="3">E13-D13</f>
        <v>37.078651685392998</v>
      </c>
      <c r="G13">
        <f t="shared" ref="G13:G14" si="4">F13*2</f>
        <v>74.157303370785996</v>
      </c>
      <c r="H13">
        <f t="shared" ref="H13" si="5">G13/3.92</f>
        <v>18.917679431322959</v>
      </c>
      <c r="I13">
        <v>18.917679431322959</v>
      </c>
    </row>
    <row r="14" spans="1:13">
      <c r="C14" t="s">
        <v>864</v>
      </c>
      <c r="D14">
        <v>164.60674157303299</v>
      </c>
      <c r="E14">
        <v>203.370786516853</v>
      </c>
      <c r="F14">
        <f t="shared" si="3"/>
        <v>38.764044943820011</v>
      </c>
      <c r="G14">
        <f t="shared" si="4"/>
        <v>77.528089887640022</v>
      </c>
      <c r="H14">
        <f t="shared" ref="H14" si="6">G14/3.92</f>
        <v>19.777573950928577</v>
      </c>
      <c r="I14">
        <v>19.777573950928577</v>
      </c>
    </row>
    <row r="16" spans="1:13">
      <c r="A16" s="1" t="s">
        <v>836</v>
      </c>
      <c r="B16" s="1" t="s">
        <v>837</v>
      </c>
      <c r="C16" t="s">
        <v>862</v>
      </c>
      <c r="D16">
        <v>157.71513353115699</v>
      </c>
      <c r="E16">
        <v>193.76854599406499</v>
      </c>
      <c r="F16">
        <f>E16-D16</f>
        <v>36.053412462908</v>
      </c>
      <c r="G16">
        <f>F16*2</f>
        <v>72.106824925815999</v>
      </c>
      <c r="H16">
        <f>G16/3.92</f>
        <v>18.394598195361226</v>
      </c>
      <c r="I16">
        <v>18.394598195361226</v>
      </c>
    </row>
    <row r="17" spans="1:9">
      <c r="C17" t="s">
        <v>863</v>
      </c>
      <c r="D17">
        <v>86.943620178041499</v>
      </c>
      <c r="E17">
        <v>112.75964391691301</v>
      </c>
      <c r="F17">
        <f t="shared" ref="F17:F18" si="7">E17-D17</f>
        <v>25.816023738871507</v>
      </c>
      <c r="G17">
        <f t="shared" ref="G17:G18" si="8">F17*2</f>
        <v>51.632047477743015</v>
      </c>
      <c r="H17">
        <f t="shared" ref="H17" si="9">G17/3.92</f>
        <v>13.171440683097709</v>
      </c>
      <c r="I17">
        <v>13.171440683097709</v>
      </c>
    </row>
    <row r="18" spans="1:9">
      <c r="C18" t="s">
        <v>864</v>
      </c>
      <c r="D18">
        <v>3.2640949554895902</v>
      </c>
      <c r="E18">
        <v>4.5994065281898999</v>
      </c>
      <c r="F18">
        <f t="shared" si="7"/>
        <v>1.3353115727003098</v>
      </c>
      <c r="G18">
        <f t="shared" si="8"/>
        <v>2.6706231454006195</v>
      </c>
      <c r="H18">
        <f t="shared" ref="H18" si="10">G18/3.92</f>
        <v>0.68128141464301517</v>
      </c>
      <c r="I18">
        <v>0.68128141464301517</v>
      </c>
    </row>
    <row r="20" spans="1:9">
      <c r="A20" s="1" t="s">
        <v>838</v>
      </c>
      <c r="B20" s="1" t="s">
        <v>839</v>
      </c>
      <c r="C20" t="s">
        <v>862</v>
      </c>
      <c r="D20">
        <v>752.10084033613396</v>
      </c>
      <c r="E20">
        <v>924.36974789915905</v>
      </c>
      <c r="F20">
        <f>E20-D20</f>
        <v>172.2689075630251</v>
      </c>
      <c r="G20">
        <f>F20*2</f>
        <v>344.53781512605019</v>
      </c>
      <c r="H20">
        <f>G20/3.92</f>
        <v>87.892299777053623</v>
      </c>
      <c r="I20">
        <v>87.892299777053623</v>
      </c>
    </row>
    <row r="21" spans="1:9">
      <c r="C21" t="s">
        <v>863</v>
      </c>
      <c r="D21">
        <v>693.27731092436898</v>
      </c>
      <c r="E21">
        <v>810.92436974789905</v>
      </c>
      <c r="F21">
        <f t="shared" ref="F21:F22" si="11">E21-D21</f>
        <v>117.64705882353007</v>
      </c>
      <c r="G21">
        <f t="shared" ref="G21:G22" si="12">F21*2</f>
        <v>235.29411764706015</v>
      </c>
      <c r="H21">
        <f t="shared" ref="H21" si="13">G21/3.92</f>
        <v>60.024009603841876</v>
      </c>
      <c r="I21">
        <v>60.024009603841876</v>
      </c>
    </row>
    <row r="22" spans="1:9">
      <c r="C22" t="s">
        <v>864</v>
      </c>
      <c r="D22">
        <v>659.66386554621795</v>
      </c>
      <c r="E22">
        <v>752.10084033613396</v>
      </c>
      <c r="F22">
        <f t="shared" si="11"/>
        <v>92.436974789916007</v>
      </c>
      <c r="G22">
        <f t="shared" si="12"/>
        <v>184.87394957983201</v>
      </c>
      <c r="H22">
        <f t="shared" ref="H22" si="14">G22/3.92</f>
        <v>47.161721831589801</v>
      </c>
      <c r="I22">
        <v>47.161721831589801</v>
      </c>
    </row>
    <row r="24" spans="1:9">
      <c r="A24" s="1" t="s">
        <v>838</v>
      </c>
      <c r="B24" s="1" t="s">
        <v>840</v>
      </c>
      <c r="C24" t="s">
        <v>862</v>
      </c>
      <c r="D24">
        <v>325</v>
      </c>
      <c r="E24">
        <v>328.515625</v>
      </c>
      <c r="F24">
        <f>E24-D24</f>
        <v>3.515625</v>
      </c>
      <c r="G24">
        <f>F24*2</f>
        <v>7.03125</v>
      </c>
      <c r="H24">
        <f>G24/3.92</f>
        <v>1.793686224489796</v>
      </c>
      <c r="I24">
        <v>1.793686224489796</v>
      </c>
    </row>
    <row r="25" spans="1:9">
      <c r="C25" t="s">
        <v>863</v>
      </c>
      <c r="D25">
        <v>330.859375</v>
      </c>
      <c r="E25">
        <v>396.48437499999898</v>
      </c>
      <c r="F25">
        <f t="shared" ref="F25:F26" si="15">E25-D25</f>
        <v>65.624999999998977</v>
      </c>
      <c r="G25">
        <f t="shared" ref="G25:G26" si="16">F25*2</f>
        <v>131.24999999999795</v>
      </c>
      <c r="H25">
        <f t="shared" ref="H25" si="17">G25/3.92</f>
        <v>33.482142857142335</v>
      </c>
      <c r="I25">
        <v>33.482142857142335</v>
      </c>
    </row>
    <row r="26" spans="1:9">
      <c r="C26" t="s">
        <v>864</v>
      </c>
      <c r="D26">
        <v>265.234375</v>
      </c>
      <c r="E26">
        <v>281.640625</v>
      </c>
      <c r="F26">
        <f t="shared" si="15"/>
        <v>16.40625</v>
      </c>
      <c r="G26">
        <f t="shared" si="16"/>
        <v>32.8125</v>
      </c>
      <c r="H26">
        <f t="shared" ref="H26" si="18">G26/3.92</f>
        <v>8.3705357142857153</v>
      </c>
      <c r="I26">
        <v>8.3705357142857153</v>
      </c>
    </row>
    <row r="28" spans="1:9">
      <c r="A28" s="1" t="s">
        <v>841</v>
      </c>
      <c r="B28" s="1" t="s">
        <v>842</v>
      </c>
      <c r="C28" t="s">
        <v>862</v>
      </c>
      <c r="D28">
        <v>1910.65830721003</v>
      </c>
      <c r="E28">
        <v>2600.3134796238201</v>
      </c>
      <c r="F28">
        <f>E28-D28</f>
        <v>689.65517241379007</v>
      </c>
      <c r="G28">
        <f>F28*2</f>
        <v>1379.3103448275801</v>
      </c>
      <c r="H28">
        <f>G28/3.92</f>
        <v>351.86488388458679</v>
      </c>
      <c r="I28">
        <v>351.86488388458679</v>
      </c>
    </row>
    <row r="29" spans="1:9">
      <c r="C29" t="s">
        <v>863</v>
      </c>
      <c r="D29">
        <v>800.94043887147302</v>
      </c>
      <c r="E29">
        <v>1208.46394984326</v>
      </c>
      <c r="F29">
        <f t="shared" ref="F29:F30" si="19">E29-D29</f>
        <v>407.523510971787</v>
      </c>
      <c r="G29">
        <f t="shared" ref="G29:G30" si="20">F29*2</f>
        <v>815.04702194357401</v>
      </c>
      <c r="H29">
        <f t="shared" ref="H29" si="21">G29/3.92</f>
        <v>207.92015865907501</v>
      </c>
      <c r="I29">
        <v>207.92015865907501</v>
      </c>
    </row>
    <row r="30" spans="1:9">
      <c r="C30" t="s">
        <v>864</v>
      </c>
      <c r="D30">
        <v>550.15673981191196</v>
      </c>
      <c r="E30">
        <v>713.16614420062604</v>
      </c>
      <c r="F30">
        <f t="shared" si="19"/>
        <v>163.00940438871407</v>
      </c>
      <c r="G30">
        <f t="shared" si="20"/>
        <v>326.01880877742815</v>
      </c>
      <c r="H30">
        <f t="shared" ref="H30" si="22">G30/3.92</f>
        <v>83.168063463629636</v>
      </c>
      <c r="I30">
        <v>83.168063463629636</v>
      </c>
    </row>
    <row r="32" spans="1:9">
      <c r="A32" s="1" t="s">
        <v>838</v>
      </c>
      <c r="B32" s="1" t="s">
        <v>843</v>
      </c>
      <c r="C32" t="s">
        <v>862</v>
      </c>
      <c r="D32">
        <v>224.731182795698</v>
      </c>
      <c r="E32">
        <v>258.06451612903197</v>
      </c>
      <c r="F32">
        <f>E32-D32</f>
        <v>33.333333333333968</v>
      </c>
      <c r="G32">
        <f>F32*2</f>
        <v>66.666666666667936</v>
      </c>
      <c r="H32">
        <f>G32/3.92</f>
        <v>17.006802721088761</v>
      </c>
      <c r="I32">
        <v>17.006802721088761</v>
      </c>
    </row>
    <row r="33" spans="1:9">
      <c r="C33" t="s">
        <v>863</v>
      </c>
      <c r="D33">
        <v>245.16129032257999</v>
      </c>
      <c r="E33">
        <v>289.24731182795699</v>
      </c>
      <c r="F33">
        <f t="shared" ref="F33:F34" si="23">E33-D33</f>
        <v>44.086021505377005</v>
      </c>
      <c r="G33">
        <f t="shared" ref="G33:G34" si="24">F33*2</f>
        <v>88.17204301075401</v>
      </c>
      <c r="H33">
        <f t="shared" ref="H33" si="25">G33/3.92</f>
        <v>22.492868114988269</v>
      </c>
      <c r="I33">
        <v>22.492868114988269</v>
      </c>
    </row>
    <row r="34" spans="1:9">
      <c r="C34" t="s">
        <v>864</v>
      </c>
      <c r="D34">
        <v>218.27956989247301</v>
      </c>
      <c r="E34">
        <v>272.04301075268802</v>
      </c>
      <c r="F34">
        <f t="shared" si="23"/>
        <v>53.763440860215013</v>
      </c>
      <c r="G34">
        <f t="shared" si="24"/>
        <v>107.52688172043003</v>
      </c>
      <c r="H34">
        <f t="shared" ref="H34" si="26">G34/3.92</f>
        <v>27.430326969497457</v>
      </c>
      <c r="I34">
        <v>27.430326969497457</v>
      </c>
    </row>
    <row r="36" spans="1:9">
      <c r="A36" s="1" t="s">
        <v>844</v>
      </c>
      <c r="B36" s="1" t="s">
        <v>845</v>
      </c>
      <c r="C36" t="s">
        <v>862</v>
      </c>
      <c r="D36">
        <v>1255.3648068669499</v>
      </c>
      <c r="E36">
        <v>1530.04291845493</v>
      </c>
      <c r="F36">
        <f>E36-D36</f>
        <v>274.67811158798008</v>
      </c>
      <c r="G36">
        <f>F36*2</f>
        <v>549.35622317596017</v>
      </c>
      <c r="H36">
        <f>G36/3.92</f>
        <v>140.14189366733677</v>
      </c>
      <c r="I36">
        <v>140.14189366733677</v>
      </c>
    </row>
    <row r="37" spans="1:9">
      <c r="C37" t="s">
        <v>863</v>
      </c>
      <c r="D37">
        <v>1341.20171673819</v>
      </c>
      <c r="E37">
        <v>2006.4377682403399</v>
      </c>
      <c r="F37">
        <f t="shared" ref="F37:F38" si="27">E37-D37</f>
        <v>665.23605150214985</v>
      </c>
      <c r="G37">
        <f t="shared" ref="G37:G38" si="28">F37*2</f>
        <v>1330.4721030042997</v>
      </c>
      <c r="H37">
        <f t="shared" ref="H37" si="29">G37/3.92</f>
        <v>339.40614872558666</v>
      </c>
      <c r="I37">
        <v>339.40614872558666</v>
      </c>
    </row>
    <row r="38" spans="1:9">
      <c r="C38" t="s">
        <v>864</v>
      </c>
      <c r="D38">
        <v>1023.60515021459</v>
      </c>
      <c r="E38">
        <v>1448.4978540772499</v>
      </c>
      <c r="F38">
        <f t="shared" si="27"/>
        <v>424.89270386265991</v>
      </c>
      <c r="G38">
        <f t="shared" si="28"/>
        <v>849.78540772531983</v>
      </c>
      <c r="H38">
        <f t="shared" ref="H38" si="30">G38/3.92</f>
        <v>216.78199176666323</v>
      </c>
      <c r="I38">
        <v>216.78199176666323</v>
      </c>
    </row>
    <row r="40" spans="1:9">
      <c r="A40" s="1" t="s">
        <v>846</v>
      </c>
      <c r="B40" s="1" t="s">
        <v>847</v>
      </c>
      <c r="C40" t="s">
        <v>862</v>
      </c>
      <c r="D40">
        <v>1050.5319148936101</v>
      </c>
      <c r="E40">
        <v>1087.7659574468</v>
      </c>
      <c r="F40">
        <f>E40-D40</f>
        <v>37.234042553189965</v>
      </c>
      <c r="G40">
        <f>F40*2</f>
        <v>74.468085106379931</v>
      </c>
      <c r="H40">
        <f>G40/3.92</f>
        <v>18.996960486321413</v>
      </c>
      <c r="I40">
        <v>18.996960486321413</v>
      </c>
    </row>
    <row r="41" spans="1:9">
      <c r="C41" t="s">
        <v>863</v>
      </c>
      <c r="D41">
        <v>1031.91489361702</v>
      </c>
      <c r="E41">
        <v>1183.5106382978699</v>
      </c>
      <c r="F41">
        <f t="shared" ref="F41:F42" si="31">E41-D41</f>
        <v>151.59574468084998</v>
      </c>
      <c r="G41">
        <f t="shared" ref="G41:G42" si="32">F41*2</f>
        <v>303.19148936169995</v>
      </c>
      <c r="H41">
        <f t="shared" ref="H41" si="33">G41/3.92</f>
        <v>77.344767694311216</v>
      </c>
      <c r="I41">
        <v>77.344767694311216</v>
      </c>
    </row>
    <row r="42" spans="1:9">
      <c r="C42" t="s">
        <v>864</v>
      </c>
      <c r="D42">
        <v>827.127659574468</v>
      </c>
      <c r="E42">
        <v>928.191489361702</v>
      </c>
      <c r="F42">
        <f t="shared" si="31"/>
        <v>101.063829787234</v>
      </c>
      <c r="G42">
        <f t="shared" si="32"/>
        <v>202.127659574468</v>
      </c>
      <c r="H42">
        <f t="shared" ref="H42" si="34">G42/3.92</f>
        <v>51.56317846287449</v>
      </c>
      <c r="I42">
        <v>51.56317846287449</v>
      </c>
    </row>
    <row r="45" spans="1:9">
      <c r="A45" t="s">
        <v>946</v>
      </c>
    </row>
    <row r="46" spans="1:9">
      <c r="D46" t="s">
        <v>681</v>
      </c>
      <c r="E46" t="s">
        <v>859</v>
      </c>
      <c r="F46" t="s">
        <v>860</v>
      </c>
      <c r="G46" t="s">
        <v>861</v>
      </c>
      <c r="H46" t="s">
        <v>693</v>
      </c>
    </row>
    <row r="47" spans="1:9">
      <c r="A47" t="s">
        <v>833</v>
      </c>
      <c r="C47" t="s">
        <v>915</v>
      </c>
      <c r="D47">
        <v>0.734375</v>
      </c>
      <c r="E47">
        <v>0.910156249999999</v>
      </c>
      <c r="F47">
        <f>E47-D47</f>
        <v>0.175781249999999</v>
      </c>
      <c r="G47">
        <f>F47*2</f>
        <v>0.351562499999998</v>
      </c>
      <c r="H47">
        <f>G47/3.92</f>
        <v>8.9684311224489291E-2</v>
      </c>
      <c r="I47">
        <v>8.9684311224489305E-2</v>
      </c>
    </row>
    <row r="48" spans="1:9">
      <c r="C48" t="s">
        <v>917</v>
      </c>
      <c r="D48">
        <v>0.921875</v>
      </c>
      <c r="E48">
        <v>1.17968749999999</v>
      </c>
      <c r="F48">
        <f>E48-D48</f>
        <v>0.25781249999999001</v>
      </c>
      <c r="G48">
        <f>F48*2</f>
        <v>0.51562499999998002</v>
      </c>
      <c r="H48">
        <f>G48/3.92</f>
        <v>0.13153698979591327</v>
      </c>
      <c r="I48">
        <v>0.13153698979591327</v>
      </c>
    </row>
    <row r="49" spans="1:10">
      <c r="C49" t="s">
        <v>916</v>
      </c>
      <c r="D49">
        <v>0.59375</v>
      </c>
      <c r="E49">
        <v>0.76953125</v>
      </c>
      <c r="F49">
        <f>E49-D49</f>
        <v>0.17578125</v>
      </c>
      <c r="G49">
        <f>F49*2</f>
        <v>0.3515625</v>
      </c>
      <c r="H49">
        <f>G49/3.92</f>
        <v>8.9684311224489804E-2</v>
      </c>
      <c r="I49">
        <v>8.9684311224489804E-2</v>
      </c>
    </row>
    <row r="52" spans="1:10">
      <c r="A52" t="s">
        <v>1082</v>
      </c>
    </row>
    <row r="53" spans="1:10">
      <c r="D53" t="s">
        <v>1092</v>
      </c>
      <c r="E53" t="s">
        <v>1091</v>
      </c>
      <c r="F53" t="s">
        <v>1094</v>
      </c>
      <c r="H53" t="s">
        <v>1093</v>
      </c>
      <c r="I53" t="s">
        <v>1091</v>
      </c>
      <c r="J53" t="s">
        <v>1095</v>
      </c>
    </row>
    <row r="54" spans="1:10">
      <c r="A54" t="s">
        <v>1083</v>
      </c>
      <c r="C54" t="s">
        <v>1084</v>
      </c>
      <c r="D54">
        <v>0.35</v>
      </c>
      <c r="E54">
        <v>7.0000000000000007E-2</v>
      </c>
      <c r="F54">
        <f>( (D54+E54) - (D54-E54) )/3.29</f>
        <v>4.2553191489361708E-2</v>
      </c>
      <c r="H54">
        <v>0.31</v>
      </c>
      <c r="I54">
        <v>0.05</v>
      </c>
      <c r="J54">
        <f t="shared" ref="J54:J67" si="35">( (H54+I54) - (H54-I54) )/3.29</f>
        <v>3.0395136778115495E-2</v>
      </c>
    </row>
    <row r="55" spans="1:10">
      <c r="C55" t="s">
        <v>1086</v>
      </c>
      <c r="D55">
        <v>0.49</v>
      </c>
      <c r="E55">
        <v>0.04</v>
      </c>
      <c r="F55">
        <f t="shared" ref="F55:F57" si="36">( (D55+E55) - (D55-E55) )/3.29</f>
        <v>2.4316109422492405E-2</v>
      </c>
      <c r="H55">
        <v>0.42</v>
      </c>
      <c r="I55">
        <v>0.05</v>
      </c>
      <c r="J55">
        <f t="shared" si="35"/>
        <v>3.0395136778115495E-2</v>
      </c>
    </row>
    <row r="56" spans="1:10">
      <c r="C56" t="s">
        <v>1087</v>
      </c>
      <c r="D56">
        <v>0.46</v>
      </c>
      <c r="E56">
        <v>0.03</v>
      </c>
      <c r="F56">
        <f t="shared" si="36"/>
        <v>1.8237082066869283E-2</v>
      </c>
      <c r="H56">
        <v>0.43</v>
      </c>
      <c r="I56">
        <v>0.04</v>
      </c>
      <c r="J56">
        <f t="shared" si="35"/>
        <v>2.4316109422492387E-2</v>
      </c>
    </row>
    <row r="57" spans="1:10">
      <c r="C57" t="s">
        <v>1088</v>
      </c>
      <c r="D57">
        <v>0.96</v>
      </c>
      <c r="E57">
        <v>0.11</v>
      </c>
      <c r="F57">
        <f t="shared" si="36"/>
        <v>6.6869300911854127E-2</v>
      </c>
      <c r="H57">
        <v>0.7</v>
      </c>
      <c r="I57">
        <v>7.0000000000000007E-2</v>
      </c>
      <c r="J57">
        <f t="shared" si="35"/>
        <v>4.2553191489361743E-2</v>
      </c>
    </row>
    <row r="59" spans="1:10">
      <c r="A59" t="s">
        <v>745</v>
      </c>
      <c r="C59" t="s">
        <v>1085</v>
      </c>
      <c r="D59">
        <v>0.43</v>
      </c>
      <c r="E59">
        <v>0.08</v>
      </c>
      <c r="F59">
        <f t="shared" ref="F59:F60" si="37">( (D59+E59) - (D59-E59) )/3.29</f>
        <v>4.8632218844984809E-2</v>
      </c>
      <c r="H59">
        <v>0.39</v>
      </c>
      <c r="I59">
        <v>7.0000000000000007E-2</v>
      </c>
      <c r="J59">
        <f t="shared" si="35"/>
        <v>4.2553191489361708E-2</v>
      </c>
    </row>
    <row r="60" spans="1:10">
      <c r="C60" t="s">
        <v>1087</v>
      </c>
      <c r="D60">
        <v>1.63</v>
      </c>
      <c r="E60">
        <v>0.35</v>
      </c>
      <c r="F60">
        <f t="shared" si="37"/>
        <v>0.21276595744680857</v>
      </c>
      <c r="H60">
        <v>0.8</v>
      </c>
      <c r="I60">
        <v>0.09</v>
      </c>
      <c r="J60">
        <f t="shared" si="35"/>
        <v>5.4711246200607883E-2</v>
      </c>
    </row>
    <row r="62" spans="1:10">
      <c r="A62" s="7" t="s">
        <v>1089</v>
      </c>
      <c r="B62" s="7"/>
      <c r="C62" s="7" t="s">
        <v>1084</v>
      </c>
      <c r="D62">
        <v>0.35</v>
      </c>
      <c r="E62">
        <v>0.04</v>
      </c>
      <c r="F62">
        <f t="shared" ref="F62:F65" si="38">( (D62+E62) - (D62-E62) )/3.29</f>
        <v>2.4316109422492387E-2</v>
      </c>
      <c r="H62">
        <v>0.27</v>
      </c>
      <c r="I62">
        <v>0.08</v>
      </c>
      <c r="J62">
        <f t="shared" si="35"/>
        <v>4.8632218844984809E-2</v>
      </c>
    </row>
    <row r="63" spans="1:10">
      <c r="A63" s="7"/>
      <c r="B63" s="7"/>
      <c r="C63" s="7" t="s">
        <v>1086</v>
      </c>
      <c r="D63">
        <v>0.42</v>
      </c>
      <c r="E63">
        <v>7.0000000000000007E-2</v>
      </c>
      <c r="F63">
        <f t="shared" si="38"/>
        <v>4.2553191489361708E-2</v>
      </c>
      <c r="H63">
        <v>0.62</v>
      </c>
      <c r="I63">
        <v>0.04</v>
      </c>
      <c r="J63">
        <f t="shared" si="35"/>
        <v>2.4316109422492422E-2</v>
      </c>
    </row>
    <row r="64" spans="1:10">
      <c r="A64" s="7"/>
      <c r="B64" s="7"/>
      <c r="C64" s="7" t="s">
        <v>1087</v>
      </c>
      <c r="D64">
        <v>0</v>
      </c>
      <c r="E64">
        <v>0</v>
      </c>
      <c r="F64">
        <f t="shared" si="38"/>
        <v>0</v>
      </c>
      <c r="H64">
        <v>0.51</v>
      </c>
      <c r="I64">
        <v>0.06</v>
      </c>
      <c r="J64">
        <f t="shared" si="35"/>
        <v>3.6474164133738614E-2</v>
      </c>
    </row>
    <row r="65" spans="1:10">
      <c r="A65" s="7"/>
      <c r="B65" s="7"/>
      <c r="C65" s="7" t="s">
        <v>1088</v>
      </c>
      <c r="D65">
        <v>0.28999999999999998</v>
      </c>
      <c r="E65">
        <v>0.04</v>
      </c>
      <c r="F65">
        <f t="shared" si="38"/>
        <v>2.4316109422492398E-2</v>
      </c>
      <c r="H65">
        <v>0.57999999999999996</v>
      </c>
      <c r="I65">
        <v>0.08</v>
      </c>
      <c r="J65">
        <f t="shared" si="35"/>
        <v>4.8632218844984795E-2</v>
      </c>
    </row>
    <row r="67" spans="1:10">
      <c r="A67" s="7" t="s">
        <v>1090</v>
      </c>
      <c r="B67" s="7"/>
      <c r="C67" t="s">
        <v>1085</v>
      </c>
      <c r="D67">
        <v>0.28999999999999998</v>
      </c>
      <c r="E67">
        <v>0.05</v>
      </c>
      <c r="F67">
        <f t="shared" ref="F67" si="39">( (D67+E67) - (D67-E67) )/3.29</f>
        <v>3.0395136778115495E-2</v>
      </c>
      <c r="H67">
        <v>0.23</v>
      </c>
      <c r="I67">
        <v>0.04</v>
      </c>
      <c r="J67">
        <f t="shared" si="35"/>
        <v>2.4316109422492405E-2</v>
      </c>
    </row>
    <row r="68" spans="1:10">
      <c r="A68" s="7"/>
      <c r="B68" s="7"/>
      <c r="C68" t="s">
        <v>1087</v>
      </c>
      <c r="D68">
        <v>0.15</v>
      </c>
      <c r="E68">
        <v>0.06</v>
      </c>
      <c r="F68">
        <f>( (D68+E68) - (D68-E68) )/3.29</f>
        <v>3.64741641337386E-2</v>
      </c>
      <c r="H68">
        <v>0.26</v>
      </c>
      <c r="I68">
        <v>7.0000000000000007E-2</v>
      </c>
      <c r="J68">
        <f>( (H68+I68) - (H68-I68) )/3.29</f>
        <v>4.2553191489361708E-2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E440-F4C1-474E-AB13-236CA61E2C65}">
  <dimension ref="A1:T22"/>
  <sheetViews>
    <sheetView workbookViewId="0">
      <selection activeCell="I28" sqref="I28"/>
    </sheetView>
  </sheetViews>
  <sheetFormatPr baseColWidth="10" defaultRowHeight="16"/>
  <sheetData>
    <row r="1" spans="1:20">
      <c r="A1" t="s">
        <v>996</v>
      </c>
      <c r="B1" t="s">
        <v>997</v>
      </c>
      <c r="R1" t="s">
        <v>1001</v>
      </c>
      <c r="S1" t="s">
        <v>681</v>
      </c>
      <c r="T1" t="s">
        <v>994</v>
      </c>
    </row>
    <row r="2" spans="1:20">
      <c r="B2" t="s">
        <v>998</v>
      </c>
      <c r="C2">
        <v>0.42857142857142799</v>
      </c>
      <c r="D2">
        <v>0.30414746543778798</v>
      </c>
      <c r="E2">
        <v>0.27926267281105899</v>
      </c>
      <c r="F2">
        <v>0.268202764976958</v>
      </c>
      <c r="G2">
        <v>0.182488479262672</v>
      </c>
      <c r="R2">
        <f>COUNT(C2:Q2)</f>
        <v>5</v>
      </c>
      <c r="S2">
        <f>AVERAGE(C2:Q2)</f>
        <v>0.29253456221198099</v>
      </c>
      <c r="T2">
        <f>STDEV(C2:Q2)</f>
        <v>8.8768249261310772E-2</v>
      </c>
    </row>
    <row r="3" spans="1:20">
      <c r="B3" t="s">
        <v>580</v>
      </c>
      <c r="C3">
        <v>0.44516129032258001</v>
      </c>
      <c r="D3">
        <v>0.27649769585253398</v>
      </c>
      <c r="E3">
        <v>0.17695852534562201</v>
      </c>
      <c r="F3">
        <v>0.16313364055299501</v>
      </c>
      <c r="G3">
        <v>0.141013824884792</v>
      </c>
      <c r="H3">
        <v>0.107834101382488</v>
      </c>
      <c r="I3">
        <v>5.5299539170506798E-2</v>
      </c>
      <c r="J3">
        <v>1.6589861751151899E-2</v>
      </c>
      <c r="R3">
        <f t="shared" ref="R3:R6" si="0">COUNT(C3:Q3)</f>
        <v>8</v>
      </c>
      <c r="S3">
        <f t="shared" ref="S3:S12" si="1">AVERAGE(C3:Q3)</f>
        <v>0.17281105990783374</v>
      </c>
      <c r="T3">
        <f t="shared" ref="T3:T12" si="2">STDEV(C3:Q3)</f>
        <v>0.13547984032912938</v>
      </c>
    </row>
    <row r="4" spans="1:20">
      <c r="B4" t="s">
        <v>611</v>
      </c>
      <c r="C4">
        <v>0.17695852534562201</v>
      </c>
      <c r="D4">
        <v>0.141013824884792</v>
      </c>
      <c r="E4">
        <v>0.121658986175115</v>
      </c>
      <c r="R4">
        <f t="shared" si="0"/>
        <v>3</v>
      </c>
      <c r="S4">
        <f t="shared" si="1"/>
        <v>0.14654377880184302</v>
      </c>
      <c r="T4">
        <f t="shared" si="2"/>
        <v>2.8061451332052293E-2</v>
      </c>
    </row>
    <row r="5" spans="1:20">
      <c r="B5" t="s">
        <v>999</v>
      </c>
      <c r="C5">
        <v>0.22396313364055201</v>
      </c>
      <c r="D5">
        <v>0.182488479262672</v>
      </c>
      <c r="E5">
        <v>0.127188940092165</v>
      </c>
      <c r="F5">
        <v>1.3824884792626699E-2</v>
      </c>
      <c r="R5">
        <f t="shared" si="0"/>
        <v>4</v>
      </c>
      <c r="S5">
        <f t="shared" si="1"/>
        <v>0.13686635944700393</v>
      </c>
      <c r="T5">
        <f t="shared" si="2"/>
        <v>9.1104487306041884E-2</v>
      </c>
    </row>
    <row r="6" spans="1:20">
      <c r="B6" t="s">
        <v>878</v>
      </c>
      <c r="C6">
        <v>0.268202764976958</v>
      </c>
      <c r="D6">
        <v>0.23778801843317901</v>
      </c>
      <c r="E6">
        <v>0.21013824884792601</v>
      </c>
      <c r="F6">
        <v>0.14377880184331701</v>
      </c>
      <c r="R6">
        <f t="shared" si="0"/>
        <v>4</v>
      </c>
      <c r="S6">
        <f t="shared" si="1"/>
        <v>0.21497695852534501</v>
      </c>
      <c r="T6">
        <f t="shared" si="2"/>
        <v>5.3059468375287168E-2</v>
      </c>
    </row>
    <row r="8" spans="1:20">
      <c r="A8" t="s">
        <v>1000</v>
      </c>
      <c r="B8" t="s">
        <v>998</v>
      </c>
      <c r="C8">
        <v>0.29308755760368599</v>
      </c>
      <c r="D8">
        <v>0.23225806451612799</v>
      </c>
      <c r="E8">
        <v>0.15760368663594401</v>
      </c>
      <c r="F8">
        <v>0.14654377880184299</v>
      </c>
      <c r="G8">
        <v>0.11612903225806399</v>
      </c>
      <c r="H8">
        <v>9.95391705069123E-2</v>
      </c>
      <c r="I8">
        <v>8.0184331797234998E-2</v>
      </c>
      <c r="J8">
        <v>6.08294930875573E-2</v>
      </c>
      <c r="R8">
        <f>COUNT(C8:Q8)</f>
        <v>8</v>
      </c>
      <c r="S8">
        <f t="shared" si="1"/>
        <v>0.1482718894009212</v>
      </c>
      <c r="T8">
        <f t="shared" si="2"/>
        <v>7.9107028316019817E-2</v>
      </c>
    </row>
    <row r="9" spans="1:20">
      <c r="B9" t="s">
        <v>580</v>
      </c>
      <c r="C9">
        <v>0.46728110599078299</v>
      </c>
      <c r="D9">
        <v>0.41474654377880099</v>
      </c>
      <c r="E9">
        <v>0.28755760368663502</v>
      </c>
      <c r="F9">
        <v>0.27373271889400902</v>
      </c>
      <c r="G9">
        <v>0.26543778801843299</v>
      </c>
      <c r="H9">
        <v>0.25161290322580598</v>
      </c>
      <c r="I9">
        <v>0.20184331797235</v>
      </c>
      <c r="J9">
        <v>0.19078341013824801</v>
      </c>
      <c r="K9">
        <v>0.17695852534562201</v>
      </c>
      <c r="L9">
        <v>0.12995391705069101</v>
      </c>
      <c r="M9">
        <v>0.113364055299538</v>
      </c>
      <c r="N9">
        <v>9.4009216589861597E-2</v>
      </c>
      <c r="O9">
        <v>6.9124423963133494E-2</v>
      </c>
      <c r="P9">
        <v>5.2534562211981502E-2</v>
      </c>
      <c r="Q9">
        <v>4.1474654377879998E-2</v>
      </c>
      <c r="R9">
        <f t="shared" ref="R9:R12" si="3">COUNT(C9:Q9)</f>
        <v>15</v>
      </c>
      <c r="S9">
        <f t="shared" si="1"/>
        <v>0.20202764976958482</v>
      </c>
      <c r="T9">
        <f t="shared" si="2"/>
        <v>0.1270018946939728</v>
      </c>
    </row>
    <row r="10" spans="1:20">
      <c r="B10" t="s">
        <v>611</v>
      </c>
      <c r="C10">
        <v>0.4036866359447</v>
      </c>
      <c r="D10">
        <v>0.33456221198156599</v>
      </c>
      <c r="E10">
        <v>0.323502304147465</v>
      </c>
      <c r="F10">
        <v>0.28479262672811001</v>
      </c>
      <c r="G10">
        <v>0.25990783410138202</v>
      </c>
      <c r="H10">
        <v>0.23778801843317901</v>
      </c>
      <c r="I10">
        <v>0.215668202764976</v>
      </c>
      <c r="J10">
        <v>0.19631336405529901</v>
      </c>
      <c r="K10">
        <v>0.16589861751151999</v>
      </c>
      <c r="R10">
        <f t="shared" si="3"/>
        <v>9</v>
      </c>
      <c r="S10">
        <f t="shared" si="1"/>
        <v>0.26912442396313302</v>
      </c>
      <c r="T10">
        <f t="shared" si="2"/>
        <v>7.539316979411595E-2</v>
      </c>
    </row>
    <row r="11" spans="1:20">
      <c r="B11" t="s">
        <v>999</v>
      </c>
      <c r="C11">
        <v>0.31244239631336301</v>
      </c>
      <c r="D11">
        <v>0.25714285714285701</v>
      </c>
      <c r="E11">
        <v>0.23225806451612799</v>
      </c>
      <c r="F11">
        <v>0.19907834101382399</v>
      </c>
      <c r="G11">
        <v>0.135483870967741</v>
      </c>
      <c r="H11">
        <v>0.113364055299538</v>
      </c>
      <c r="I11">
        <v>9.6774193548386997E-2</v>
      </c>
      <c r="J11">
        <v>7.4654377880184294E-2</v>
      </c>
      <c r="K11">
        <v>6.9124423963133494E-2</v>
      </c>
      <c r="R11">
        <f t="shared" si="3"/>
        <v>9</v>
      </c>
      <c r="S11">
        <f t="shared" si="1"/>
        <v>0.16559139784946175</v>
      </c>
      <c r="T11">
        <f t="shared" si="2"/>
        <v>8.7648509684839587E-2</v>
      </c>
    </row>
    <row r="12" spans="1:20">
      <c r="B12" t="s">
        <v>878</v>
      </c>
      <c r="C12">
        <v>0.54470046082949297</v>
      </c>
      <c r="D12">
        <v>0.45898617511520701</v>
      </c>
      <c r="E12">
        <v>0.28755760368663502</v>
      </c>
      <c r="F12">
        <v>0.24608294930875499</v>
      </c>
      <c r="G12">
        <v>0.22396313364055201</v>
      </c>
      <c r="H12">
        <v>0.19078341013824801</v>
      </c>
      <c r="I12">
        <v>0.14930875576036801</v>
      </c>
      <c r="J12">
        <v>0.13824884792626699</v>
      </c>
      <c r="K12">
        <v>1.38248847926265E-2</v>
      </c>
      <c r="R12">
        <f t="shared" si="3"/>
        <v>9</v>
      </c>
      <c r="S12">
        <f t="shared" si="1"/>
        <v>0.25038402457757236</v>
      </c>
      <c r="T12">
        <f t="shared" si="2"/>
        <v>0.1637598955916621</v>
      </c>
    </row>
    <row r="17" spans="3:10">
      <c r="C17" s="1" t="s">
        <v>319</v>
      </c>
      <c r="D17" s="1" t="s">
        <v>322</v>
      </c>
      <c r="E17" s="1" t="s">
        <v>586</v>
      </c>
      <c r="F17" s="1" t="s">
        <v>990</v>
      </c>
      <c r="G17" s="1" t="s">
        <v>320</v>
      </c>
      <c r="H17" s="1" t="s">
        <v>323</v>
      </c>
      <c r="I17" s="1" t="s">
        <v>588</v>
      </c>
      <c r="J17" s="1" t="s">
        <v>359</v>
      </c>
    </row>
    <row r="18" spans="3:10">
      <c r="C18">
        <v>0.1482718894009212</v>
      </c>
      <c r="D18" t="s">
        <v>315</v>
      </c>
      <c r="E18">
        <v>7.9107028316019817E-2</v>
      </c>
      <c r="F18">
        <v>8</v>
      </c>
      <c r="G18">
        <v>0.29253456221198099</v>
      </c>
      <c r="H18" t="s">
        <v>315</v>
      </c>
      <c r="I18">
        <v>8.8768249261310772E-2</v>
      </c>
      <c r="J18">
        <v>5</v>
      </c>
    </row>
    <row r="19" spans="3:10">
      <c r="C19">
        <v>0.20202764976958482</v>
      </c>
      <c r="D19" t="s">
        <v>315</v>
      </c>
      <c r="E19">
        <v>0.1270018946939728</v>
      </c>
      <c r="F19">
        <v>15</v>
      </c>
      <c r="G19">
        <v>0.17281105990783374</v>
      </c>
      <c r="H19" t="s">
        <v>315</v>
      </c>
      <c r="I19">
        <v>0.13547984032912938</v>
      </c>
      <c r="J19">
        <v>8</v>
      </c>
    </row>
    <row r="20" spans="3:10">
      <c r="C20">
        <v>0.26912442396313302</v>
      </c>
      <c r="D20" t="s">
        <v>315</v>
      </c>
      <c r="E20">
        <v>7.539316979411595E-2</v>
      </c>
      <c r="F20">
        <v>9</v>
      </c>
      <c r="G20">
        <v>0.14654377880184302</v>
      </c>
      <c r="H20" t="s">
        <v>315</v>
      </c>
      <c r="I20">
        <v>2.8061451332052293E-2</v>
      </c>
      <c r="J20">
        <v>3</v>
      </c>
    </row>
    <row r="21" spans="3:10">
      <c r="C21">
        <v>0.16559139784946175</v>
      </c>
      <c r="D21" t="s">
        <v>315</v>
      </c>
      <c r="E21">
        <v>8.7648509684839587E-2</v>
      </c>
      <c r="F21">
        <v>9</v>
      </c>
      <c r="G21">
        <v>0.13686635944700393</v>
      </c>
      <c r="H21" t="s">
        <v>315</v>
      </c>
      <c r="I21">
        <v>9.1104487306041884E-2</v>
      </c>
      <c r="J21">
        <v>4</v>
      </c>
    </row>
    <row r="22" spans="3:10">
      <c r="C22">
        <v>0.25038402457757236</v>
      </c>
      <c r="D22" t="s">
        <v>315</v>
      </c>
      <c r="E22">
        <v>0.1637598955916621</v>
      </c>
      <c r="F22">
        <v>9</v>
      </c>
      <c r="G22">
        <v>0.21497695852534501</v>
      </c>
      <c r="H22" t="s">
        <v>315</v>
      </c>
      <c r="I22">
        <v>5.3059468375287168E-2</v>
      </c>
      <c r="J22">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6CF1-8F7E-BB4C-9290-E116B1AD0242}">
  <dimension ref="A1:H18"/>
  <sheetViews>
    <sheetView workbookViewId="0">
      <selection activeCell="G13" sqref="G13:H13"/>
    </sheetView>
  </sheetViews>
  <sheetFormatPr baseColWidth="10" defaultRowHeight="16"/>
  <sheetData>
    <row r="1" spans="1:8">
      <c r="A1" t="s">
        <v>680</v>
      </c>
    </row>
    <row r="3" spans="1:8">
      <c r="B3" t="s">
        <v>681</v>
      </c>
      <c r="C3" t="s">
        <v>682</v>
      </c>
      <c r="D3" t="s">
        <v>684</v>
      </c>
      <c r="E3" t="s">
        <v>685</v>
      </c>
      <c r="G3" t="s">
        <v>684</v>
      </c>
      <c r="H3" t="s">
        <v>685</v>
      </c>
    </row>
    <row r="4" spans="1:8">
      <c r="B4">
        <v>204.356435643564</v>
      </c>
      <c r="C4">
        <v>5.6435643564360021</v>
      </c>
      <c r="D4">
        <f>SUM(B4:B9)</f>
        <v>1071.6831683168291</v>
      </c>
      <c r="E4">
        <f>SQRT(C4^2 + C5^2 + C6^2 + C7^2 + C8^2 + C9^2)</f>
        <v>33.717777808437795</v>
      </c>
      <c r="G4">
        <v>1071.6831683168291</v>
      </c>
      <c r="H4">
        <v>33.717777808437795</v>
      </c>
    </row>
    <row r="5" spans="1:8">
      <c r="B5">
        <v>216.23762376237599</v>
      </c>
      <c r="C5">
        <v>7.7227722772270226</v>
      </c>
    </row>
    <row r="6" spans="1:8">
      <c r="B6">
        <v>213.56435643564299</v>
      </c>
      <c r="C6">
        <v>9.5049504950499966</v>
      </c>
    </row>
    <row r="7" spans="1:8">
      <c r="B7">
        <v>152.07920792079199</v>
      </c>
      <c r="C7">
        <v>20.198019801980024</v>
      </c>
    </row>
    <row r="8" spans="1:8">
      <c r="B8">
        <v>164.55445544554399</v>
      </c>
      <c r="C8">
        <v>15.148514851485004</v>
      </c>
    </row>
    <row r="9" spans="1:8">
      <c r="B9">
        <v>120.89108910890999</v>
      </c>
      <c r="C9">
        <v>17.821782178218001</v>
      </c>
    </row>
    <row r="12" spans="1:8">
      <c r="A12" t="s">
        <v>683</v>
      </c>
    </row>
    <row r="13" spans="1:8">
      <c r="B13">
        <v>147.62376237623701</v>
      </c>
      <c r="C13">
        <v>2.9702970297029765</v>
      </c>
      <c r="D13">
        <f>SUM(B13:B18)</f>
        <v>842.37623762375893</v>
      </c>
      <c r="E13">
        <f>SQRT(C13^2 + C14^2 + C15^2 + C16^2 + C17^2 + C18^2)</f>
        <v>30.260607110755569</v>
      </c>
      <c r="G13">
        <v>842.37623762375893</v>
      </c>
      <c r="H13">
        <v>30.260607110755569</v>
      </c>
    </row>
    <row r="14" spans="1:8">
      <c r="B14">
        <v>157.72277227722699</v>
      </c>
      <c r="C14">
        <v>9.8019801980200043</v>
      </c>
    </row>
    <row r="15" spans="1:8">
      <c r="B15">
        <v>156.831683168316</v>
      </c>
      <c r="C15">
        <v>14.851485148514996</v>
      </c>
    </row>
    <row r="16" spans="1:8">
      <c r="B16">
        <v>149.40594059405899</v>
      </c>
      <c r="C16">
        <v>16.336633663366001</v>
      </c>
    </row>
    <row r="17" spans="2:3">
      <c r="B17">
        <v>118.21782178217801</v>
      </c>
      <c r="C17">
        <v>6.8316831683169994</v>
      </c>
    </row>
    <row r="18" spans="2:3">
      <c r="B18">
        <v>112.574257425742</v>
      </c>
      <c r="C18">
        <v>16.633663366336989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CFEE-2C06-124A-B1F6-6A1157758C3F}">
  <dimension ref="A1:E13"/>
  <sheetViews>
    <sheetView workbookViewId="0">
      <selection activeCell="D11" sqref="D11:E11"/>
    </sheetView>
  </sheetViews>
  <sheetFormatPr baseColWidth="10" defaultRowHeight="16"/>
  <sheetData>
    <row r="1" spans="1:5">
      <c r="A1" t="s">
        <v>992</v>
      </c>
      <c r="B1" t="s">
        <v>991</v>
      </c>
      <c r="C1" t="s">
        <v>318</v>
      </c>
      <c r="D1" t="s">
        <v>681</v>
      </c>
      <c r="E1" t="s">
        <v>994</v>
      </c>
    </row>
    <row r="2" spans="1:5">
      <c r="A2" t="s">
        <v>577</v>
      </c>
      <c r="B2">
        <v>7.6310375157749704</v>
      </c>
      <c r="C2">
        <v>0.53670886075949298</v>
      </c>
      <c r="D2">
        <f>AVERAGE(C2:C4)</f>
        <v>0.45873417721518933</v>
      </c>
      <c r="E2">
        <f>STDEV(C2:C4)</f>
        <v>0.13505611360283881</v>
      </c>
    </row>
    <row r="3" spans="1:5">
      <c r="A3" t="s">
        <v>577</v>
      </c>
      <c r="B3">
        <v>12.1627595701556</v>
      </c>
      <c r="C3">
        <v>0.53670886075949298</v>
      </c>
    </row>
    <row r="4" spans="1:5">
      <c r="A4" t="s">
        <v>577</v>
      </c>
      <c r="B4">
        <v>28.778920800030502</v>
      </c>
      <c r="C4">
        <v>0.30278481012658198</v>
      </c>
    </row>
    <row r="5" spans="1:5">
      <c r="B5">
        <v>51.6165054112967</v>
      </c>
      <c r="C5">
        <v>0.993924050632911</v>
      </c>
    </row>
    <row r="6" spans="1:5">
      <c r="B6">
        <v>55.769168993078097</v>
      </c>
      <c r="C6">
        <v>0.93012658227848</v>
      </c>
    </row>
    <row r="7" spans="1:5">
      <c r="B7">
        <v>58.454242992083799</v>
      </c>
      <c r="C7">
        <v>0.79898734177215103</v>
      </c>
    </row>
    <row r="8" spans="1:5">
      <c r="B8">
        <v>62.079620635588299</v>
      </c>
      <c r="C8">
        <v>0.79898734177215103</v>
      </c>
    </row>
    <row r="9" spans="1:5">
      <c r="B9">
        <v>63.053883513709899</v>
      </c>
      <c r="C9">
        <v>1.06126582278481</v>
      </c>
    </row>
    <row r="10" spans="1:5">
      <c r="B10">
        <v>66.929366323759993</v>
      </c>
      <c r="C10">
        <v>1.32708860759493</v>
      </c>
    </row>
    <row r="11" spans="1:5">
      <c r="A11" t="s">
        <v>872</v>
      </c>
      <c r="B11">
        <v>70.590538835137096</v>
      </c>
      <c r="C11">
        <v>1.4653164556961999</v>
      </c>
      <c r="D11">
        <f>AVERAGE(C11:C13)</f>
        <v>1.6425316455696131</v>
      </c>
      <c r="E11">
        <f>STDEV(C11:C13)</f>
        <v>0.15347285636685873</v>
      </c>
    </row>
    <row r="12" spans="1:5">
      <c r="A12" t="s">
        <v>872</v>
      </c>
      <c r="B12">
        <v>74.647290527362401</v>
      </c>
      <c r="C12">
        <v>1.73113924050632</v>
      </c>
    </row>
    <row r="13" spans="1:5">
      <c r="A13" t="s">
        <v>872</v>
      </c>
      <c r="B13">
        <v>85.342154575700803</v>
      </c>
      <c r="C13">
        <v>1.73113924050632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2B07A-A4AD-BA44-91E4-74735F0667E2}">
  <dimension ref="A1:T27"/>
  <sheetViews>
    <sheetView topLeftCell="F1" workbookViewId="0">
      <selection activeCell="R25" sqref="R25:S25"/>
    </sheetView>
  </sheetViews>
  <sheetFormatPr baseColWidth="10" defaultRowHeight="16"/>
  <cols>
    <col min="8" max="8" width="12.1640625" bestFit="1" customWidth="1"/>
    <col min="14" max="14" width="12.1640625" bestFit="1" customWidth="1"/>
    <col min="15" max="15" width="12.1640625" customWidth="1"/>
  </cols>
  <sheetData>
    <row r="1" spans="1:20">
      <c r="D1" t="s">
        <v>1037</v>
      </c>
    </row>
    <row r="2" spans="1:20">
      <c r="D2" t="s">
        <v>1050</v>
      </c>
    </row>
    <row r="3" spans="1:20">
      <c r="A3" t="s">
        <v>697</v>
      </c>
    </row>
    <row r="4" spans="1:20">
      <c r="A4" t="s">
        <v>1026</v>
      </c>
      <c r="B4" t="s">
        <v>1034</v>
      </c>
      <c r="C4" t="s">
        <v>682</v>
      </c>
      <c r="D4" t="s">
        <v>1044</v>
      </c>
      <c r="E4" t="s">
        <v>1045</v>
      </c>
      <c r="F4" t="s">
        <v>1043</v>
      </c>
      <c r="G4" t="s">
        <v>1001</v>
      </c>
      <c r="H4" t="s">
        <v>1040</v>
      </c>
      <c r="I4" t="s">
        <v>1039</v>
      </c>
      <c r="J4" t="s">
        <v>1038</v>
      </c>
      <c r="K4" t="s">
        <v>1048</v>
      </c>
      <c r="L4" t="s">
        <v>1049</v>
      </c>
      <c r="M4" t="s">
        <v>1047</v>
      </c>
      <c r="N4" t="s">
        <v>1040</v>
      </c>
      <c r="O4" t="s">
        <v>1046</v>
      </c>
      <c r="P4" t="s">
        <v>1041</v>
      </c>
      <c r="R4" t="s">
        <v>319</v>
      </c>
      <c r="S4" t="s">
        <v>1042</v>
      </c>
      <c r="T4" t="s">
        <v>1001</v>
      </c>
    </row>
    <row r="5" spans="1:20">
      <c r="A5" t="s">
        <v>1027</v>
      </c>
      <c r="B5">
        <v>0.2</v>
      </c>
      <c r="C5">
        <v>7.0000000000000007E-2</v>
      </c>
      <c r="D5">
        <v>4</v>
      </c>
      <c r="E5">
        <f>D5^2-D5</f>
        <v>12</v>
      </c>
      <c r="F5">
        <f>SUM(D5:D6)^2 - SUM(D5:D6)</f>
        <v>56</v>
      </c>
      <c r="G5">
        <f>SUM(D5:D6)</f>
        <v>8</v>
      </c>
      <c r="H5">
        <f>(E5/F5)*C5^2</f>
        <v>1.0500000000000002E-3</v>
      </c>
      <c r="I5">
        <f>AVERAGE(B5:B6)</f>
        <v>0.12000000000000001</v>
      </c>
      <c r="J5">
        <f>SQRT(H5+H6 + ((D5*D6*(B5-B6)^2)/(G5*F5)))</f>
        <v>4.5276925690687087E-2</v>
      </c>
      <c r="K5">
        <f>SUM(D5:D6)</f>
        <v>8</v>
      </c>
      <c r="L5">
        <f>K5^2-K5</f>
        <v>56</v>
      </c>
      <c r="M5">
        <f>SUM(K5:K8)^2 - SUM(K5:K8)</f>
        <v>240</v>
      </c>
      <c r="N5">
        <f>(L5/M5)*J5^2</f>
        <v>4.7833333333333338E-4</v>
      </c>
      <c r="O5">
        <f>SUM(K5:K8)</f>
        <v>16</v>
      </c>
      <c r="P5">
        <f>SQRT(N5+N7+ ((O5*O7*(I5-I7)^2)/(O5*M5)))</f>
        <v>2.6739483914241875E-2</v>
      </c>
      <c r="R5">
        <f>AVERAGE(B5:B8)</f>
        <v>0.1</v>
      </c>
      <c r="S5">
        <v>2.6739483914241875E-2</v>
      </c>
      <c r="T5">
        <v>4</v>
      </c>
    </row>
    <row r="6" spans="1:20">
      <c r="A6" t="s">
        <v>1028</v>
      </c>
      <c r="B6">
        <v>0.04</v>
      </c>
      <c r="C6">
        <v>0.02</v>
      </c>
      <c r="D6">
        <v>4</v>
      </c>
      <c r="E6">
        <f t="shared" ref="E6:E8" si="0">D6^2-D6</f>
        <v>12</v>
      </c>
      <c r="F6">
        <f>SUM(D5:D6)^2 - SUM(D5:D6)</f>
        <v>56</v>
      </c>
      <c r="G6">
        <f>SUM(D5:D6)</f>
        <v>8</v>
      </c>
      <c r="H6">
        <f t="shared" ref="H6:H8" si="1">(E6/F6)*C6^2</f>
        <v>8.5714285714285713E-5</v>
      </c>
    </row>
    <row r="7" spans="1:20">
      <c r="A7" t="s">
        <v>1029</v>
      </c>
      <c r="B7">
        <v>0.05</v>
      </c>
      <c r="C7">
        <v>0.02</v>
      </c>
      <c r="D7">
        <v>4</v>
      </c>
      <c r="E7">
        <f t="shared" si="0"/>
        <v>12</v>
      </c>
      <c r="F7">
        <f>SUM(D7:D8)^2 - SUM(D7:D8)</f>
        <v>56</v>
      </c>
      <c r="G7">
        <f>SUM(D7:D8)</f>
        <v>8</v>
      </c>
      <c r="H7">
        <f t="shared" si="1"/>
        <v>8.5714285714285713E-5</v>
      </c>
      <c r="I7">
        <f>AVERAGE(B7:B8)</f>
        <v>0.08</v>
      </c>
      <c r="J7">
        <f>SQRT(H7+H8 + ((D7*D8*(B7-B8)^2)/(G7*F7)))</f>
        <v>2.3603873774083295E-2</v>
      </c>
      <c r="K7">
        <f>SUM(D7:D8)</f>
        <v>8</v>
      </c>
      <c r="L7">
        <f>K7^2-K7</f>
        <v>56</v>
      </c>
      <c r="M7">
        <f>SUM(K5:K8)^2 - SUM(K5:K8)</f>
        <v>240</v>
      </c>
      <c r="N7">
        <f>(L7/M7)*J7^2</f>
        <v>1.3000000000000002E-4</v>
      </c>
      <c r="O7">
        <f>SUM(K5:K8)</f>
        <v>16</v>
      </c>
    </row>
    <row r="8" spans="1:20">
      <c r="A8" t="s">
        <v>1030</v>
      </c>
      <c r="B8">
        <v>0.11</v>
      </c>
      <c r="C8">
        <v>0.04</v>
      </c>
      <c r="D8">
        <v>4</v>
      </c>
      <c r="E8">
        <f t="shared" si="0"/>
        <v>12</v>
      </c>
      <c r="F8">
        <f>SUM(D7:D8)^2 - SUM(D7:D8)</f>
        <v>56</v>
      </c>
      <c r="G8">
        <f>SUM(D7:D8)</f>
        <v>8</v>
      </c>
      <c r="H8">
        <f t="shared" si="1"/>
        <v>3.4285714285714285E-4</v>
      </c>
    </row>
    <row r="10" spans="1:20">
      <c r="A10" t="s">
        <v>698</v>
      </c>
      <c r="B10" t="s">
        <v>1035</v>
      </c>
      <c r="C10" t="s">
        <v>682</v>
      </c>
      <c r="D10" t="s">
        <v>1044</v>
      </c>
      <c r="E10" t="s">
        <v>1045</v>
      </c>
      <c r="R10" t="s">
        <v>320</v>
      </c>
      <c r="S10" t="s">
        <v>1051</v>
      </c>
      <c r="T10" t="s">
        <v>1001</v>
      </c>
    </row>
    <row r="11" spans="1:20">
      <c r="A11" t="s">
        <v>1031</v>
      </c>
      <c r="B11">
        <v>0.14000000000000001</v>
      </c>
      <c r="C11">
        <v>0.02</v>
      </c>
      <c r="D11">
        <v>4</v>
      </c>
      <c r="E11">
        <f>D11^2-D11</f>
        <v>12</v>
      </c>
      <c r="F11">
        <f>SUM(D11:D12)^2 - SUM(D11:D12)</f>
        <v>56</v>
      </c>
      <c r="G11">
        <f>SUM(D11:D12)</f>
        <v>8</v>
      </c>
      <c r="H11">
        <f>(E11/F11)*C11^2</f>
        <v>8.5714285714285713E-5</v>
      </c>
      <c r="I11">
        <f>AVERAGE(B11:B12)</f>
        <v>8.900000000000001E-2</v>
      </c>
      <c r="J11">
        <f>SQRT(H11+H12 + ((D11*D12*(B11-B12)^2)/(G11*F11)))</f>
        <v>2.1404271936761997E-2</v>
      </c>
      <c r="K11">
        <f>SUM(D11:D12)</f>
        <v>8</v>
      </c>
      <c r="L11">
        <f>K11^2-K11</f>
        <v>56</v>
      </c>
      <c r="M11">
        <f>SUM(K11:K14)^2 - SUM(K11:K14)</f>
        <v>132</v>
      </c>
      <c r="N11">
        <f>(L11/M11)*J11^2</f>
        <v>1.9436363636363637E-4</v>
      </c>
      <c r="O11">
        <f>SUM(K11:K14)</f>
        <v>12</v>
      </c>
      <c r="P11">
        <f>SQRT(N11+N13+ ((O11*O13*(I11-I13)^2)/(O11*M11)))</f>
        <v>3.0598573941815119E-2</v>
      </c>
      <c r="R11">
        <f>AVERAGE(B11:B14)</f>
        <v>0.11600000000000001</v>
      </c>
      <c r="S11">
        <v>5.211285829812063E-2</v>
      </c>
      <c r="T11">
        <v>3</v>
      </c>
    </row>
    <row r="12" spans="1:20">
      <c r="A12" t="s">
        <v>1032</v>
      </c>
      <c r="B12">
        <v>3.7999999999999999E-2</v>
      </c>
      <c r="C12">
        <v>2E-3</v>
      </c>
      <c r="D12">
        <v>4</v>
      </c>
      <c r="E12">
        <f t="shared" ref="E12:E13" si="2">D12^2-D12</f>
        <v>12</v>
      </c>
      <c r="F12">
        <f>SUM(D11:D12)^2 - SUM(D11:D12)</f>
        <v>56</v>
      </c>
      <c r="G12">
        <f>SUM(D11:D12)</f>
        <v>8</v>
      </c>
      <c r="H12">
        <f t="shared" ref="H12:H13" si="3">(E12/F12)*C12^2</f>
        <v>8.5714285714285703E-7</v>
      </c>
    </row>
    <row r="13" spans="1:20">
      <c r="A13" t="s">
        <v>1033</v>
      </c>
      <c r="B13">
        <v>0.17</v>
      </c>
      <c r="C13">
        <v>0.04</v>
      </c>
      <c r="D13">
        <v>4</v>
      </c>
      <c r="E13">
        <f t="shared" si="2"/>
        <v>12</v>
      </c>
      <c r="F13">
        <f>SUM(D13:D14)^2 - SUM(D13:D14)</f>
        <v>12</v>
      </c>
      <c r="G13">
        <f>SUM(D13:D14)</f>
        <v>4</v>
      </c>
      <c r="H13">
        <f t="shared" si="3"/>
        <v>1.6000000000000001E-3</v>
      </c>
      <c r="I13">
        <f>AVERAGE(B13:B14)</f>
        <v>0.17</v>
      </c>
      <c r="J13">
        <f>SQRT(H13+H14 + ((D13*D14*(B13-B14)^2)/(G13*F13)))</f>
        <v>0.04</v>
      </c>
      <c r="K13">
        <f>SUM(D13:D14)</f>
        <v>4</v>
      </c>
      <c r="L13">
        <f>K13^2-K13</f>
        <v>12</v>
      </c>
      <c r="M13">
        <f>SUM(K11:K14)^2 - SUM(K11:K14)</f>
        <v>132</v>
      </c>
      <c r="N13">
        <f>(L13/M13)*J13^2</f>
        <v>1.4545454545454546E-4</v>
      </c>
      <c r="O13">
        <f>SUM(K11:K14)</f>
        <v>12</v>
      </c>
    </row>
    <row r="18" spans="1:20">
      <c r="A18" t="s">
        <v>1026</v>
      </c>
      <c r="B18" t="s">
        <v>695</v>
      </c>
      <c r="C18" t="s">
        <v>682</v>
      </c>
      <c r="D18" t="s">
        <v>1044</v>
      </c>
      <c r="E18" t="s">
        <v>1045</v>
      </c>
      <c r="F18" t="s">
        <v>1043</v>
      </c>
      <c r="R18" t="s">
        <v>319</v>
      </c>
      <c r="S18" t="s">
        <v>1042</v>
      </c>
      <c r="T18" t="s">
        <v>1001</v>
      </c>
    </row>
    <row r="19" spans="1:20">
      <c r="A19" t="s">
        <v>1027</v>
      </c>
      <c r="B19">
        <v>0.76</v>
      </c>
      <c r="C19">
        <v>0.11</v>
      </c>
      <c r="D19">
        <v>4</v>
      </c>
      <c r="E19">
        <f>D19^2-D19</f>
        <v>12</v>
      </c>
      <c r="F19">
        <f>SUM(D19:D20)^2 - SUM(D19:D20)</f>
        <v>56</v>
      </c>
      <c r="G19">
        <f>SUM(D19:D20)</f>
        <v>8</v>
      </c>
      <c r="H19">
        <f>(E19/F19)*C19^2</f>
        <v>2.5928571428571428E-3</v>
      </c>
      <c r="I19">
        <f>AVERAGE(B19:B20)</f>
        <v>0.52500000000000002</v>
      </c>
      <c r="J19">
        <f>SQRT(H19+H20 + ((D19*D20*(B19-B20)^2)/(G19*F19)))</f>
        <v>0.10887410816429877</v>
      </c>
      <c r="K19">
        <f>SUM(D19:D20)</f>
        <v>8</v>
      </c>
      <c r="L19">
        <f>K19^2-K19</f>
        <v>56</v>
      </c>
      <c r="M19">
        <f>SUM(K19:K22)^2 - SUM(K19:K22)</f>
        <v>240</v>
      </c>
      <c r="N19">
        <f>(L19/M19)*J19^2</f>
        <v>2.7658333333333328E-3</v>
      </c>
      <c r="O19">
        <f>SUM(K19:K22)</f>
        <v>16</v>
      </c>
      <c r="P19">
        <f>SQRT(N19+N21+ ((O19*O21*(I19-I21)^2)/(O19*M19)))</f>
        <v>5.7893580530717449E-2</v>
      </c>
      <c r="R19">
        <f>AVERAGE(B19:B22)</f>
        <v>0.495</v>
      </c>
      <c r="S19">
        <v>5.7893580530717449E-2</v>
      </c>
      <c r="T19">
        <v>4</v>
      </c>
    </row>
    <row r="20" spans="1:20">
      <c r="A20" t="s">
        <v>1028</v>
      </c>
      <c r="B20">
        <v>0.28999999999999998</v>
      </c>
      <c r="C20">
        <v>0.08</v>
      </c>
      <c r="D20">
        <v>4</v>
      </c>
      <c r="E20">
        <f t="shared" ref="E20:E22" si="4">D20^2-D20</f>
        <v>12</v>
      </c>
      <c r="F20">
        <f>SUM(D19:D20)^2 - SUM(D19:D20)</f>
        <v>56</v>
      </c>
      <c r="G20">
        <f>SUM(D19:D20)</f>
        <v>8</v>
      </c>
      <c r="H20">
        <f t="shared" ref="H20:H22" si="5">(E20/F20)*C20^2</f>
        <v>1.3714285714285714E-3</v>
      </c>
    </row>
    <row r="21" spans="1:20">
      <c r="A21" t="s">
        <v>1029</v>
      </c>
      <c r="B21">
        <v>0.44</v>
      </c>
      <c r="C21">
        <v>0.04</v>
      </c>
      <c r="D21">
        <v>4</v>
      </c>
      <c r="E21">
        <f t="shared" si="4"/>
        <v>12</v>
      </c>
      <c r="F21">
        <f>SUM(D21:D22)^2 - SUM(D21:D22)</f>
        <v>56</v>
      </c>
      <c r="G21">
        <f>SUM(D21:D22)</f>
        <v>8</v>
      </c>
      <c r="H21">
        <f t="shared" si="5"/>
        <v>3.4285714285714285E-4</v>
      </c>
      <c r="I21">
        <f>AVERAGE(B21:B22)</f>
        <v>0.46499999999999997</v>
      </c>
      <c r="J21">
        <f>SQRT(H21+H22 + ((D21*D22*(B21-B22)^2)/(G21*F21)))</f>
        <v>3.849860850917676E-2</v>
      </c>
      <c r="K21">
        <f>SUM(D21:D22)</f>
        <v>8</v>
      </c>
      <c r="L21">
        <f>K21^2-K21</f>
        <v>56</v>
      </c>
      <c r="M21">
        <f>SUM(K19:K22)^2 - SUM(K19:K22)</f>
        <v>240</v>
      </c>
      <c r="N21">
        <f>(L21/M21)*J21^2</f>
        <v>3.4583333333333335E-4</v>
      </c>
      <c r="O21">
        <f>SUM(K19:K22)</f>
        <v>16</v>
      </c>
    </row>
    <row r="22" spans="1:20">
      <c r="A22" t="s">
        <v>1030</v>
      </c>
      <c r="B22">
        <v>0.49</v>
      </c>
      <c r="C22">
        <v>7.0000000000000007E-2</v>
      </c>
      <c r="D22">
        <v>4</v>
      </c>
      <c r="E22">
        <f t="shared" si="4"/>
        <v>12</v>
      </c>
      <c r="F22">
        <f>SUM(D21:D22)^2 - SUM(D21:D22)</f>
        <v>56</v>
      </c>
      <c r="G22">
        <f>SUM(D21:D22)</f>
        <v>8</v>
      </c>
      <c r="H22">
        <f t="shared" si="5"/>
        <v>1.0500000000000002E-3</v>
      </c>
    </row>
    <row r="24" spans="1:20">
      <c r="A24" t="s">
        <v>698</v>
      </c>
      <c r="B24" t="s">
        <v>1036</v>
      </c>
      <c r="C24" t="s">
        <v>682</v>
      </c>
      <c r="D24" t="s">
        <v>1044</v>
      </c>
      <c r="E24" t="s">
        <v>1045</v>
      </c>
      <c r="F24" t="s">
        <v>1043</v>
      </c>
      <c r="R24" t="s">
        <v>320</v>
      </c>
      <c r="S24" t="s">
        <v>1051</v>
      </c>
      <c r="T24" t="s">
        <v>1001</v>
      </c>
    </row>
    <row r="25" spans="1:20">
      <c r="A25" t="s">
        <v>1031</v>
      </c>
      <c r="B25">
        <v>0.82</v>
      </c>
      <c r="C25">
        <v>0.1</v>
      </c>
      <c r="D25">
        <v>4</v>
      </c>
      <c r="E25">
        <f>D25^2-D25</f>
        <v>12</v>
      </c>
      <c r="F25">
        <f>SUM(D25:D26)^2 - SUM(D25:D26)</f>
        <v>56</v>
      </c>
      <c r="G25">
        <f>SUM(D25:D26)</f>
        <v>8</v>
      </c>
      <c r="H25">
        <f>(E25/F25)*C25^2</f>
        <v>2.142857142857143E-3</v>
      </c>
      <c r="I25">
        <f>AVERAGE(B25:B26)</f>
        <v>0.61</v>
      </c>
      <c r="J25">
        <f>SQRT(H25+H26 + ((D25*D26*(B25-B26)^2)/(G25*F25)))</f>
        <v>0.10088890637018237</v>
      </c>
      <c r="K25">
        <f>SUM(D25:D26)</f>
        <v>8</v>
      </c>
      <c r="L25">
        <f>K25^2-K25</f>
        <v>56</v>
      </c>
      <c r="M25">
        <f>SUM(K25:K28)^2 - SUM(K25:K28)</f>
        <v>132</v>
      </c>
      <c r="N25">
        <f>(L25/M25)*J25^2</f>
        <v>4.3181818181818174E-3</v>
      </c>
      <c r="O25">
        <f>SUM(K25:K28)</f>
        <v>12</v>
      </c>
      <c r="P25">
        <f>SQRT(N25+N27+ ((O25*O27*(I25-I27)^2)/(O25*M25)))</f>
        <v>9.4146887169127169E-2</v>
      </c>
      <c r="R25">
        <f>AVERAGE(B25:B28)</f>
        <v>0.53666666666666663</v>
      </c>
      <c r="S25">
        <v>9.4146887169127169E-2</v>
      </c>
      <c r="T25">
        <v>3</v>
      </c>
    </row>
    <row r="26" spans="1:20">
      <c r="A26" t="s">
        <v>1032</v>
      </c>
      <c r="B26">
        <v>0.4</v>
      </c>
      <c r="C26">
        <v>0.09</v>
      </c>
      <c r="D26">
        <v>4</v>
      </c>
      <c r="E26">
        <f t="shared" ref="E26:E27" si="6">D26^2-D26</f>
        <v>12</v>
      </c>
      <c r="F26">
        <f>SUM(D25:D26)^2 - SUM(D25:D26)</f>
        <v>56</v>
      </c>
      <c r="G26">
        <f>SUM(D25:D26)</f>
        <v>8</v>
      </c>
      <c r="H26">
        <f t="shared" ref="H26:H27" si="7">(E26/F26)*C26^2</f>
        <v>1.7357142857142855E-3</v>
      </c>
    </row>
    <row r="27" spans="1:20">
      <c r="A27" t="s">
        <v>1033</v>
      </c>
      <c r="B27">
        <v>0.39</v>
      </c>
      <c r="C27">
        <v>0.04</v>
      </c>
      <c r="D27">
        <v>4</v>
      </c>
      <c r="E27">
        <f t="shared" si="6"/>
        <v>12</v>
      </c>
      <c r="F27">
        <f>SUM(D27:D28)^2 - SUM(D27:D28)</f>
        <v>12</v>
      </c>
      <c r="G27">
        <f>SUM(D27:D28)</f>
        <v>4</v>
      </c>
      <c r="H27">
        <f t="shared" si="7"/>
        <v>1.6000000000000001E-3</v>
      </c>
      <c r="I27">
        <f>AVERAGE(B27:B28)</f>
        <v>0.39</v>
      </c>
      <c r="J27">
        <f>SQRT(H27+H28 + ((D27*D28*(B27-B28)^2)/(G27*F27)))</f>
        <v>0.04</v>
      </c>
      <c r="K27">
        <f>SUM(D27:D28)</f>
        <v>4</v>
      </c>
      <c r="L27">
        <f>K27^2-K27</f>
        <v>12</v>
      </c>
      <c r="M27">
        <f>SUM(K25:K28)^2 - SUM(K25:K28)</f>
        <v>132</v>
      </c>
      <c r="N27">
        <f>(L27/M27)*J27^2</f>
        <v>1.4545454545454546E-4</v>
      </c>
      <c r="O27">
        <f>SUM(K25:K28)</f>
        <v>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A91F-0BAB-0546-9BAF-56538CA8BC58}">
  <dimension ref="A1:K13"/>
  <sheetViews>
    <sheetView workbookViewId="0">
      <selection sqref="A1:I14"/>
    </sheetView>
  </sheetViews>
  <sheetFormatPr baseColWidth="10" defaultRowHeight="16"/>
  <cols>
    <col min="1" max="16384" width="10.83203125" style="1"/>
  </cols>
  <sheetData>
    <row r="1" spans="1:11">
      <c r="C1" s="1" t="s">
        <v>696</v>
      </c>
      <c r="G1" s="1" t="s">
        <v>695</v>
      </c>
    </row>
    <row r="3" spans="1:11">
      <c r="C3" s="1" t="s">
        <v>692</v>
      </c>
      <c r="D3" s="1" t="s">
        <v>693</v>
      </c>
      <c r="E3" s="1" t="s">
        <v>694</v>
      </c>
      <c r="G3" s="1" t="s">
        <v>681</v>
      </c>
      <c r="H3" s="1" t="s">
        <v>682</v>
      </c>
      <c r="I3" s="1" t="s">
        <v>694</v>
      </c>
    </row>
    <row r="4" spans="1:11">
      <c r="A4" s="1" t="s">
        <v>697</v>
      </c>
      <c r="C4" s="1">
        <v>0.2</v>
      </c>
      <c r="D4" s="1">
        <v>7.0000000000000007E-2</v>
      </c>
      <c r="E4" s="1">
        <f>AVERAGE(C4:C7)</f>
        <v>0.1</v>
      </c>
      <c r="G4" s="1">
        <v>0.76</v>
      </c>
      <c r="H4" s="1">
        <v>0.11</v>
      </c>
      <c r="I4" s="1">
        <f>AVERAGE(G4:G7)</f>
        <v>0.495</v>
      </c>
    </row>
    <row r="5" spans="1:11">
      <c r="C5" s="1">
        <v>0.04</v>
      </c>
      <c r="D5" s="1">
        <v>0.02</v>
      </c>
      <c r="G5" s="1">
        <v>0.28999999999999998</v>
      </c>
      <c r="H5" s="1">
        <v>0.08</v>
      </c>
      <c r="K5" s="13"/>
    </row>
    <row r="6" spans="1:11">
      <c r="C6" s="1">
        <v>0.05</v>
      </c>
      <c r="D6" s="1">
        <v>0.02</v>
      </c>
      <c r="G6" s="1">
        <v>0.44</v>
      </c>
      <c r="H6" s="1">
        <v>0.04</v>
      </c>
    </row>
    <row r="7" spans="1:11">
      <c r="C7" s="1">
        <v>0.11</v>
      </c>
      <c r="D7" s="1">
        <v>0.04</v>
      </c>
      <c r="G7" s="1">
        <v>0.49</v>
      </c>
      <c r="H7" s="1">
        <v>7.0000000000000007E-2</v>
      </c>
    </row>
    <row r="10" spans="1:11">
      <c r="C10" s="1" t="s">
        <v>681</v>
      </c>
      <c r="D10" s="1" t="s">
        <v>682</v>
      </c>
      <c r="G10" s="1" t="s">
        <v>681</v>
      </c>
      <c r="H10" s="1" t="s">
        <v>682</v>
      </c>
      <c r="I10" s="1" t="s">
        <v>694</v>
      </c>
    </row>
    <row r="11" spans="1:11">
      <c r="A11" s="1" t="s">
        <v>698</v>
      </c>
      <c r="C11" s="1">
        <v>0.14000000000000001</v>
      </c>
      <c r="D11" s="1">
        <v>0.02</v>
      </c>
      <c r="E11" s="1">
        <f>AVERAGE(C11:C20)</f>
        <v>0.11600000000000001</v>
      </c>
      <c r="G11" s="1">
        <v>0.82</v>
      </c>
      <c r="H11" s="1">
        <v>0.1</v>
      </c>
      <c r="I11" s="1">
        <f>AVERAGE(G11:G20)</f>
        <v>0.53666666666666663</v>
      </c>
    </row>
    <row r="12" spans="1:11">
      <c r="C12" s="1">
        <v>3.7999999999999999E-2</v>
      </c>
      <c r="D12" s="1">
        <v>2E-3</v>
      </c>
      <c r="G12" s="1">
        <v>0.4</v>
      </c>
      <c r="H12" s="1">
        <v>0.09</v>
      </c>
    </row>
    <row r="13" spans="1:11">
      <c r="C13" s="1">
        <v>0.17</v>
      </c>
      <c r="D13" s="1">
        <v>0.04</v>
      </c>
      <c r="G13" s="1">
        <v>0.39</v>
      </c>
      <c r="H13" s="1">
        <v>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Include</vt:lpstr>
      <vt:lpstr>Disturbance</vt:lpstr>
      <vt:lpstr>Can't use</vt:lpstr>
      <vt:lpstr>Reject</vt:lpstr>
      <vt:lpstr>Help</vt:lpstr>
      <vt:lpstr>Uthicke</vt:lpstr>
      <vt:lpstr>after - before</vt:lpstr>
      <vt:lpstr>SE from 95% CI</vt:lpstr>
      <vt:lpstr>Chase</vt:lpstr>
      <vt:lpstr>Sandoval</vt:lpstr>
      <vt:lpstr>Hepburn</vt:lpstr>
      <vt:lpstr>Marmen</vt:lpstr>
      <vt:lpstr>Bouchard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 Lim</dc:creator>
  <cp:lastModifiedBy>Em Lim</cp:lastModifiedBy>
  <dcterms:created xsi:type="dcterms:W3CDTF">2021-02-03T22:22:24Z</dcterms:created>
  <dcterms:modified xsi:type="dcterms:W3CDTF">2022-01-04T20:45:23Z</dcterms:modified>
</cp:coreProperties>
</file>